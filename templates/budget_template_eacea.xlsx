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OneDrive\Microsoft Teams Chat Files\"/>
    </mc:Choice>
  </mc:AlternateContent>
  <workbookProtection workbookAlgorithmName="SHA-512" workbookHashValue="bAZJQR2D+uk1GLhjQ3+bCEXpFATxR0PhfrnGXT9XPAqiMr1Xf0++88F6jYFuRjib4jlDTn6mIk1Qu08x2V1sqw==" workbookSaltValue="3tLSc3jtWCoJ7lCzMWLG/w==" workbookSpinCount="100000" lockStructure="1"/>
  <bookViews>
    <workbookView xWindow="14310" yWindow="-105" windowWidth="28995" windowHeight="15795" tabRatio="922" firstSheet="11" activeTab="23"/>
  </bookViews>
  <sheets>
    <sheet name="Instructions" sheetId="1" r:id="rId1"/>
    <sheet name="Beneficiaries List" sheetId="3" r:id="rId2"/>
    <sheet name="Work Packages List" sheetId="12" r:id="rId3"/>
    <sheet name="BE 001" sheetId="187" r:id="rId4"/>
    <sheet name="BE xxx" sheetId="13" state="hidden" r:id="rId5"/>
    <sheet name="BE 002" sheetId="227" r:id="rId6"/>
    <sheet name="BE 003" sheetId="229" r:id="rId7"/>
    <sheet name="BE 004" sheetId="230" r:id="rId8"/>
    <sheet name="BE 005" sheetId="231" r:id="rId9"/>
    <sheet name="BE 006" sheetId="232" r:id="rId10"/>
    <sheet name="BE 007" sheetId="233" r:id="rId11"/>
    <sheet name="BE 008" sheetId="234" r:id="rId12"/>
    <sheet name="BE 009" sheetId="235" r:id="rId13"/>
    <sheet name="BE 010" sheetId="236" r:id="rId14"/>
    <sheet name="BE 011" sheetId="237" r:id="rId15"/>
    <sheet name="BE 012" sheetId="238" r:id="rId16"/>
    <sheet name="Estim costs of the project" sheetId="241" r:id="rId17"/>
    <sheet name="Proposal Budget" sheetId="110" r:id="rId18"/>
    <sheet name="BE-WP Overview" sheetId="15" r:id="rId19"/>
    <sheet name="Country List" sheetId="4" state="hidden" r:id="rId20"/>
    <sheet name="BE-WP Person Months" sheetId="144" r:id="rId21"/>
    <sheet name="Operations" sheetId="33" state="hidden" r:id="rId22"/>
    <sheet name="EGR" sheetId="34" state="hidden" r:id="rId23"/>
    <sheet name="Depreciation Costs" sheetId="139" r:id="rId24"/>
    <sheet name="Any comments" sheetId="189" r:id="rId25"/>
    <sheet name="Referential" sheetId="11" state="hidden" r:id="rId26"/>
    <sheet name="UpdateParameters" sheetId="200" state="hidden" r:id="rId27"/>
  </sheets>
  <definedNames>
    <definedName name="_xlnm._FilterDatabase" localSheetId="23" hidden="1">'Depreciation Costs'!$A$3:$L$210</definedName>
    <definedName name="Acronym">Instructions!$E$33</definedName>
    <definedName name="COFINPERCENT">Instructions!$E$35</definedName>
    <definedName name="CofinRate">'Proposal Budget'!$J$6</definedName>
    <definedName name="ColumnForWPNumber">Referential!$B$15</definedName>
    <definedName name="CurrentFileName">Referential!$B$6</definedName>
    <definedName name="CurrentVersion">Referential!$D$1</definedName>
    <definedName name="EMP_OTHER">Instructions!$C$49</definedName>
    <definedName name="EMP_TYPE1">Instructions!$C$45</definedName>
    <definedName name="EMP_TYPE2">Instructions!$C$46</definedName>
    <definedName name="EMP_TYPE3">Instructions!$C$47</definedName>
    <definedName name="EMP_TYPE4">Instructions!$C$48</definedName>
    <definedName name="equipment">'Depreciation Costs'!$A$3:$L$210</definedName>
    <definedName name="EURequestedAmount">'Proposal Budget'!$J$7</definedName>
    <definedName name="FILESTATUS">Referential!$B$17</definedName>
    <definedName name="LastIDBeneficiaire">Referential!$B$7</definedName>
    <definedName name="LastIDWorkPackages">Referential!$B$8</definedName>
    <definedName name="ListOfCountries">'Country List'!$B$2:$B$249</definedName>
    <definedName name="MAXSUB">Instructions!$E$34</definedName>
    <definedName name="MFF">Referential!$B$18</definedName>
    <definedName name="MyRequetedEUContribution">Referential!$B$13</definedName>
    <definedName name="NbrColForWP">Referential!$B$11</definedName>
    <definedName name="_xlnm.Print_Area" localSheetId="3">'BE 001'!$R$9:$U$41</definedName>
    <definedName name="_xlnm.Print_Area" localSheetId="5">'BE 002'!$R$9:$U$42</definedName>
    <definedName name="_xlnm.Print_Area" localSheetId="6">'BE 003'!$R$9:$U$42</definedName>
    <definedName name="_xlnm.Print_Area" localSheetId="7">'BE 004'!$R$9:$U$42</definedName>
    <definedName name="_xlnm.Print_Area" localSheetId="8">'BE 005'!$R$9:$U$42</definedName>
    <definedName name="_xlnm.Print_Area" localSheetId="9">'BE 006'!$R$9:$U$42</definedName>
    <definedName name="_xlnm.Print_Area" localSheetId="10">'BE 007'!$R$9:$U$42</definedName>
    <definedName name="_xlnm.Print_Area" localSheetId="11">'BE 008'!$R$9:$U$42</definedName>
    <definedName name="_xlnm.Print_Area" localSheetId="12">'BE 009'!$R$9:$U$42</definedName>
    <definedName name="_xlnm.Print_Area" localSheetId="13">'BE 010'!$R$9:$U$42</definedName>
    <definedName name="_xlnm.Print_Area" localSheetId="14">'BE 011'!$R$9:$U$42</definedName>
    <definedName name="_xlnm.Print_Area" localSheetId="15">'BE 012'!$R$9:$U$42</definedName>
    <definedName name="_xlnm.Print_Area" localSheetId="4">'BE xxx'!$R$9:$U$42</definedName>
    <definedName name="_xlnm.Print_Area" localSheetId="18">'BE-WP Overview'!$E$7:$G$10</definedName>
    <definedName name="_xlnm.Print_Area" localSheetId="20">'BE-WP Person Months'!$E$7:$G$10</definedName>
    <definedName name="_xlnm.Print_Area" localSheetId="16">'Estim costs of the project'!$R$9:$BN$42</definedName>
    <definedName name="_xlnm.Print_Area" localSheetId="17">'Proposal Budget'!$E$8:$AR$15</definedName>
    <definedName name="_xlnm.Print_Titles" localSheetId="3">'BE 001'!$N:$Q,'BE 001'!$3:$8</definedName>
    <definedName name="_xlnm.Print_Titles" localSheetId="5">'BE 002'!$N:$Q,'BE 002'!$3:$8</definedName>
    <definedName name="_xlnm.Print_Titles" localSheetId="6">'BE 003'!$N:$Q,'BE 003'!$3:$8</definedName>
    <definedName name="_xlnm.Print_Titles" localSheetId="7">'BE 004'!$N:$Q,'BE 004'!$3:$8</definedName>
    <definedName name="_xlnm.Print_Titles" localSheetId="8">'BE 005'!$N:$Q,'BE 005'!$3:$8</definedName>
    <definedName name="_xlnm.Print_Titles" localSheetId="9">'BE 006'!$N:$Q,'BE 006'!$3:$8</definedName>
    <definedName name="_xlnm.Print_Titles" localSheetId="10">'BE 007'!$N:$Q,'BE 007'!$3:$8</definedName>
    <definedName name="_xlnm.Print_Titles" localSheetId="11">'BE 008'!$N:$Q,'BE 008'!$3:$8</definedName>
    <definedName name="_xlnm.Print_Titles" localSheetId="12">'BE 009'!$N:$Q,'BE 009'!$3:$8</definedName>
    <definedName name="_xlnm.Print_Titles" localSheetId="13">'BE 010'!$N:$Q,'BE 010'!$3:$8</definedName>
    <definedName name="_xlnm.Print_Titles" localSheetId="14">'BE 011'!$N:$Q,'BE 011'!$3:$8</definedName>
    <definedName name="_xlnm.Print_Titles" localSheetId="15">'BE 012'!$N:$Q,'BE 012'!$3:$8</definedName>
    <definedName name="_xlnm.Print_Titles" localSheetId="4">'BE xxx'!$N:$Q,'BE xxx'!$3:$8</definedName>
    <definedName name="_xlnm.Print_Titles" localSheetId="18">'BE-WP Overview'!$C:$D,'BE-WP Overview'!$5:$6</definedName>
    <definedName name="_xlnm.Print_Titles" localSheetId="20">'BE-WP Person Months'!$C:$D,'BE-WP Person Months'!$5:$6</definedName>
    <definedName name="_xlnm.Print_Titles" localSheetId="16">'Estim costs of the project'!$N:$Q,'Estim costs of the project'!$3:$8</definedName>
    <definedName name="_xlnm.Print_Titles" localSheetId="17">'Proposal Budget'!$E:$F,'Proposal Budget'!$5:$8</definedName>
    <definedName name="PRORATA">Referential!$B$14</definedName>
    <definedName name="ProtectionMode">Referential!$B$16</definedName>
    <definedName name="SheetBEBenCell">Referential!$B$10</definedName>
    <definedName name="SheetBEBenNumCell">Referential!$B$9</definedName>
    <definedName name="StatusBudget">'BE-WP Overview'!$D$4</definedName>
    <definedName name="TotalBudget">Referential!$B$12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5" l="1"/>
  <c r="D19" i="15"/>
  <c r="C19" i="15"/>
  <c r="B19" i="15"/>
  <c r="B7" i="15"/>
  <c r="B8" i="15" s="1"/>
  <c r="B9" i="15" s="1"/>
  <c r="B10" i="15" s="1"/>
  <c r="B11" i="15" s="1"/>
  <c r="B12" i="15" s="1"/>
  <c r="B13" i="15" s="1"/>
  <c r="B14" i="15" s="1"/>
  <c r="B15" i="15" s="1"/>
  <c r="B16" i="15" s="1"/>
  <c r="B17" i="15" s="1"/>
  <c r="B18" i="15" s="1"/>
  <c r="B21" i="110"/>
  <c r="B20" i="110"/>
  <c r="B19" i="110"/>
  <c r="B18" i="110"/>
  <c r="B17" i="110"/>
  <c r="B16" i="110"/>
  <c r="B15" i="110"/>
  <c r="B14" i="110"/>
  <c r="B13" i="110"/>
  <c r="B12" i="110"/>
  <c r="B11" i="110"/>
  <c r="B10" i="110"/>
  <c r="B9" i="110"/>
  <c r="M6" i="34"/>
  <c r="D19" i="34"/>
  <c r="C19" i="34"/>
  <c r="B19" i="34"/>
  <c r="B7" i="34"/>
  <c r="B8" i="34" s="1"/>
  <c r="B9" i="34" s="1"/>
  <c r="B10" i="34" s="1"/>
  <c r="B11" i="34" s="1"/>
  <c r="B12" i="34" s="1"/>
  <c r="B13" i="34" s="1"/>
  <c r="B14" i="34" s="1"/>
  <c r="B15" i="34" s="1"/>
  <c r="B16" i="34" s="1"/>
  <c r="B17" i="34" s="1"/>
  <c r="B18" i="34" s="1"/>
  <c r="M6" i="144"/>
  <c r="D19" i="144"/>
  <c r="C19" i="144"/>
  <c r="B19" i="144"/>
  <c r="B7" i="144"/>
  <c r="B8" i="144" s="1"/>
  <c r="B9" i="144" s="1"/>
  <c r="B10" i="144" s="1"/>
  <c r="B11" i="144" s="1"/>
  <c r="B12" i="144" s="1"/>
  <c r="B13" i="144" s="1"/>
  <c r="B14" i="144" s="1"/>
  <c r="B15" i="144" s="1"/>
  <c r="B16" i="144" s="1"/>
  <c r="B17" i="144" s="1"/>
  <c r="B18" i="144" s="1"/>
  <c r="BJ7" i="241"/>
  <c r="BJ2" i="241"/>
  <c r="BJ5" i="241" s="1"/>
  <c r="BL5" i="241" s="1"/>
  <c r="BF7" i="241"/>
  <c r="BF2" i="241"/>
  <c r="BF5" i="241" s="1"/>
  <c r="BH5" i="241" s="1"/>
  <c r="BB7" i="241"/>
  <c r="BB2" i="241"/>
  <c r="BB5" i="241" s="1"/>
  <c r="AX7" i="241"/>
  <c r="AX2" i="241"/>
  <c r="AX5" i="241" s="1"/>
  <c r="AT7" i="241"/>
  <c r="AT2" i="241"/>
  <c r="AT5" i="241" s="1"/>
  <c r="AP7" i="241"/>
  <c r="AP2" i="241"/>
  <c r="AP5" i="241" s="1"/>
  <c r="AL7" i="241"/>
  <c r="AL2" i="241"/>
  <c r="AL5" i="241" s="1"/>
  <c r="AN5" i="241" s="1"/>
  <c r="AH7" i="241"/>
  <c r="AH2" i="241"/>
  <c r="AH5" i="241" s="1"/>
  <c r="AJ5" i="241" s="1"/>
  <c r="AD7" i="241"/>
  <c r="AD2" i="241"/>
  <c r="AD5" i="241" s="1"/>
  <c r="Z7" i="241"/>
  <c r="Z2" i="241"/>
  <c r="Z5" i="241" s="1"/>
  <c r="V7" i="241"/>
  <c r="V2" i="241"/>
  <c r="V5" i="241" s="1"/>
  <c r="O279" i="241"/>
  <c r="Q254" i="241"/>
  <c r="Q253" i="241"/>
  <c r="Q252" i="241"/>
  <c r="Q251" i="241"/>
  <c r="Q250" i="241"/>
  <c r="N248" i="241"/>
  <c r="O247" i="241" s="1"/>
  <c r="B247" i="241"/>
  <c r="B248" i="241" s="1"/>
  <c r="O245" i="241"/>
  <c r="Q220" i="241"/>
  <c r="Q219" i="241"/>
  <c r="Q218" i="241"/>
  <c r="Q217" i="241"/>
  <c r="Q216" i="241"/>
  <c r="N214" i="241"/>
  <c r="O213" i="241" s="1"/>
  <c r="B213" i="241"/>
  <c r="A213" i="241" s="1"/>
  <c r="O211" i="241"/>
  <c r="Q186" i="241"/>
  <c r="Q185" i="241"/>
  <c r="Q184" i="241"/>
  <c r="Q183" i="241"/>
  <c r="Q182" i="241"/>
  <c r="N180" i="241"/>
  <c r="O179" i="241" s="1"/>
  <c r="B179" i="241"/>
  <c r="B180" i="241" s="1"/>
  <c r="O177" i="241"/>
  <c r="Q152" i="241"/>
  <c r="Q151" i="241"/>
  <c r="Q150" i="241"/>
  <c r="Q149" i="241"/>
  <c r="Q148" i="241"/>
  <c r="N146" i="241"/>
  <c r="O145" i="241" s="1"/>
  <c r="B145" i="241"/>
  <c r="A145" i="241" s="1"/>
  <c r="O143" i="241"/>
  <c r="Q118" i="241"/>
  <c r="Q117" i="241"/>
  <c r="Q116" i="241"/>
  <c r="Q115" i="241"/>
  <c r="Q114" i="241"/>
  <c r="N112" i="241"/>
  <c r="O111" i="241" s="1"/>
  <c r="B111" i="241"/>
  <c r="B112" i="241" s="1"/>
  <c r="O109" i="241"/>
  <c r="Q84" i="241"/>
  <c r="Q83" i="241"/>
  <c r="Q82" i="241"/>
  <c r="Q81" i="241"/>
  <c r="Q80" i="241"/>
  <c r="N78" i="241"/>
  <c r="O77" i="241" s="1"/>
  <c r="B77" i="241"/>
  <c r="B78" i="241" s="1"/>
  <c r="O75" i="241"/>
  <c r="Q50" i="241"/>
  <c r="Q49" i="241"/>
  <c r="Q48" i="241"/>
  <c r="Q47" i="241"/>
  <c r="Q46" i="241"/>
  <c r="N44" i="241"/>
  <c r="O43" i="241" s="1"/>
  <c r="B43" i="241"/>
  <c r="B44" i="241" s="1"/>
  <c r="O41" i="241"/>
  <c r="Q16" i="241"/>
  <c r="Q15" i="241"/>
  <c r="Q14" i="241"/>
  <c r="Q13" i="241"/>
  <c r="Q12" i="241"/>
  <c r="N10" i="241"/>
  <c r="O9" i="241" s="1"/>
  <c r="B9" i="241"/>
  <c r="B10" i="241" s="1"/>
  <c r="R7" i="241"/>
  <c r="Q5" i="241"/>
  <c r="Q3" i="241"/>
  <c r="R2" i="241"/>
  <c r="C1" i="241"/>
  <c r="O279" i="238"/>
  <c r="Q254" i="238"/>
  <c r="Q253" i="238"/>
  <c r="Q252" i="238"/>
  <c r="Q251" i="238"/>
  <c r="Q250" i="238"/>
  <c r="N248" i="238"/>
  <c r="O247" i="238" s="1"/>
  <c r="B247" i="238"/>
  <c r="B248" i="238" s="1"/>
  <c r="O279" i="237"/>
  <c r="Q254" i="237"/>
  <c r="Q253" i="237"/>
  <c r="Q252" i="237"/>
  <c r="Q251" i="237"/>
  <c r="Q250" i="237"/>
  <c r="N248" i="237"/>
  <c r="O247" i="237" s="1"/>
  <c r="B247" i="237"/>
  <c r="B248" i="237" s="1"/>
  <c r="O279" i="236"/>
  <c r="Q254" i="236"/>
  <c r="Q253" i="236"/>
  <c r="Q252" i="236"/>
  <c r="Q251" i="236"/>
  <c r="Q250" i="236"/>
  <c r="N248" i="236"/>
  <c r="O247" i="236" s="1"/>
  <c r="B247" i="236"/>
  <c r="B248" i="236" s="1"/>
  <c r="O279" i="235"/>
  <c r="Q254" i="235"/>
  <c r="Q253" i="235"/>
  <c r="Q252" i="235"/>
  <c r="Q251" i="235"/>
  <c r="Q250" i="235"/>
  <c r="N248" i="235"/>
  <c r="O247" i="235" s="1"/>
  <c r="B247" i="235"/>
  <c r="B248" i="235" s="1"/>
  <c r="O279" i="234"/>
  <c r="Q254" i="234"/>
  <c r="Q253" i="234"/>
  <c r="Q252" i="234"/>
  <c r="Q251" i="234"/>
  <c r="Q250" i="234"/>
  <c r="N248" i="234"/>
  <c r="O247" i="234" s="1"/>
  <c r="B247" i="234"/>
  <c r="B248" i="234" s="1"/>
  <c r="O279" i="233"/>
  <c r="Q254" i="233"/>
  <c r="Q253" i="233"/>
  <c r="Q252" i="233"/>
  <c r="Q251" i="233"/>
  <c r="Q250" i="233"/>
  <c r="N248" i="233"/>
  <c r="O247" i="233" s="1"/>
  <c r="B247" i="233"/>
  <c r="B248" i="233" s="1"/>
  <c r="O279" i="232"/>
  <c r="Q254" i="232"/>
  <c r="Q253" i="232"/>
  <c r="Q252" i="232"/>
  <c r="Q251" i="232"/>
  <c r="Q250" i="232"/>
  <c r="N248" i="232"/>
  <c r="O247" i="232" s="1"/>
  <c r="B247" i="232"/>
  <c r="B248" i="232" s="1"/>
  <c r="O279" i="231"/>
  <c r="Q254" i="231"/>
  <c r="Q253" i="231"/>
  <c r="Q252" i="231"/>
  <c r="Q251" i="231"/>
  <c r="Q250" i="231"/>
  <c r="N248" i="231"/>
  <c r="O247" i="231" s="1"/>
  <c r="B247" i="231"/>
  <c r="B248" i="231" s="1"/>
  <c r="O279" i="230"/>
  <c r="Q254" i="230"/>
  <c r="Q253" i="230"/>
  <c r="Q252" i="230"/>
  <c r="Q251" i="230"/>
  <c r="Q250" i="230"/>
  <c r="N248" i="230"/>
  <c r="O247" i="230" s="1"/>
  <c r="B247" i="230"/>
  <c r="B248" i="230" s="1"/>
  <c r="O279" i="229"/>
  <c r="Q254" i="229"/>
  <c r="Q253" i="229"/>
  <c r="Q252" i="229"/>
  <c r="Q251" i="229"/>
  <c r="Q250" i="229"/>
  <c r="N248" i="229"/>
  <c r="O247" i="229" s="1"/>
  <c r="B247" i="229"/>
  <c r="B248" i="229" s="1"/>
  <c r="O279" i="227"/>
  <c r="Q254" i="227"/>
  <c r="Q253" i="227"/>
  <c r="Q252" i="227"/>
  <c r="Q251" i="227"/>
  <c r="Q250" i="227"/>
  <c r="N248" i="227"/>
  <c r="O247" i="227" s="1"/>
  <c r="B247" i="227"/>
  <c r="B248" i="227" s="1"/>
  <c r="O279" i="187"/>
  <c r="Q254" i="187"/>
  <c r="Q253" i="187"/>
  <c r="Q252" i="187"/>
  <c r="Q251" i="187"/>
  <c r="Q250" i="187"/>
  <c r="N248" i="187"/>
  <c r="O247" i="187" s="1"/>
  <c r="B247" i="187"/>
  <c r="B248" i="187" s="1"/>
  <c r="O245" i="238"/>
  <c r="Q220" i="238"/>
  <c r="Q219" i="238"/>
  <c r="Q218" i="238"/>
  <c r="Q217" i="238"/>
  <c r="Q216" i="238"/>
  <c r="N214" i="238"/>
  <c r="O213" i="238" s="1"/>
  <c r="B213" i="238"/>
  <c r="B214" i="238" s="1"/>
  <c r="O245" i="237"/>
  <c r="Q220" i="237"/>
  <c r="Q219" i="237"/>
  <c r="Q218" i="237"/>
  <c r="Q217" i="237"/>
  <c r="Q216" i="237"/>
  <c r="N214" i="237"/>
  <c r="O213" i="237" s="1"/>
  <c r="B213" i="237"/>
  <c r="B214" i="237" s="1"/>
  <c r="O245" i="236"/>
  <c r="Q220" i="236"/>
  <c r="Q219" i="236"/>
  <c r="Q218" i="236"/>
  <c r="Q217" i="236"/>
  <c r="Q216" i="236"/>
  <c r="N214" i="236"/>
  <c r="O213" i="236" s="1"/>
  <c r="B213" i="236"/>
  <c r="B214" i="236" s="1"/>
  <c r="O245" i="235"/>
  <c r="Q220" i="235"/>
  <c r="Q219" i="235"/>
  <c r="Q218" i="235"/>
  <c r="Q217" i="235"/>
  <c r="Q216" i="235"/>
  <c r="N214" i="235"/>
  <c r="O213" i="235" s="1"/>
  <c r="B213" i="235"/>
  <c r="B214" i="235" s="1"/>
  <c r="O245" i="234"/>
  <c r="Q220" i="234"/>
  <c r="Q219" i="234"/>
  <c r="Q218" i="234"/>
  <c r="Q217" i="234"/>
  <c r="Q216" i="234"/>
  <c r="N214" i="234"/>
  <c r="O213" i="234" s="1"/>
  <c r="B213" i="234"/>
  <c r="B214" i="234" s="1"/>
  <c r="O245" i="233"/>
  <c r="Q220" i="233"/>
  <c r="Q219" i="233"/>
  <c r="Q218" i="233"/>
  <c r="Q217" i="233"/>
  <c r="Q216" i="233"/>
  <c r="N214" i="233"/>
  <c r="O213" i="233" s="1"/>
  <c r="B213" i="233"/>
  <c r="B214" i="233" s="1"/>
  <c r="O245" i="232"/>
  <c r="Q220" i="232"/>
  <c r="Q219" i="232"/>
  <c r="Q218" i="232"/>
  <c r="Q217" i="232"/>
  <c r="Q216" i="232"/>
  <c r="N214" i="232"/>
  <c r="O213" i="232" s="1"/>
  <c r="B213" i="232"/>
  <c r="B214" i="232" s="1"/>
  <c r="O245" i="231"/>
  <c r="Q220" i="231"/>
  <c r="Q219" i="231"/>
  <c r="Q218" i="231"/>
  <c r="Q217" i="231"/>
  <c r="Q216" i="231"/>
  <c r="N214" i="231"/>
  <c r="O213" i="231" s="1"/>
  <c r="B213" i="231"/>
  <c r="B214" i="231" s="1"/>
  <c r="O245" i="230"/>
  <c r="Q220" i="230"/>
  <c r="Q219" i="230"/>
  <c r="Q218" i="230"/>
  <c r="Q217" i="230"/>
  <c r="Q216" i="230"/>
  <c r="N214" i="230"/>
  <c r="O213" i="230" s="1"/>
  <c r="B213" i="230"/>
  <c r="B214" i="230" s="1"/>
  <c r="O245" i="229"/>
  <c r="Q220" i="229"/>
  <c r="Q219" i="229"/>
  <c r="Q218" i="229"/>
  <c r="Q217" i="229"/>
  <c r="Q216" i="229"/>
  <c r="N214" i="229"/>
  <c r="O213" i="229" s="1"/>
  <c r="B213" i="229"/>
  <c r="B214" i="229" s="1"/>
  <c r="O245" i="227"/>
  <c r="Q220" i="227"/>
  <c r="Q219" i="227"/>
  <c r="Q218" i="227"/>
  <c r="Q217" i="227"/>
  <c r="Q216" i="227"/>
  <c r="N214" i="227"/>
  <c r="O213" i="227" s="1"/>
  <c r="B213" i="227"/>
  <c r="B214" i="227" s="1"/>
  <c r="O245" i="187"/>
  <c r="Q220" i="187"/>
  <c r="Q219" i="187"/>
  <c r="Q218" i="187"/>
  <c r="Q217" i="187"/>
  <c r="Q216" i="187"/>
  <c r="N214" i="187"/>
  <c r="O213" i="187" s="1"/>
  <c r="B213" i="187"/>
  <c r="B214" i="187" s="1"/>
  <c r="O211" i="238"/>
  <c r="Q186" i="238"/>
  <c r="Q185" i="238"/>
  <c r="Q184" i="238"/>
  <c r="Q183" i="238"/>
  <c r="Q182" i="238"/>
  <c r="N180" i="238"/>
  <c r="O179" i="238" s="1"/>
  <c r="B179" i="238"/>
  <c r="B180" i="238" s="1"/>
  <c r="O211" i="237"/>
  <c r="Q186" i="237"/>
  <c r="Q185" i="237"/>
  <c r="Q184" i="237"/>
  <c r="Q183" i="237"/>
  <c r="Q182" i="237"/>
  <c r="N180" i="237"/>
  <c r="O179" i="237" s="1"/>
  <c r="B179" i="237"/>
  <c r="B180" i="237" s="1"/>
  <c r="O211" i="236"/>
  <c r="Q186" i="236"/>
  <c r="Q185" i="236"/>
  <c r="Q184" i="236"/>
  <c r="Q183" i="236"/>
  <c r="Q182" i="236"/>
  <c r="N180" i="236"/>
  <c r="O179" i="236" s="1"/>
  <c r="B179" i="236"/>
  <c r="B180" i="236" s="1"/>
  <c r="O211" i="235"/>
  <c r="Q186" i="235"/>
  <c r="Q185" i="235"/>
  <c r="Q184" i="235"/>
  <c r="Q183" i="235"/>
  <c r="Q182" i="235"/>
  <c r="N180" i="235"/>
  <c r="O179" i="235" s="1"/>
  <c r="B179" i="235"/>
  <c r="B180" i="235" s="1"/>
  <c r="O211" i="234"/>
  <c r="Q186" i="234"/>
  <c r="Q185" i="234"/>
  <c r="Q184" i="234"/>
  <c r="Q183" i="234"/>
  <c r="Q182" i="234"/>
  <c r="N180" i="234"/>
  <c r="O179" i="234" s="1"/>
  <c r="B179" i="234"/>
  <c r="B180" i="234" s="1"/>
  <c r="O211" i="233"/>
  <c r="Q186" i="233"/>
  <c r="Q185" i="233"/>
  <c r="Q184" i="233"/>
  <c r="Q183" i="233"/>
  <c r="Q182" i="233"/>
  <c r="N180" i="233"/>
  <c r="O179" i="233" s="1"/>
  <c r="B179" i="233"/>
  <c r="B180" i="233" s="1"/>
  <c r="O211" i="232"/>
  <c r="Q186" i="232"/>
  <c r="Q185" i="232"/>
  <c r="Q184" i="232"/>
  <c r="Q183" i="232"/>
  <c r="Q182" i="232"/>
  <c r="N180" i="232"/>
  <c r="O179" i="232" s="1"/>
  <c r="B179" i="232"/>
  <c r="B180" i="232" s="1"/>
  <c r="O211" i="231"/>
  <c r="Q186" i="231"/>
  <c r="Q185" i="231"/>
  <c r="Q184" i="231"/>
  <c r="Q183" i="231"/>
  <c r="Q182" i="231"/>
  <c r="N180" i="231"/>
  <c r="O179" i="231" s="1"/>
  <c r="B179" i="231"/>
  <c r="B180" i="231" s="1"/>
  <c r="O211" i="230"/>
  <c r="Q186" i="230"/>
  <c r="Q185" i="230"/>
  <c r="Q184" i="230"/>
  <c r="Q183" i="230"/>
  <c r="Q182" i="230"/>
  <c r="N180" i="230"/>
  <c r="O179" i="230" s="1"/>
  <c r="B179" i="230"/>
  <c r="B180" i="230" s="1"/>
  <c r="O211" i="229"/>
  <c r="Q186" i="229"/>
  <c r="Q185" i="229"/>
  <c r="Q184" i="229"/>
  <c r="Q183" i="229"/>
  <c r="Q182" i="229"/>
  <c r="N180" i="229"/>
  <c r="O179" i="229" s="1"/>
  <c r="B179" i="229"/>
  <c r="B180" i="229" s="1"/>
  <c r="O211" i="227"/>
  <c r="Q186" i="227"/>
  <c r="Q185" i="227"/>
  <c r="Q184" i="227"/>
  <c r="Q183" i="227"/>
  <c r="Q182" i="227"/>
  <c r="N180" i="227"/>
  <c r="O179" i="227" s="1"/>
  <c r="B179" i="227"/>
  <c r="B180" i="227" s="1"/>
  <c r="O211" i="187"/>
  <c r="Q186" i="187"/>
  <c r="Q185" i="187"/>
  <c r="Q184" i="187"/>
  <c r="Q183" i="187"/>
  <c r="Q182" i="187"/>
  <c r="N180" i="187"/>
  <c r="O179" i="187" s="1"/>
  <c r="B179" i="187"/>
  <c r="B180" i="187" s="1"/>
  <c r="O177" i="238"/>
  <c r="Q152" i="238"/>
  <c r="Q151" i="238"/>
  <c r="Q150" i="238"/>
  <c r="Q149" i="238"/>
  <c r="Q148" i="238"/>
  <c r="N146" i="238"/>
  <c r="O145" i="238" s="1"/>
  <c r="B145" i="238"/>
  <c r="B146" i="238" s="1"/>
  <c r="O177" i="237"/>
  <c r="Q152" i="237"/>
  <c r="Q151" i="237"/>
  <c r="Q150" i="237"/>
  <c r="Q149" i="237"/>
  <c r="Q148" i="237"/>
  <c r="N146" i="237"/>
  <c r="O145" i="237" s="1"/>
  <c r="B145" i="237"/>
  <c r="B146" i="237" s="1"/>
  <c r="O177" i="236"/>
  <c r="Q152" i="236"/>
  <c r="Q151" i="236"/>
  <c r="Q150" i="236"/>
  <c r="Q149" i="236"/>
  <c r="Q148" i="236"/>
  <c r="N146" i="236"/>
  <c r="O145" i="236" s="1"/>
  <c r="B145" i="236"/>
  <c r="B146" i="236" s="1"/>
  <c r="O177" i="235"/>
  <c r="Q152" i="235"/>
  <c r="Q151" i="235"/>
  <c r="Q150" i="235"/>
  <c r="Q149" i="235"/>
  <c r="Q148" i="235"/>
  <c r="N146" i="235"/>
  <c r="O145" i="235" s="1"/>
  <c r="B145" i="235"/>
  <c r="B146" i="235" s="1"/>
  <c r="O177" i="234"/>
  <c r="Q152" i="234"/>
  <c r="Q151" i="234"/>
  <c r="Q150" i="234"/>
  <c r="Q149" i="234"/>
  <c r="Q148" i="234"/>
  <c r="N146" i="234"/>
  <c r="O145" i="234" s="1"/>
  <c r="B145" i="234"/>
  <c r="B146" i="234" s="1"/>
  <c r="O177" i="233"/>
  <c r="Q152" i="233"/>
  <c r="Q151" i="233"/>
  <c r="Q150" i="233"/>
  <c r="Q149" i="233"/>
  <c r="Q148" i="233"/>
  <c r="N146" i="233"/>
  <c r="O145" i="233" s="1"/>
  <c r="B145" i="233"/>
  <c r="B146" i="233" s="1"/>
  <c r="O177" i="232"/>
  <c r="Q152" i="232"/>
  <c r="Q151" i="232"/>
  <c r="Q150" i="232"/>
  <c r="Q149" i="232"/>
  <c r="Q148" i="232"/>
  <c r="N146" i="232"/>
  <c r="O145" i="232" s="1"/>
  <c r="B145" i="232"/>
  <c r="B146" i="232" s="1"/>
  <c r="O177" i="231"/>
  <c r="Q152" i="231"/>
  <c r="Q151" i="231"/>
  <c r="Q150" i="231"/>
  <c r="Q149" i="231"/>
  <c r="Q148" i="231"/>
  <c r="N146" i="231"/>
  <c r="O145" i="231" s="1"/>
  <c r="B145" i="231"/>
  <c r="B146" i="231" s="1"/>
  <c r="O177" i="230"/>
  <c r="Q152" i="230"/>
  <c r="Q151" i="230"/>
  <c r="Q150" i="230"/>
  <c r="Q149" i="230"/>
  <c r="Q148" i="230"/>
  <c r="N146" i="230"/>
  <c r="O145" i="230" s="1"/>
  <c r="B145" i="230"/>
  <c r="B146" i="230" s="1"/>
  <c r="O177" i="229"/>
  <c r="Q152" i="229"/>
  <c r="Q151" i="229"/>
  <c r="Q150" i="229"/>
  <c r="Q149" i="229"/>
  <c r="Q148" i="229"/>
  <c r="N146" i="229"/>
  <c r="O145" i="229" s="1"/>
  <c r="B145" i="229"/>
  <c r="B146" i="229" s="1"/>
  <c r="O177" i="227"/>
  <c r="Q152" i="227"/>
  <c r="Q151" i="227"/>
  <c r="Q150" i="227"/>
  <c r="Q149" i="227"/>
  <c r="Q148" i="227"/>
  <c r="N146" i="227"/>
  <c r="O145" i="227" s="1"/>
  <c r="B145" i="227"/>
  <c r="B146" i="227" s="1"/>
  <c r="O177" i="187"/>
  <c r="Q152" i="187"/>
  <c r="Q151" i="187"/>
  <c r="Q150" i="187"/>
  <c r="Q149" i="187"/>
  <c r="Q148" i="187"/>
  <c r="N146" i="187"/>
  <c r="O145" i="187" s="1"/>
  <c r="B145" i="187"/>
  <c r="B146" i="187" s="1"/>
  <c r="O143" i="238"/>
  <c r="Q118" i="238"/>
  <c r="Q117" i="238"/>
  <c r="Q116" i="238"/>
  <c r="Q115" i="238"/>
  <c r="Q114" i="238"/>
  <c r="N112" i="238"/>
  <c r="O111" i="238" s="1"/>
  <c r="B111" i="238"/>
  <c r="B112" i="238" s="1"/>
  <c r="O143" i="237"/>
  <c r="Q118" i="237"/>
  <c r="Q117" i="237"/>
  <c r="Q116" i="237"/>
  <c r="Q115" i="237"/>
  <c r="Q114" i="237"/>
  <c r="N112" i="237"/>
  <c r="O111" i="237" s="1"/>
  <c r="B111" i="237"/>
  <c r="B112" i="237" s="1"/>
  <c r="O143" i="236"/>
  <c r="Q118" i="236"/>
  <c r="Q117" i="236"/>
  <c r="Q116" i="236"/>
  <c r="Q115" i="236"/>
  <c r="Q114" i="236"/>
  <c r="N112" i="236"/>
  <c r="O111" i="236" s="1"/>
  <c r="B111" i="236"/>
  <c r="B112" i="236" s="1"/>
  <c r="O143" i="235"/>
  <c r="Q118" i="235"/>
  <c r="Q117" i="235"/>
  <c r="Q116" i="235"/>
  <c r="Q115" i="235"/>
  <c r="Q114" i="235"/>
  <c r="N112" i="235"/>
  <c r="O111" i="235" s="1"/>
  <c r="B111" i="235"/>
  <c r="B112" i="235" s="1"/>
  <c r="O143" i="234"/>
  <c r="Q118" i="234"/>
  <c r="Q117" i="234"/>
  <c r="Q116" i="234"/>
  <c r="Q115" i="234"/>
  <c r="Q114" i="234"/>
  <c r="N112" i="234"/>
  <c r="O111" i="234" s="1"/>
  <c r="B111" i="234"/>
  <c r="B112" i="234" s="1"/>
  <c r="O143" i="233"/>
  <c r="Q118" i="233"/>
  <c r="Q117" i="233"/>
  <c r="Q116" i="233"/>
  <c r="Q115" i="233"/>
  <c r="Q114" i="233"/>
  <c r="N112" i="233"/>
  <c r="O111" i="233" s="1"/>
  <c r="B111" i="233"/>
  <c r="B112" i="233" s="1"/>
  <c r="O143" i="232"/>
  <c r="Q118" i="232"/>
  <c r="Q117" i="232"/>
  <c r="Q116" i="232"/>
  <c r="Q115" i="232"/>
  <c r="Q114" i="232"/>
  <c r="N112" i="232"/>
  <c r="O111" i="232" s="1"/>
  <c r="B111" i="232"/>
  <c r="B112" i="232" s="1"/>
  <c r="O143" i="231"/>
  <c r="Q118" i="231"/>
  <c r="Q117" i="231"/>
  <c r="Q116" i="231"/>
  <c r="Q115" i="231"/>
  <c r="Q114" i="231"/>
  <c r="N112" i="231"/>
  <c r="O111" i="231" s="1"/>
  <c r="B111" i="231"/>
  <c r="B112" i="231" s="1"/>
  <c r="O143" i="230"/>
  <c r="Q118" i="230"/>
  <c r="Q117" i="230"/>
  <c r="Q116" i="230"/>
  <c r="Q115" i="230"/>
  <c r="Q114" i="230"/>
  <c r="N112" i="230"/>
  <c r="O111" i="230" s="1"/>
  <c r="B111" i="230"/>
  <c r="B112" i="230" s="1"/>
  <c r="O143" i="229"/>
  <c r="Q118" i="229"/>
  <c r="Q117" i="229"/>
  <c r="Q116" i="229"/>
  <c r="Q115" i="229"/>
  <c r="Q114" i="229"/>
  <c r="N112" i="229"/>
  <c r="O111" i="229" s="1"/>
  <c r="B111" i="229"/>
  <c r="B112" i="229" s="1"/>
  <c r="O143" i="227"/>
  <c r="Q118" i="227"/>
  <c r="Q117" i="227"/>
  <c r="Q116" i="227"/>
  <c r="Q115" i="227"/>
  <c r="Q114" i="227"/>
  <c r="N112" i="227"/>
  <c r="O111" i="227" s="1"/>
  <c r="B111" i="227"/>
  <c r="B112" i="227" s="1"/>
  <c r="O143" i="187"/>
  <c r="Q118" i="187"/>
  <c r="Q117" i="187"/>
  <c r="Q116" i="187"/>
  <c r="Q115" i="187"/>
  <c r="Q114" i="187"/>
  <c r="N112" i="187"/>
  <c r="O111" i="187" s="1"/>
  <c r="B111" i="187"/>
  <c r="B112" i="187" s="1"/>
  <c r="O109" i="238"/>
  <c r="Q84" i="238"/>
  <c r="Q83" i="238"/>
  <c r="Q82" i="238"/>
  <c r="Q81" i="238"/>
  <c r="Q80" i="238"/>
  <c r="N78" i="238"/>
  <c r="O77" i="238" s="1"/>
  <c r="B77" i="238"/>
  <c r="B78" i="238" s="1"/>
  <c r="O109" i="237"/>
  <c r="Q84" i="237"/>
  <c r="Q83" i="237"/>
  <c r="Q82" i="237"/>
  <c r="Q81" i="237"/>
  <c r="Q80" i="237"/>
  <c r="N78" i="237"/>
  <c r="O77" i="237" s="1"/>
  <c r="B77" i="237"/>
  <c r="B78" i="237" s="1"/>
  <c r="O109" i="236"/>
  <c r="Q84" i="236"/>
  <c r="Q83" i="236"/>
  <c r="Q82" i="236"/>
  <c r="Q81" i="236"/>
  <c r="Q80" i="236"/>
  <c r="N78" i="236"/>
  <c r="O77" i="236" s="1"/>
  <c r="B77" i="236"/>
  <c r="B78" i="236" s="1"/>
  <c r="O109" i="235"/>
  <c r="Q84" i="235"/>
  <c r="Q83" i="235"/>
  <c r="Q82" i="235"/>
  <c r="Q81" i="235"/>
  <c r="Q80" i="235"/>
  <c r="N78" i="235"/>
  <c r="O77" i="235" s="1"/>
  <c r="B77" i="235"/>
  <c r="B78" i="235" s="1"/>
  <c r="O109" i="234"/>
  <c r="Q84" i="234"/>
  <c r="Q83" i="234"/>
  <c r="Q82" i="234"/>
  <c r="Q81" i="234"/>
  <c r="Q80" i="234"/>
  <c r="N78" i="234"/>
  <c r="O77" i="234" s="1"/>
  <c r="B77" i="234"/>
  <c r="B78" i="234" s="1"/>
  <c r="O109" i="233"/>
  <c r="Q84" i="233"/>
  <c r="Q83" i="233"/>
  <c r="Q82" i="233"/>
  <c r="Q81" i="233"/>
  <c r="Q80" i="233"/>
  <c r="N78" i="233"/>
  <c r="O77" i="233" s="1"/>
  <c r="B77" i="233"/>
  <c r="B78" i="233" s="1"/>
  <c r="O109" i="232"/>
  <c r="Q84" i="232"/>
  <c r="Q83" i="232"/>
  <c r="Q82" i="232"/>
  <c r="Q81" i="232"/>
  <c r="Q80" i="232"/>
  <c r="N78" i="232"/>
  <c r="O77" i="232" s="1"/>
  <c r="B77" i="232"/>
  <c r="A77" i="232" s="1"/>
  <c r="O109" i="231"/>
  <c r="Q84" i="231"/>
  <c r="Q83" i="231"/>
  <c r="Q82" i="231"/>
  <c r="Q81" i="231"/>
  <c r="Q80" i="231"/>
  <c r="N78" i="231"/>
  <c r="O77" i="231" s="1"/>
  <c r="B77" i="231"/>
  <c r="B78" i="231" s="1"/>
  <c r="O109" i="230"/>
  <c r="Q84" i="230"/>
  <c r="Q83" i="230"/>
  <c r="Q82" i="230"/>
  <c r="Q81" i="230"/>
  <c r="Q80" i="230"/>
  <c r="N78" i="230"/>
  <c r="O77" i="230" s="1"/>
  <c r="B77" i="230"/>
  <c r="B78" i="230" s="1"/>
  <c r="O109" i="229"/>
  <c r="Q84" i="229"/>
  <c r="Q83" i="229"/>
  <c r="Q82" i="229"/>
  <c r="Q81" i="229"/>
  <c r="Q80" i="229"/>
  <c r="N78" i="229"/>
  <c r="O77" i="229" s="1"/>
  <c r="B77" i="229"/>
  <c r="B78" i="229" s="1"/>
  <c r="O109" i="227"/>
  <c r="Q84" i="227"/>
  <c r="Q83" i="227"/>
  <c r="Q82" i="227"/>
  <c r="Q81" i="227"/>
  <c r="Q80" i="227"/>
  <c r="N78" i="227"/>
  <c r="O77" i="227" s="1"/>
  <c r="B77" i="227"/>
  <c r="B78" i="227" s="1"/>
  <c r="O109" i="187"/>
  <c r="Q84" i="187"/>
  <c r="Q83" i="187"/>
  <c r="Q82" i="187"/>
  <c r="Q81" i="187"/>
  <c r="Q80" i="187"/>
  <c r="N78" i="187"/>
  <c r="O77" i="187" s="1"/>
  <c r="B77" i="187"/>
  <c r="B78" i="187" s="1"/>
  <c r="O75" i="238"/>
  <c r="Q50" i="238"/>
  <c r="Q49" i="238"/>
  <c r="Q48" i="238"/>
  <c r="Q47" i="238"/>
  <c r="Q46" i="238"/>
  <c r="N44" i="238"/>
  <c r="O43" i="238" s="1"/>
  <c r="B43" i="238"/>
  <c r="B44" i="238" s="1"/>
  <c r="O75" i="237"/>
  <c r="Q50" i="237"/>
  <c r="Q49" i="237"/>
  <c r="Q48" i="237"/>
  <c r="Q47" i="237"/>
  <c r="Q46" i="237"/>
  <c r="N44" i="237"/>
  <c r="O43" i="237" s="1"/>
  <c r="B43" i="237"/>
  <c r="B44" i="237" s="1"/>
  <c r="O75" i="236"/>
  <c r="Q50" i="236"/>
  <c r="Q49" i="236"/>
  <c r="Q48" i="236"/>
  <c r="Q47" i="236"/>
  <c r="Q46" i="236"/>
  <c r="N44" i="236"/>
  <c r="O43" i="236" s="1"/>
  <c r="B43" i="236"/>
  <c r="B44" i="236" s="1"/>
  <c r="O75" i="235"/>
  <c r="Q50" i="235"/>
  <c r="Q49" i="235"/>
  <c r="Q48" i="235"/>
  <c r="Q47" i="235"/>
  <c r="Q46" i="235"/>
  <c r="N44" i="235"/>
  <c r="O43" i="235" s="1"/>
  <c r="B43" i="235"/>
  <c r="A43" i="235" s="1"/>
  <c r="O75" i="234"/>
  <c r="Q50" i="234"/>
  <c r="Q49" i="234"/>
  <c r="Q48" i="234"/>
  <c r="Q47" i="234"/>
  <c r="Q46" i="234"/>
  <c r="N44" i="234"/>
  <c r="O43" i="234" s="1"/>
  <c r="B43" i="234"/>
  <c r="B44" i="234" s="1"/>
  <c r="O75" i="233"/>
  <c r="Q50" i="233"/>
  <c r="Q49" i="233"/>
  <c r="Q48" i="233"/>
  <c r="Q47" i="233"/>
  <c r="Q46" i="233"/>
  <c r="N44" i="233"/>
  <c r="O43" i="233" s="1"/>
  <c r="B43" i="233"/>
  <c r="B44" i="233" s="1"/>
  <c r="O75" i="232"/>
  <c r="Q50" i="232"/>
  <c r="Q49" i="232"/>
  <c r="Q48" i="232"/>
  <c r="Q47" i="232"/>
  <c r="Q46" i="232"/>
  <c r="N44" i="232"/>
  <c r="O43" i="232" s="1"/>
  <c r="B43" i="232"/>
  <c r="B44" i="232" s="1"/>
  <c r="O75" i="231"/>
  <c r="Q50" i="231"/>
  <c r="Q49" i="231"/>
  <c r="Q48" i="231"/>
  <c r="Q47" i="231"/>
  <c r="Q46" i="231"/>
  <c r="N44" i="231"/>
  <c r="O43" i="231" s="1"/>
  <c r="B43" i="231"/>
  <c r="B44" i="231" s="1"/>
  <c r="O75" i="230"/>
  <c r="Q50" i="230"/>
  <c r="Q49" i="230"/>
  <c r="Q48" i="230"/>
  <c r="Q47" i="230"/>
  <c r="Q46" i="230"/>
  <c r="N44" i="230"/>
  <c r="O43" i="230" s="1"/>
  <c r="B43" i="230"/>
  <c r="B44" i="230" s="1"/>
  <c r="O75" i="229"/>
  <c r="Q50" i="229"/>
  <c r="Q49" i="229"/>
  <c r="Q48" i="229"/>
  <c r="Q47" i="229"/>
  <c r="Q46" i="229"/>
  <c r="N44" i="229"/>
  <c r="O43" i="229" s="1"/>
  <c r="B43" i="229"/>
  <c r="B44" i="229" s="1"/>
  <c r="O75" i="227"/>
  <c r="Q50" i="227"/>
  <c r="Q49" i="227"/>
  <c r="Q48" i="227"/>
  <c r="Q47" i="227"/>
  <c r="Q46" i="227"/>
  <c r="N44" i="227"/>
  <c r="O43" i="227" s="1"/>
  <c r="B43" i="227"/>
  <c r="B44" i="227" s="1"/>
  <c r="O75" i="187"/>
  <c r="Q50" i="187"/>
  <c r="Q49" i="187"/>
  <c r="Q48" i="187"/>
  <c r="Q47" i="187"/>
  <c r="Q46" i="187"/>
  <c r="N44" i="187"/>
  <c r="O43" i="187" s="1"/>
  <c r="B43" i="187"/>
  <c r="B44" i="187" s="1"/>
  <c r="E13" i="12"/>
  <c r="D13" i="12"/>
  <c r="A13" i="12"/>
  <c r="E12" i="12"/>
  <c r="D12" i="12"/>
  <c r="A12" i="12"/>
  <c r="E11" i="12"/>
  <c r="D11" i="12"/>
  <c r="A11" i="12"/>
  <c r="E10" i="12"/>
  <c r="D10" i="12"/>
  <c r="A10" i="12"/>
  <c r="E9" i="12"/>
  <c r="D9" i="12"/>
  <c r="A9" i="12"/>
  <c r="E8" i="12"/>
  <c r="D8" i="12"/>
  <c r="A8" i="12"/>
  <c r="E7" i="12"/>
  <c r="D7" i="12"/>
  <c r="A7" i="12"/>
  <c r="O41" i="238"/>
  <c r="Q16" i="238"/>
  <c r="Q15" i="238"/>
  <c r="Q14" i="238"/>
  <c r="Q13" i="238"/>
  <c r="Q12" i="238"/>
  <c r="N10" i="238"/>
  <c r="O9" i="238" s="1"/>
  <c r="B9" i="238"/>
  <c r="B10" i="238" s="1"/>
  <c r="R7" i="238"/>
  <c r="R2" i="238"/>
  <c r="T2" i="238" s="1"/>
  <c r="T221" i="238" s="1"/>
  <c r="C1" i="238"/>
  <c r="O41" i="237"/>
  <c r="Q16" i="237"/>
  <c r="Q15" i="237"/>
  <c r="Q14" i="237"/>
  <c r="Q13" i="237"/>
  <c r="Q12" i="237"/>
  <c r="N10" i="237"/>
  <c r="O9" i="237" s="1"/>
  <c r="B9" i="237"/>
  <c r="B10" i="237" s="1"/>
  <c r="R7" i="237"/>
  <c r="R2" i="237"/>
  <c r="R5" i="237" s="1"/>
  <c r="T5" i="237" s="1"/>
  <c r="C1" i="237"/>
  <c r="O41" i="236"/>
  <c r="Q16" i="236"/>
  <c r="Q15" i="236"/>
  <c r="Q14" i="236"/>
  <c r="Q13" i="236"/>
  <c r="Q12" i="236"/>
  <c r="N10" i="236"/>
  <c r="O9" i="236" s="1"/>
  <c r="B9" i="236"/>
  <c r="B10" i="236" s="1"/>
  <c r="R7" i="236"/>
  <c r="R2" i="236"/>
  <c r="R5" i="236" s="1"/>
  <c r="T5" i="236" s="1"/>
  <c r="C1" i="236"/>
  <c r="O41" i="235"/>
  <c r="Q16" i="235"/>
  <c r="Q15" i="235"/>
  <c r="Q14" i="235"/>
  <c r="Q13" i="235"/>
  <c r="Q12" i="235"/>
  <c r="N10" i="235"/>
  <c r="O9" i="235" s="1"/>
  <c r="B9" i="235"/>
  <c r="B10" i="235" s="1"/>
  <c r="R7" i="235"/>
  <c r="R2" i="235"/>
  <c r="R5" i="235" s="1"/>
  <c r="T5" i="235" s="1"/>
  <c r="C1" i="235"/>
  <c r="O41" i="234"/>
  <c r="Q16" i="234"/>
  <c r="Q15" i="234"/>
  <c r="Q14" i="234"/>
  <c r="Q13" i="234"/>
  <c r="Q12" i="234"/>
  <c r="N10" i="234"/>
  <c r="O9" i="234" s="1"/>
  <c r="B9" i="234"/>
  <c r="B10" i="234" s="1"/>
  <c r="R7" i="234"/>
  <c r="R2" i="234"/>
  <c r="T2" i="234" s="1"/>
  <c r="T49" i="234" s="1"/>
  <c r="C1" i="234"/>
  <c r="O41" i="233"/>
  <c r="Q16" i="233"/>
  <c r="Q15" i="233"/>
  <c r="Q14" i="233"/>
  <c r="Q13" i="233"/>
  <c r="Q12" i="233"/>
  <c r="N10" i="233"/>
  <c r="O9" i="233" s="1"/>
  <c r="B9" i="233"/>
  <c r="B10" i="233" s="1"/>
  <c r="R7" i="233"/>
  <c r="R2" i="233"/>
  <c r="T2" i="233" s="1"/>
  <c r="T49" i="233" s="1"/>
  <c r="C1" i="233"/>
  <c r="O41" i="232"/>
  <c r="Q16" i="232"/>
  <c r="Q15" i="232"/>
  <c r="Q14" i="232"/>
  <c r="Q13" i="232"/>
  <c r="Q12" i="232"/>
  <c r="N10" i="232"/>
  <c r="O9" i="232" s="1"/>
  <c r="B9" i="232"/>
  <c r="B10" i="232" s="1"/>
  <c r="R7" i="232"/>
  <c r="R2" i="232"/>
  <c r="R5" i="232" s="1"/>
  <c r="T5" i="232" s="1"/>
  <c r="C1" i="232"/>
  <c r="O41" i="231"/>
  <c r="Q16" i="231"/>
  <c r="Q15" i="231"/>
  <c r="Q14" i="231"/>
  <c r="Q13" i="231"/>
  <c r="Q12" i="231"/>
  <c r="N10" i="231"/>
  <c r="O9" i="231" s="1"/>
  <c r="B9" i="231"/>
  <c r="B10" i="231" s="1"/>
  <c r="R7" i="231"/>
  <c r="R2" i="231"/>
  <c r="T2" i="231" s="1"/>
  <c r="T51" i="231" s="1"/>
  <c r="C1" i="231"/>
  <c r="O41" i="230"/>
  <c r="Q16" i="230"/>
  <c r="Q15" i="230"/>
  <c r="Q14" i="230"/>
  <c r="Q13" i="230"/>
  <c r="Q12" i="230"/>
  <c r="N10" i="230"/>
  <c r="O9" i="230" s="1"/>
  <c r="B9" i="230"/>
  <c r="B10" i="230" s="1"/>
  <c r="R7" i="230"/>
  <c r="R2" i="230"/>
  <c r="R5" i="230" s="1"/>
  <c r="T5" i="230" s="1"/>
  <c r="C1" i="230"/>
  <c r="O41" i="229"/>
  <c r="Q16" i="229"/>
  <c r="Q15" i="229"/>
  <c r="Q14" i="229"/>
  <c r="Q13" i="229"/>
  <c r="Q12" i="229"/>
  <c r="N10" i="229"/>
  <c r="O9" i="229" s="1"/>
  <c r="B9" i="229"/>
  <c r="A9" i="229" s="1"/>
  <c r="R7" i="229"/>
  <c r="R2" i="229"/>
  <c r="R5" i="229" s="1"/>
  <c r="S5" i="229" s="1"/>
  <c r="C1" i="229"/>
  <c r="A17" i="3"/>
  <c r="G17" i="3"/>
  <c r="F17" i="3"/>
  <c r="A16" i="3"/>
  <c r="G16" i="3"/>
  <c r="F16" i="3"/>
  <c r="A15" i="3"/>
  <c r="G15" i="3"/>
  <c r="F15" i="3"/>
  <c r="A14" i="3"/>
  <c r="G14" i="3"/>
  <c r="F14" i="3"/>
  <c r="A13" i="3"/>
  <c r="G13" i="3"/>
  <c r="F13" i="3"/>
  <c r="A12" i="3"/>
  <c r="G12" i="3"/>
  <c r="F12" i="3"/>
  <c r="A11" i="3"/>
  <c r="G11" i="3"/>
  <c r="F11" i="3"/>
  <c r="G10" i="3"/>
  <c r="F10" i="3"/>
  <c r="A10" i="3"/>
  <c r="A9" i="3"/>
  <c r="G9" i="3"/>
  <c r="F9" i="3"/>
  <c r="A8" i="3"/>
  <c r="G8" i="3"/>
  <c r="F8" i="3"/>
  <c r="F6" i="15"/>
  <c r="G6" i="34"/>
  <c r="J6" i="144"/>
  <c r="BF3" i="241"/>
  <c r="AP4" i="241"/>
  <c r="Z3" i="241"/>
  <c r="R3" i="238"/>
  <c r="A2" i="235"/>
  <c r="R3" i="232"/>
  <c r="R4" i="230"/>
  <c r="L6" i="15"/>
  <c r="L6" i="34"/>
  <c r="I6" i="144"/>
  <c r="BB3" i="241"/>
  <c r="AL4" i="241"/>
  <c r="V4" i="241"/>
  <c r="R3" i="237"/>
  <c r="R4" i="235"/>
  <c r="A2" i="232"/>
  <c r="R3" i="229"/>
  <c r="R4" i="237"/>
  <c r="R3" i="231"/>
  <c r="R4" i="229"/>
  <c r="J6" i="15"/>
  <c r="J6" i="34"/>
  <c r="F6" i="144"/>
  <c r="AX3" i="241"/>
  <c r="AH4" i="241"/>
  <c r="R3" i="241"/>
  <c r="R3" i="236"/>
  <c r="R4" i="234"/>
  <c r="R4" i="231"/>
  <c r="BJ4" i="241"/>
  <c r="R4" i="241"/>
  <c r="R3" i="233"/>
  <c r="A2" i="231"/>
  <c r="H6" i="34"/>
  <c r="Z4" i="241"/>
  <c r="R4" i="233"/>
  <c r="H6" i="15"/>
  <c r="K6" i="34"/>
  <c r="H6" i="144"/>
  <c r="BB4" i="241"/>
  <c r="AL3" i="241"/>
  <c r="V3" i="241"/>
  <c r="A2" i="237"/>
  <c r="R3" i="234"/>
  <c r="R4" i="232"/>
  <c r="A2" i="229"/>
  <c r="K6" i="15"/>
  <c r="F6" i="34"/>
  <c r="G6" i="144"/>
  <c r="AX4" i="241"/>
  <c r="AH3" i="241"/>
  <c r="A2" i="241"/>
  <c r="A2" i="234"/>
  <c r="I6" i="15"/>
  <c r="I6" i="34"/>
  <c r="AT3" i="241"/>
  <c r="AD3" i="241"/>
  <c r="A2" i="236"/>
  <c r="BF4" i="241"/>
  <c r="R4" i="238"/>
  <c r="G6" i="15"/>
  <c r="L6" i="144"/>
  <c r="BJ3" i="241"/>
  <c r="AT4" i="241"/>
  <c r="AD4" i="241"/>
  <c r="A2" i="238"/>
  <c r="R4" i="236"/>
  <c r="A2" i="233"/>
  <c r="R3" i="230"/>
  <c r="K6" i="144"/>
  <c r="AP3" i="241"/>
  <c r="R3" i="235"/>
  <c r="A2" i="230"/>
  <c r="BL2" i="241" l="1"/>
  <c r="BK5" i="241"/>
  <c r="BH2" i="241"/>
  <c r="BG5" i="241"/>
  <c r="BD2" i="241"/>
  <c r="BD5" i="241"/>
  <c r="BC5" i="241"/>
  <c r="AZ2" i="241"/>
  <c r="AZ5" i="241"/>
  <c r="AY5" i="241"/>
  <c r="AV2" i="241"/>
  <c r="AV5" i="241"/>
  <c r="AU5" i="241"/>
  <c r="AR2" i="241"/>
  <c r="AR5" i="241"/>
  <c r="AQ5" i="241"/>
  <c r="AN2" i="241"/>
  <c r="AM5" i="241"/>
  <c r="AJ2" i="241"/>
  <c r="AI5" i="241"/>
  <c r="AF2" i="241"/>
  <c r="AF5" i="241"/>
  <c r="AE5" i="241"/>
  <c r="B45" i="241"/>
  <c r="AB5" i="241"/>
  <c r="AA5" i="241"/>
  <c r="AB2" i="241"/>
  <c r="X2" i="241"/>
  <c r="X5" i="241"/>
  <c r="W5" i="241"/>
  <c r="A247" i="241"/>
  <c r="B249" i="241"/>
  <c r="A248" i="241"/>
  <c r="A179" i="241"/>
  <c r="B214" i="241"/>
  <c r="A180" i="241"/>
  <c r="B181" i="241"/>
  <c r="B146" i="241"/>
  <c r="B113" i="241"/>
  <c r="A112" i="241"/>
  <c r="A111" i="241"/>
  <c r="A77" i="241"/>
  <c r="A78" i="241"/>
  <c r="B79" i="241"/>
  <c r="R5" i="241"/>
  <c r="S5" i="241" s="1"/>
  <c r="A44" i="241"/>
  <c r="A43" i="241"/>
  <c r="A9" i="241"/>
  <c r="J1" i="241"/>
  <c r="A10" i="241"/>
  <c r="B11" i="241"/>
  <c r="T2" i="241"/>
  <c r="A247" i="238"/>
  <c r="T253" i="238"/>
  <c r="B249" i="238"/>
  <c r="A248" i="238"/>
  <c r="T257" i="238"/>
  <c r="T263" i="238"/>
  <c r="T267" i="238"/>
  <c r="T271" i="238"/>
  <c r="T252" i="238"/>
  <c r="T254" i="238"/>
  <c r="T256" i="238"/>
  <c r="T262" i="238"/>
  <c r="T264" i="238"/>
  <c r="T268" i="238"/>
  <c r="T270" i="238"/>
  <c r="T272" i="238"/>
  <c r="T274" i="238"/>
  <c r="T250" i="238"/>
  <c r="T255" i="238"/>
  <c r="T259" i="238"/>
  <c r="T265" i="238"/>
  <c r="T269" i="238"/>
  <c r="T258" i="238"/>
  <c r="T251" i="238"/>
  <c r="A247" i="237"/>
  <c r="A248" i="237"/>
  <c r="B249" i="237"/>
  <c r="A247" i="236"/>
  <c r="A248" i="236"/>
  <c r="B249" i="236"/>
  <c r="A247" i="235"/>
  <c r="A248" i="235"/>
  <c r="B249" i="235"/>
  <c r="T253" i="234"/>
  <c r="A247" i="234"/>
  <c r="A248" i="234"/>
  <c r="B249" i="234"/>
  <c r="T250" i="234"/>
  <c r="T255" i="234"/>
  <c r="T257" i="234"/>
  <c r="T259" i="234"/>
  <c r="T263" i="234"/>
  <c r="T265" i="234"/>
  <c r="T267" i="234"/>
  <c r="T269" i="234"/>
  <c r="T271" i="234"/>
  <c r="T252" i="234"/>
  <c r="T254" i="234"/>
  <c r="T256" i="234"/>
  <c r="T258" i="234"/>
  <c r="T262" i="234"/>
  <c r="T264" i="234"/>
  <c r="T268" i="234"/>
  <c r="T270" i="234"/>
  <c r="T272" i="234"/>
  <c r="T274" i="234"/>
  <c r="T251" i="234"/>
  <c r="T257" i="233"/>
  <c r="T259" i="233"/>
  <c r="T263" i="233"/>
  <c r="T250" i="233"/>
  <c r="T265" i="233"/>
  <c r="T271" i="233"/>
  <c r="A247" i="233"/>
  <c r="T267" i="233"/>
  <c r="T253" i="233"/>
  <c r="T269" i="233"/>
  <c r="T255" i="233"/>
  <c r="A248" i="233"/>
  <c r="B249" i="233"/>
  <c r="T254" i="233"/>
  <c r="T256" i="233"/>
  <c r="T258" i="233"/>
  <c r="T262" i="233"/>
  <c r="T264" i="233"/>
  <c r="T268" i="233"/>
  <c r="T270" i="233"/>
  <c r="T272" i="233"/>
  <c r="T274" i="233"/>
  <c r="T252" i="233"/>
  <c r="T251" i="233"/>
  <c r="A247" i="232"/>
  <c r="A248" i="232"/>
  <c r="B249" i="232"/>
  <c r="A247" i="231"/>
  <c r="T263" i="231"/>
  <c r="T265" i="231"/>
  <c r="T267" i="231"/>
  <c r="T259" i="231"/>
  <c r="T251" i="231"/>
  <c r="T253" i="231"/>
  <c r="T269" i="231"/>
  <c r="T250" i="231"/>
  <c r="T271" i="231"/>
  <c r="T257" i="231"/>
  <c r="T255" i="231"/>
  <c r="A248" i="231"/>
  <c r="B249" i="231"/>
  <c r="T252" i="231"/>
  <c r="T254" i="231"/>
  <c r="T256" i="231"/>
  <c r="T258" i="231"/>
  <c r="T262" i="231"/>
  <c r="T264" i="231"/>
  <c r="T268" i="231"/>
  <c r="T270" i="231"/>
  <c r="T272" i="231"/>
  <c r="T274" i="231"/>
  <c r="A247" i="230"/>
  <c r="A248" i="230"/>
  <c r="B249" i="230"/>
  <c r="A247" i="229"/>
  <c r="B249" i="229"/>
  <c r="A248" i="229"/>
  <c r="A247" i="227"/>
  <c r="B249" i="227"/>
  <c r="A248" i="227"/>
  <c r="A247" i="187"/>
  <c r="B249" i="187"/>
  <c r="A248" i="187"/>
  <c r="T223" i="238"/>
  <c r="T216" i="238"/>
  <c r="T225" i="238"/>
  <c r="T229" i="238"/>
  <c r="T231" i="238"/>
  <c r="T233" i="238"/>
  <c r="A213" i="238"/>
  <c r="T219" i="238"/>
  <c r="T235" i="238"/>
  <c r="T237" i="238"/>
  <c r="A214" i="238"/>
  <c r="B215" i="238"/>
  <c r="T218" i="238"/>
  <c r="T220" i="238"/>
  <c r="T222" i="238"/>
  <c r="T224" i="238"/>
  <c r="T228" i="238"/>
  <c r="T230" i="238"/>
  <c r="T234" i="238"/>
  <c r="T236" i="238"/>
  <c r="T238" i="238"/>
  <c r="T240" i="238"/>
  <c r="T217" i="238"/>
  <c r="A213" i="237"/>
  <c r="A214" i="237"/>
  <c r="B215" i="237"/>
  <c r="A213" i="236"/>
  <c r="A214" i="236"/>
  <c r="B215" i="236"/>
  <c r="A213" i="235"/>
  <c r="A214" i="235"/>
  <c r="B215" i="235"/>
  <c r="T223" i="234"/>
  <c r="T216" i="234"/>
  <c r="T225" i="234"/>
  <c r="T229" i="234"/>
  <c r="T231" i="234"/>
  <c r="A213" i="234"/>
  <c r="T233" i="234"/>
  <c r="T219" i="234"/>
  <c r="T235" i="234"/>
  <c r="T237" i="234"/>
  <c r="T221" i="234"/>
  <c r="B215" i="234"/>
  <c r="A214" i="234"/>
  <c r="T218" i="234"/>
  <c r="T220" i="234"/>
  <c r="T222" i="234"/>
  <c r="T224" i="234"/>
  <c r="T228" i="234"/>
  <c r="T230" i="234"/>
  <c r="T234" i="234"/>
  <c r="T236" i="234"/>
  <c r="T238" i="234"/>
  <c r="T240" i="234"/>
  <c r="T217" i="234"/>
  <c r="T223" i="233"/>
  <c r="T225" i="233"/>
  <c r="T229" i="233"/>
  <c r="T216" i="233"/>
  <c r="T231" i="233"/>
  <c r="A213" i="233"/>
  <c r="T233" i="233"/>
  <c r="T219" i="233"/>
  <c r="T235" i="233"/>
  <c r="T237" i="233"/>
  <c r="T221" i="233"/>
  <c r="A214" i="233"/>
  <c r="B215" i="233"/>
  <c r="T220" i="233"/>
  <c r="T222" i="233"/>
  <c r="T224" i="233"/>
  <c r="T228" i="233"/>
  <c r="T230" i="233"/>
  <c r="T234" i="233"/>
  <c r="T236" i="233"/>
  <c r="T238" i="233"/>
  <c r="T240" i="233"/>
  <c r="T218" i="233"/>
  <c r="T217" i="233"/>
  <c r="A213" i="232"/>
  <c r="B215" i="232"/>
  <c r="A214" i="232"/>
  <c r="T225" i="231"/>
  <c r="T231" i="231"/>
  <c r="A213" i="231"/>
  <c r="T218" i="231"/>
  <c r="T233" i="231"/>
  <c r="T223" i="231"/>
  <c r="T216" i="231"/>
  <c r="T229" i="231"/>
  <c r="T235" i="231"/>
  <c r="T219" i="231"/>
  <c r="T237" i="231"/>
  <c r="T221" i="231"/>
  <c r="A214" i="231"/>
  <c r="B215" i="231"/>
  <c r="T220" i="231"/>
  <c r="T222" i="231"/>
  <c r="T224" i="231"/>
  <c r="T228" i="231"/>
  <c r="T230" i="231"/>
  <c r="T234" i="231"/>
  <c r="T236" i="231"/>
  <c r="T238" i="231"/>
  <c r="T240" i="231"/>
  <c r="T217" i="231"/>
  <c r="A213" i="230"/>
  <c r="A214" i="230"/>
  <c r="B215" i="230"/>
  <c r="A213" i="229"/>
  <c r="A214" i="229"/>
  <c r="B215" i="229"/>
  <c r="A214" i="227"/>
  <c r="B215" i="227"/>
  <c r="A213" i="227"/>
  <c r="A214" i="187"/>
  <c r="B215" i="187"/>
  <c r="A213" i="187"/>
  <c r="A180" i="238"/>
  <c r="B181" i="238"/>
  <c r="A179" i="238"/>
  <c r="T185" i="238"/>
  <c r="T182" i="238"/>
  <c r="T187" i="238"/>
  <c r="T189" i="238"/>
  <c r="T191" i="238"/>
  <c r="T195" i="238"/>
  <c r="T197" i="238"/>
  <c r="T199" i="238"/>
  <c r="T201" i="238"/>
  <c r="T203" i="238"/>
  <c r="T184" i="238"/>
  <c r="T186" i="238"/>
  <c r="T188" i="238"/>
  <c r="T190" i="238"/>
  <c r="T194" i="238"/>
  <c r="T196" i="238"/>
  <c r="T200" i="238"/>
  <c r="T202" i="238"/>
  <c r="T204" i="238"/>
  <c r="T206" i="238"/>
  <c r="T183" i="238"/>
  <c r="A179" i="237"/>
  <c r="A180" i="237"/>
  <c r="B181" i="237"/>
  <c r="A179" i="236"/>
  <c r="A180" i="236"/>
  <c r="B181" i="236"/>
  <c r="A180" i="235"/>
  <c r="B181" i="235"/>
  <c r="A179" i="235"/>
  <c r="T185" i="234"/>
  <c r="A179" i="234"/>
  <c r="A180" i="234"/>
  <c r="B181" i="234"/>
  <c r="T182" i="234"/>
  <c r="T187" i="234"/>
  <c r="T189" i="234"/>
  <c r="T191" i="234"/>
  <c r="T195" i="234"/>
  <c r="T197" i="234"/>
  <c r="T199" i="234"/>
  <c r="T201" i="234"/>
  <c r="T203" i="234"/>
  <c r="T184" i="234"/>
  <c r="T186" i="234"/>
  <c r="T188" i="234"/>
  <c r="T190" i="234"/>
  <c r="T194" i="234"/>
  <c r="T196" i="234"/>
  <c r="T200" i="234"/>
  <c r="T202" i="234"/>
  <c r="T204" i="234"/>
  <c r="T206" i="234"/>
  <c r="T183" i="234"/>
  <c r="A180" i="233"/>
  <c r="B181" i="233"/>
  <c r="A179" i="233"/>
  <c r="T185" i="233"/>
  <c r="T182" i="233"/>
  <c r="T187" i="233"/>
  <c r="T189" i="233"/>
  <c r="T191" i="233"/>
  <c r="T195" i="233"/>
  <c r="T197" i="233"/>
  <c r="T199" i="233"/>
  <c r="T201" i="233"/>
  <c r="T203" i="233"/>
  <c r="T184" i="233"/>
  <c r="T186" i="233"/>
  <c r="T188" i="233"/>
  <c r="T190" i="233"/>
  <c r="T194" i="233"/>
  <c r="T196" i="233"/>
  <c r="T200" i="233"/>
  <c r="T202" i="233"/>
  <c r="T204" i="233"/>
  <c r="T206" i="233"/>
  <c r="T183" i="233"/>
  <c r="A180" i="232"/>
  <c r="B181" i="232"/>
  <c r="A179" i="232"/>
  <c r="A180" i="231"/>
  <c r="B181" i="231"/>
  <c r="A179" i="231"/>
  <c r="T185" i="231"/>
  <c r="T182" i="231"/>
  <c r="T187" i="231"/>
  <c r="T189" i="231"/>
  <c r="T191" i="231"/>
  <c r="T195" i="231"/>
  <c r="T197" i="231"/>
  <c r="T199" i="231"/>
  <c r="T201" i="231"/>
  <c r="T203" i="231"/>
  <c r="T184" i="231"/>
  <c r="T186" i="231"/>
  <c r="T188" i="231"/>
  <c r="T190" i="231"/>
  <c r="T194" i="231"/>
  <c r="T196" i="231"/>
  <c r="T200" i="231"/>
  <c r="T202" i="231"/>
  <c r="T204" i="231"/>
  <c r="T206" i="231"/>
  <c r="T183" i="231"/>
  <c r="A180" i="230"/>
  <c r="B181" i="230"/>
  <c r="A179" i="230"/>
  <c r="A180" i="229"/>
  <c r="B181" i="229"/>
  <c r="A179" i="229"/>
  <c r="A179" i="227"/>
  <c r="A180" i="227"/>
  <c r="B181" i="227"/>
  <c r="A179" i="187"/>
  <c r="A180" i="187"/>
  <c r="B181" i="187"/>
  <c r="A146" i="238"/>
  <c r="B147" i="238"/>
  <c r="A145" i="238"/>
  <c r="T151" i="238"/>
  <c r="T148" i="238"/>
  <c r="T153" i="238"/>
  <c r="T155" i="238"/>
  <c r="T157" i="238"/>
  <c r="T161" i="238"/>
  <c r="T163" i="238"/>
  <c r="T165" i="238"/>
  <c r="T167" i="238"/>
  <c r="T169" i="238"/>
  <c r="T150" i="238"/>
  <c r="T152" i="238"/>
  <c r="T154" i="238"/>
  <c r="T156" i="238"/>
  <c r="T160" i="238"/>
  <c r="T162" i="238"/>
  <c r="T166" i="238"/>
  <c r="T168" i="238"/>
  <c r="T170" i="238"/>
  <c r="T172" i="238"/>
  <c r="T149" i="238"/>
  <c r="A146" i="237"/>
  <c r="B147" i="237"/>
  <c r="A145" i="237"/>
  <c r="A145" i="236"/>
  <c r="A146" i="236"/>
  <c r="B147" i="236"/>
  <c r="A146" i="235"/>
  <c r="B147" i="235"/>
  <c r="A145" i="235"/>
  <c r="A145" i="234"/>
  <c r="T151" i="234"/>
  <c r="B147" i="234"/>
  <c r="A146" i="234"/>
  <c r="T148" i="234"/>
  <c r="T153" i="234"/>
  <c r="T155" i="234"/>
  <c r="T157" i="234"/>
  <c r="T161" i="234"/>
  <c r="T163" i="234"/>
  <c r="T165" i="234"/>
  <c r="T167" i="234"/>
  <c r="T169" i="234"/>
  <c r="T150" i="234"/>
  <c r="T152" i="234"/>
  <c r="T154" i="234"/>
  <c r="T156" i="234"/>
  <c r="T160" i="234"/>
  <c r="T162" i="234"/>
  <c r="T166" i="234"/>
  <c r="T168" i="234"/>
  <c r="T170" i="234"/>
  <c r="T172" i="234"/>
  <c r="T149" i="234"/>
  <c r="A145" i="233"/>
  <c r="T151" i="233"/>
  <c r="T153" i="233"/>
  <c r="T155" i="233"/>
  <c r="T148" i="233"/>
  <c r="T157" i="233"/>
  <c r="A146" i="233"/>
  <c r="B147" i="233"/>
  <c r="T161" i="233"/>
  <c r="T163" i="233"/>
  <c r="T165" i="233"/>
  <c r="T167" i="233"/>
  <c r="T169" i="233"/>
  <c r="T150" i="233"/>
  <c r="T152" i="233"/>
  <c r="T154" i="233"/>
  <c r="T156" i="233"/>
  <c r="T160" i="233"/>
  <c r="T162" i="233"/>
  <c r="T166" i="233"/>
  <c r="T168" i="233"/>
  <c r="T170" i="233"/>
  <c r="T172" i="233"/>
  <c r="T149" i="233"/>
  <c r="A146" i="232"/>
  <c r="B147" i="232"/>
  <c r="A145" i="232"/>
  <c r="A146" i="231"/>
  <c r="B147" i="231"/>
  <c r="A145" i="231"/>
  <c r="T151" i="231"/>
  <c r="T148" i="231"/>
  <c r="T153" i="231"/>
  <c r="T155" i="231"/>
  <c r="T157" i="231"/>
  <c r="T161" i="231"/>
  <c r="T163" i="231"/>
  <c r="T165" i="231"/>
  <c r="T167" i="231"/>
  <c r="T169" i="231"/>
  <c r="T150" i="231"/>
  <c r="T152" i="231"/>
  <c r="T154" i="231"/>
  <c r="T156" i="231"/>
  <c r="T160" i="231"/>
  <c r="T162" i="231"/>
  <c r="T166" i="231"/>
  <c r="T168" i="231"/>
  <c r="T170" i="231"/>
  <c r="T172" i="231"/>
  <c r="T149" i="231"/>
  <c r="A145" i="230"/>
  <c r="A146" i="230"/>
  <c r="B147" i="230"/>
  <c r="A146" i="229"/>
  <c r="B147" i="229"/>
  <c r="A145" i="229"/>
  <c r="A145" i="227"/>
  <c r="A146" i="227"/>
  <c r="B147" i="227"/>
  <c r="A146" i="187"/>
  <c r="B147" i="187"/>
  <c r="A145" i="187"/>
  <c r="A112" i="238"/>
  <c r="B113" i="238"/>
  <c r="A111" i="238"/>
  <c r="T117" i="238"/>
  <c r="T114" i="238"/>
  <c r="T119" i="238"/>
  <c r="T121" i="238"/>
  <c r="T123" i="238"/>
  <c r="T127" i="238"/>
  <c r="T129" i="238"/>
  <c r="T131" i="238"/>
  <c r="T133" i="238"/>
  <c r="T135" i="238"/>
  <c r="T116" i="238"/>
  <c r="T118" i="238"/>
  <c r="T120" i="238"/>
  <c r="T122" i="238"/>
  <c r="T126" i="238"/>
  <c r="T128" i="238"/>
  <c r="T132" i="238"/>
  <c r="T134" i="238"/>
  <c r="T136" i="238"/>
  <c r="T138" i="238"/>
  <c r="T115" i="238"/>
  <c r="A111" i="237"/>
  <c r="A112" i="237"/>
  <c r="B113" i="237"/>
  <c r="A111" i="236"/>
  <c r="A112" i="236"/>
  <c r="B113" i="236"/>
  <c r="A112" i="235"/>
  <c r="B113" i="235"/>
  <c r="A111" i="235"/>
  <c r="T117" i="234"/>
  <c r="A111" i="234"/>
  <c r="A112" i="234"/>
  <c r="B113" i="234"/>
  <c r="T114" i="234"/>
  <c r="T119" i="234"/>
  <c r="T121" i="234"/>
  <c r="T123" i="234"/>
  <c r="T127" i="234"/>
  <c r="T129" i="234"/>
  <c r="T131" i="234"/>
  <c r="T133" i="234"/>
  <c r="T135" i="234"/>
  <c r="T116" i="234"/>
  <c r="T118" i="234"/>
  <c r="T120" i="234"/>
  <c r="T122" i="234"/>
  <c r="T126" i="234"/>
  <c r="T128" i="234"/>
  <c r="T132" i="234"/>
  <c r="T134" i="234"/>
  <c r="T136" i="234"/>
  <c r="T138" i="234"/>
  <c r="T115" i="234"/>
  <c r="A112" i="233"/>
  <c r="B113" i="233"/>
  <c r="A111" i="233"/>
  <c r="T117" i="233"/>
  <c r="T114" i="233"/>
  <c r="T119" i="233"/>
  <c r="T121" i="233"/>
  <c r="T123" i="233"/>
  <c r="T127" i="233"/>
  <c r="T129" i="233"/>
  <c r="T131" i="233"/>
  <c r="T133" i="233"/>
  <c r="T135" i="233"/>
  <c r="T116" i="233"/>
  <c r="T118" i="233"/>
  <c r="T120" i="233"/>
  <c r="T122" i="233"/>
  <c r="T126" i="233"/>
  <c r="T128" i="233"/>
  <c r="T132" i="233"/>
  <c r="T134" i="233"/>
  <c r="T136" i="233"/>
  <c r="T138" i="233"/>
  <c r="T115" i="233"/>
  <c r="A112" i="232"/>
  <c r="B113" i="232"/>
  <c r="A111" i="232"/>
  <c r="T114" i="231"/>
  <c r="A111" i="231"/>
  <c r="T117" i="231"/>
  <c r="A112" i="231"/>
  <c r="B113" i="231"/>
  <c r="T119" i="231"/>
  <c r="T121" i="231"/>
  <c r="T123" i="231"/>
  <c r="T127" i="231"/>
  <c r="T129" i="231"/>
  <c r="T131" i="231"/>
  <c r="T133" i="231"/>
  <c r="T135" i="231"/>
  <c r="T116" i="231"/>
  <c r="T118" i="231"/>
  <c r="T120" i="231"/>
  <c r="T122" i="231"/>
  <c r="T126" i="231"/>
  <c r="T128" i="231"/>
  <c r="T132" i="231"/>
  <c r="T134" i="231"/>
  <c r="T136" i="231"/>
  <c r="T138" i="231"/>
  <c r="T115" i="231"/>
  <c r="A112" i="230"/>
  <c r="B113" i="230"/>
  <c r="A111" i="230"/>
  <c r="A112" i="229"/>
  <c r="B113" i="229"/>
  <c r="A111" i="229"/>
  <c r="A112" i="227"/>
  <c r="B113" i="227"/>
  <c r="A111" i="227"/>
  <c r="A112" i="187"/>
  <c r="B113" i="187"/>
  <c r="A111" i="187"/>
  <c r="A78" i="238"/>
  <c r="B79" i="238"/>
  <c r="A77" i="238"/>
  <c r="T83" i="238"/>
  <c r="T80" i="238"/>
  <c r="T85" i="238"/>
  <c r="T87" i="238"/>
  <c r="T89" i="238"/>
  <c r="T93" i="238"/>
  <c r="T95" i="238"/>
  <c r="T97" i="238"/>
  <c r="T99" i="238"/>
  <c r="T101" i="238"/>
  <c r="T82" i="238"/>
  <c r="T84" i="238"/>
  <c r="T86" i="238"/>
  <c r="T88" i="238"/>
  <c r="T92" i="238"/>
  <c r="T94" i="238"/>
  <c r="T98" i="238"/>
  <c r="T100" i="238"/>
  <c r="T102" i="238"/>
  <c r="T104" i="238"/>
  <c r="T81" i="238"/>
  <c r="A77" i="237"/>
  <c r="A78" i="237"/>
  <c r="B79" i="237"/>
  <c r="A77" i="236"/>
  <c r="A78" i="236"/>
  <c r="B79" i="236"/>
  <c r="A77" i="235"/>
  <c r="A78" i="235"/>
  <c r="B79" i="235"/>
  <c r="T83" i="234"/>
  <c r="A77" i="234"/>
  <c r="A78" i="234"/>
  <c r="B79" i="234"/>
  <c r="T80" i="234"/>
  <c r="T85" i="234"/>
  <c r="T87" i="234"/>
  <c r="T89" i="234"/>
  <c r="T93" i="234"/>
  <c r="T95" i="234"/>
  <c r="T97" i="234"/>
  <c r="T99" i="234"/>
  <c r="T101" i="234"/>
  <c r="T82" i="234"/>
  <c r="T84" i="234"/>
  <c r="T86" i="234"/>
  <c r="T88" i="234"/>
  <c r="T92" i="234"/>
  <c r="T94" i="234"/>
  <c r="T98" i="234"/>
  <c r="T100" i="234"/>
  <c r="T102" i="234"/>
  <c r="T104" i="234"/>
  <c r="T81" i="234"/>
  <c r="A78" i="233"/>
  <c r="B79" i="233"/>
  <c r="A77" i="233"/>
  <c r="T83" i="233"/>
  <c r="T80" i="233"/>
  <c r="T85" i="233"/>
  <c r="T87" i="233"/>
  <c r="T89" i="233"/>
  <c r="T93" i="233"/>
  <c r="T95" i="233"/>
  <c r="T97" i="233"/>
  <c r="T99" i="233"/>
  <c r="T101" i="233"/>
  <c r="T82" i="233"/>
  <c r="T84" i="233"/>
  <c r="T86" i="233"/>
  <c r="T88" i="233"/>
  <c r="T92" i="233"/>
  <c r="T94" i="233"/>
  <c r="T98" i="233"/>
  <c r="T100" i="233"/>
  <c r="T102" i="233"/>
  <c r="T104" i="233"/>
  <c r="T81" i="233"/>
  <c r="B78" i="232"/>
  <c r="A78" i="231"/>
  <c r="B79" i="231"/>
  <c r="A77" i="231"/>
  <c r="T83" i="231"/>
  <c r="T80" i="231"/>
  <c r="T85" i="231"/>
  <c r="T87" i="231"/>
  <c r="T89" i="231"/>
  <c r="T93" i="231"/>
  <c r="T95" i="231"/>
  <c r="T97" i="231"/>
  <c r="T99" i="231"/>
  <c r="T101" i="231"/>
  <c r="T82" i="231"/>
  <c r="T84" i="231"/>
  <c r="T86" i="231"/>
  <c r="T88" i="231"/>
  <c r="T92" i="231"/>
  <c r="T94" i="231"/>
  <c r="T98" i="231"/>
  <c r="T100" i="231"/>
  <c r="T102" i="231"/>
  <c r="T104" i="231"/>
  <c r="T81" i="231"/>
  <c r="A77" i="230"/>
  <c r="A78" i="230"/>
  <c r="B79" i="230"/>
  <c r="A77" i="229"/>
  <c r="A78" i="229"/>
  <c r="B79" i="229"/>
  <c r="A78" i="227"/>
  <c r="B79" i="227"/>
  <c r="A77" i="227"/>
  <c r="A78" i="187"/>
  <c r="B79" i="187"/>
  <c r="A77" i="187"/>
  <c r="A43" i="238"/>
  <c r="B45" i="238"/>
  <c r="A44" i="238"/>
  <c r="T49" i="238"/>
  <c r="T46" i="238"/>
  <c r="T51" i="238"/>
  <c r="T53" i="238"/>
  <c r="T55" i="238"/>
  <c r="T59" i="238"/>
  <c r="T61" i="238"/>
  <c r="T63" i="238"/>
  <c r="T65" i="238"/>
  <c r="T67" i="238"/>
  <c r="T48" i="238"/>
  <c r="T50" i="238"/>
  <c r="T52" i="238"/>
  <c r="T54" i="238"/>
  <c r="T58" i="238"/>
  <c r="T60" i="238"/>
  <c r="T64" i="238"/>
  <c r="T66" i="238"/>
  <c r="T68" i="238"/>
  <c r="T70" i="238"/>
  <c r="T47" i="238"/>
  <c r="A43" i="237"/>
  <c r="A44" i="237"/>
  <c r="B45" i="237"/>
  <c r="A43" i="236"/>
  <c r="A44" i="236"/>
  <c r="B45" i="236"/>
  <c r="B44" i="235"/>
  <c r="A43" i="234"/>
  <c r="B45" i="234"/>
  <c r="A44" i="234"/>
  <c r="T46" i="234"/>
  <c r="T51" i="234"/>
  <c r="T53" i="234"/>
  <c r="T55" i="234"/>
  <c r="T59" i="234"/>
  <c r="T61" i="234"/>
  <c r="T63" i="234"/>
  <c r="T65" i="234"/>
  <c r="T67" i="234"/>
  <c r="T48" i="234"/>
  <c r="T50" i="234"/>
  <c r="T52" i="234"/>
  <c r="T54" i="234"/>
  <c r="T58" i="234"/>
  <c r="T60" i="234"/>
  <c r="T64" i="234"/>
  <c r="T66" i="234"/>
  <c r="T68" i="234"/>
  <c r="T70" i="234"/>
  <c r="T47" i="234"/>
  <c r="A43" i="233"/>
  <c r="B45" i="233"/>
  <c r="A44" i="233"/>
  <c r="T46" i="233"/>
  <c r="T51" i="233"/>
  <c r="T53" i="233"/>
  <c r="T55" i="233"/>
  <c r="T59" i="233"/>
  <c r="T61" i="233"/>
  <c r="T63" i="233"/>
  <c r="T65" i="233"/>
  <c r="T67" i="233"/>
  <c r="T48" i="233"/>
  <c r="T50" i="233"/>
  <c r="T52" i="233"/>
  <c r="T54" i="233"/>
  <c r="T58" i="233"/>
  <c r="T60" i="233"/>
  <c r="T64" i="233"/>
  <c r="T66" i="233"/>
  <c r="T68" i="233"/>
  <c r="T70" i="233"/>
  <c r="T47" i="233"/>
  <c r="A43" i="232"/>
  <c r="B45" i="232"/>
  <c r="A44" i="232"/>
  <c r="T53" i="231"/>
  <c r="T46" i="231"/>
  <c r="T55" i="231"/>
  <c r="T59" i="231"/>
  <c r="T61" i="231"/>
  <c r="T63" i="231"/>
  <c r="A43" i="231"/>
  <c r="T49" i="231"/>
  <c r="T65" i="231"/>
  <c r="T67" i="231"/>
  <c r="A44" i="231"/>
  <c r="B45" i="231"/>
  <c r="T48" i="231"/>
  <c r="T50" i="231"/>
  <c r="T52" i="231"/>
  <c r="T54" i="231"/>
  <c r="T58" i="231"/>
  <c r="T60" i="231"/>
  <c r="T64" i="231"/>
  <c r="T66" i="231"/>
  <c r="T68" i="231"/>
  <c r="T70" i="231"/>
  <c r="T47" i="231"/>
  <c r="A43" i="230"/>
  <c r="A44" i="230"/>
  <c r="B45" i="230"/>
  <c r="A43" i="229"/>
  <c r="B45" i="229"/>
  <c r="A44" i="229"/>
  <c r="A43" i="227"/>
  <c r="A44" i="227"/>
  <c r="B45" i="227"/>
  <c r="A43" i="187"/>
  <c r="A44" i="187"/>
  <c r="B45" i="187"/>
  <c r="R5" i="238"/>
  <c r="T5" i="238" s="1"/>
  <c r="I1" i="238"/>
  <c r="K1" i="238"/>
  <c r="J1" i="238"/>
  <c r="A10" i="238"/>
  <c r="B11" i="238"/>
  <c r="T13" i="238"/>
  <c r="T36" i="238"/>
  <c r="T34" i="238"/>
  <c r="T32" i="238"/>
  <c r="T30" i="238"/>
  <c r="T26" i="238"/>
  <c r="T24" i="238"/>
  <c r="T20" i="238"/>
  <c r="T18" i="238"/>
  <c r="T16" i="238"/>
  <c r="T14" i="238"/>
  <c r="T33" i="238"/>
  <c r="T31" i="238"/>
  <c r="T29" i="238"/>
  <c r="T27" i="238"/>
  <c r="T25" i="238"/>
  <c r="T21" i="238"/>
  <c r="T19" i="238"/>
  <c r="T17" i="238"/>
  <c r="T12" i="238"/>
  <c r="T15" i="238"/>
  <c r="A9" i="238"/>
  <c r="J1" i="237"/>
  <c r="A10" i="237"/>
  <c r="B11" i="237"/>
  <c r="A9" i="237"/>
  <c r="S5" i="237"/>
  <c r="T2" i="237"/>
  <c r="J1" i="236"/>
  <c r="A10" i="236"/>
  <c r="B11" i="236"/>
  <c r="A9" i="236"/>
  <c r="S5" i="236"/>
  <c r="T2" i="236"/>
  <c r="T2" i="235"/>
  <c r="J1" i="235"/>
  <c r="A10" i="235"/>
  <c r="B11" i="235"/>
  <c r="A9" i="235"/>
  <c r="S5" i="235"/>
  <c r="R5" i="234"/>
  <c r="T5" i="234" s="1"/>
  <c r="A9" i="234"/>
  <c r="I1" i="234"/>
  <c r="J1" i="234"/>
  <c r="K1" i="234"/>
  <c r="A10" i="234"/>
  <c r="B11" i="234"/>
  <c r="T13" i="234"/>
  <c r="T36" i="234"/>
  <c r="T34" i="234"/>
  <c r="T32" i="234"/>
  <c r="T30" i="234"/>
  <c r="T26" i="234"/>
  <c r="T24" i="234"/>
  <c r="T20" i="234"/>
  <c r="T18" i="234"/>
  <c r="T16" i="234"/>
  <c r="T14" i="234"/>
  <c r="T33" i="234"/>
  <c r="T31" i="234"/>
  <c r="T29" i="234"/>
  <c r="T27" i="234"/>
  <c r="T25" i="234"/>
  <c r="T21" i="234"/>
  <c r="T19" i="234"/>
  <c r="T17" i="234"/>
  <c r="T12" i="234"/>
  <c r="T15" i="234"/>
  <c r="R5" i="233"/>
  <c r="T5" i="233" s="1"/>
  <c r="I1" i="233"/>
  <c r="K1" i="233"/>
  <c r="J1" i="233"/>
  <c r="A10" i="233"/>
  <c r="B11" i="233"/>
  <c r="T13" i="233"/>
  <c r="T18" i="233"/>
  <c r="T36" i="233"/>
  <c r="T34" i="233"/>
  <c r="T32" i="233"/>
  <c r="T30" i="233"/>
  <c r="T26" i="233"/>
  <c r="T24" i="233"/>
  <c r="T20" i="233"/>
  <c r="T16" i="233"/>
  <c r="T14" i="233"/>
  <c r="T33" i="233"/>
  <c r="T31" i="233"/>
  <c r="T29" i="233"/>
  <c r="T27" i="233"/>
  <c r="T25" i="233"/>
  <c r="T21" i="233"/>
  <c r="T19" i="233"/>
  <c r="T17" i="233"/>
  <c r="T12" i="233"/>
  <c r="T15" i="233"/>
  <c r="A9" i="233"/>
  <c r="T2" i="232"/>
  <c r="A10" i="232"/>
  <c r="B11" i="232"/>
  <c r="A9" i="232"/>
  <c r="J1" i="232"/>
  <c r="S5" i="232"/>
  <c r="R5" i="231"/>
  <c r="T5" i="231" s="1"/>
  <c r="A9" i="231"/>
  <c r="I1" i="231"/>
  <c r="J1" i="231"/>
  <c r="K1" i="231"/>
  <c r="T13" i="231"/>
  <c r="T36" i="231"/>
  <c r="T34" i="231"/>
  <c r="T32" i="231"/>
  <c r="T30" i="231"/>
  <c r="T26" i="231"/>
  <c r="T24" i="231"/>
  <c r="T20" i="231"/>
  <c r="T18" i="231"/>
  <c r="T16" i="231"/>
  <c r="T14" i="231"/>
  <c r="T33" i="231"/>
  <c r="T31" i="231"/>
  <c r="T29" i="231"/>
  <c r="T27" i="231"/>
  <c r="T25" i="231"/>
  <c r="T21" i="231"/>
  <c r="T19" i="231"/>
  <c r="T17" i="231"/>
  <c r="T12" i="231"/>
  <c r="T15" i="231"/>
  <c r="B11" i="231"/>
  <c r="A10" i="231"/>
  <c r="J1" i="230"/>
  <c r="A10" i="230"/>
  <c r="B11" i="230"/>
  <c r="A9" i="230"/>
  <c r="S5" i="230"/>
  <c r="T2" i="230"/>
  <c r="T2" i="229"/>
  <c r="B10" i="229"/>
  <c r="B11" i="229" s="1"/>
  <c r="B12" i="229" s="1"/>
  <c r="A12" i="229" s="1"/>
  <c r="J1" i="229"/>
  <c r="T5" i="229"/>
  <c r="O41" i="227"/>
  <c r="Q16" i="227"/>
  <c r="Q15" i="227"/>
  <c r="Q14" i="227"/>
  <c r="Q13" i="227"/>
  <c r="Q12" i="227"/>
  <c r="N10" i="227"/>
  <c r="O9" i="227" s="1"/>
  <c r="B9" i="227"/>
  <c r="B10" i="227" s="1"/>
  <c r="R7" i="227"/>
  <c r="R2" i="227"/>
  <c r="C1" i="227"/>
  <c r="A7" i="3"/>
  <c r="G7" i="3"/>
  <c r="F7" i="3"/>
  <c r="BN3" i="241"/>
  <c r="C17" i="110"/>
  <c r="C9" i="110"/>
  <c r="U264" i="238"/>
  <c r="U252" i="238"/>
  <c r="U268" i="238"/>
  <c r="U272" i="234"/>
  <c r="U258" i="234"/>
  <c r="U262" i="233"/>
  <c r="U255" i="233"/>
  <c r="U257" i="233"/>
  <c r="U257" i="231"/>
  <c r="U258" i="231"/>
  <c r="U265" i="231"/>
  <c r="U225" i="238"/>
  <c r="U235" i="238"/>
  <c r="U219" i="234"/>
  <c r="U231" i="234"/>
  <c r="U237" i="234"/>
  <c r="U229" i="233"/>
  <c r="U216" i="233"/>
  <c r="U218" i="233"/>
  <c r="U230" i="231"/>
  <c r="U220" i="231"/>
  <c r="U183" i="238"/>
  <c r="U188" i="238"/>
  <c r="U184" i="238"/>
  <c r="U189" i="234"/>
  <c r="U182" i="234"/>
  <c r="U194" i="233"/>
  <c r="U182" i="233"/>
  <c r="U200" i="233"/>
  <c r="U203" i="231"/>
  <c r="U199" i="231"/>
  <c r="U196" i="231"/>
  <c r="U150" i="238"/>
  <c r="U165" i="238"/>
  <c r="U167" i="234"/>
  <c r="U148" i="234"/>
  <c r="U169" i="234"/>
  <c r="U156" i="233"/>
  <c r="U167" i="233"/>
  <c r="U161" i="233"/>
  <c r="U156" i="231"/>
  <c r="U168" i="231"/>
  <c r="U115" i="238"/>
  <c r="U120" i="238"/>
  <c r="U127" i="238"/>
  <c r="U122" i="234"/>
  <c r="U118" i="234"/>
  <c r="U126" i="233"/>
  <c r="U133" i="233"/>
  <c r="U129" i="233"/>
  <c r="U121" i="231"/>
  <c r="U114" i="231"/>
  <c r="U129" i="231"/>
  <c r="U88" i="238"/>
  <c r="U84" i="238"/>
  <c r="U81" i="234"/>
  <c r="U93" i="234"/>
  <c r="U83" i="234"/>
  <c r="U85" i="233"/>
  <c r="U83" i="233"/>
  <c r="U89" i="233"/>
  <c r="U99" i="231"/>
  <c r="U95" i="231"/>
  <c r="U47" i="238"/>
  <c r="U49" i="238"/>
  <c r="U48" i="238"/>
  <c r="U63" i="234"/>
  <c r="U51" i="234"/>
  <c r="U64" i="233"/>
  <c r="U51" i="233"/>
  <c r="U68" i="233"/>
  <c r="U58" i="231"/>
  <c r="U52" i="231"/>
  <c r="U61" i="231"/>
  <c r="C16" i="110"/>
  <c r="U251" i="238"/>
  <c r="U257" i="238"/>
  <c r="U263" i="238"/>
  <c r="U254" i="234"/>
  <c r="U265" i="234"/>
  <c r="U267" i="233"/>
  <c r="U268" i="233"/>
  <c r="U259" i="233"/>
  <c r="U252" i="231"/>
  <c r="U269" i="231"/>
  <c r="U268" i="231"/>
  <c r="U236" i="238"/>
  <c r="U216" i="238"/>
  <c r="U217" i="234"/>
  <c r="U238" i="234"/>
  <c r="U221" i="234"/>
  <c r="U235" i="233"/>
  <c r="U222" i="233"/>
  <c r="U219" i="231"/>
  <c r="U221" i="231"/>
  <c r="U203" i="238"/>
  <c r="U199" i="238"/>
  <c r="U196" i="238"/>
  <c r="U206" i="234"/>
  <c r="U202" i="234"/>
  <c r="U189" i="233"/>
  <c r="U204" i="233"/>
  <c r="U195" i="233"/>
  <c r="U185" i="231"/>
  <c r="U162" i="238"/>
  <c r="U157" i="234"/>
  <c r="U150" i="234"/>
  <c r="U160" i="231"/>
  <c r="U152" i="231"/>
  <c r="U131" i="238"/>
  <c r="U131" i="234"/>
  <c r="U114" i="233"/>
  <c r="U138" i="231"/>
  <c r="U127" i="231"/>
  <c r="U95" i="238"/>
  <c r="U102" i="234"/>
  <c r="U100" i="233"/>
  <c r="U80" i="231"/>
  <c r="U66" i="238"/>
  <c r="U67" i="234"/>
  <c r="U65" i="233"/>
  <c r="U216" i="231"/>
  <c r="U187" i="231"/>
  <c r="U191" i="231"/>
  <c r="U151" i="238"/>
  <c r="U170" i="234"/>
  <c r="U155" i="233"/>
  <c r="U148" i="233"/>
  <c r="U167" i="231"/>
  <c r="U135" i="238"/>
  <c r="U116" i="238"/>
  <c r="U135" i="234"/>
  <c r="U121" i="233"/>
  <c r="U132" i="233"/>
  <c r="U128" i="231"/>
  <c r="U99" i="238"/>
  <c r="U92" i="234"/>
  <c r="U82" i="234"/>
  <c r="U104" i="233"/>
  <c r="U92" i="231"/>
  <c r="U98" i="231"/>
  <c r="U46" i="238"/>
  <c r="U60" i="238"/>
  <c r="U60" i="234"/>
  <c r="U58" i="233"/>
  <c r="C14" i="110"/>
  <c r="Y3" i="241"/>
  <c r="U254" i="238"/>
  <c r="U269" i="238"/>
  <c r="U257" i="234"/>
  <c r="U250" i="234"/>
  <c r="U263" i="234"/>
  <c r="U250" i="233"/>
  <c r="U258" i="233"/>
  <c r="U253" i="233"/>
  <c r="U272" i="231"/>
  <c r="U254" i="231"/>
  <c r="U229" i="238"/>
  <c r="U223" i="238"/>
  <c r="U230" i="238"/>
  <c r="U235" i="234"/>
  <c r="U225" i="234"/>
  <c r="U230" i="234"/>
  <c r="U236" i="233"/>
  <c r="U237" i="233"/>
  <c r="U222" i="231"/>
  <c r="U240" i="231"/>
  <c r="U223" i="231"/>
  <c r="U206" i="238"/>
  <c r="U202" i="238"/>
  <c r="U196" i="234"/>
  <c r="U203" i="234"/>
  <c r="U199" i="234"/>
  <c r="U203" i="233"/>
  <c r="U199" i="233"/>
  <c r="U196" i="233"/>
  <c r="U190" i="231"/>
  <c r="U186" i="231"/>
  <c r="U155" i="238"/>
  <c r="U156" i="238"/>
  <c r="U152" i="238"/>
  <c r="U165" i="234"/>
  <c r="U155" i="234"/>
  <c r="U162" i="234"/>
  <c r="U154" i="233"/>
  <c r="U165" i="233"/>
  <c r="U161" i="231"/>
  <c r="U170" i="231"/>
  <c r="U150" i="231"/>
  <c r="U138" i="238"/>
  <c r="U134" i="238"/>
  <c r="U126" i="234"/>
  <c r="U136" i="234"/>
  <c r="U132" i="234"/>
  <c r="U115" i="233"/>
  <c r="U120" i="233"/>
  <c r="U116" i="233"/>
  <c r="U135" i="231"/>
  <c r="U118" i="231"/>
  <c r="U87" i="238"/>
  <c r="U102" i="238"/>
  <c r="U93" i="238"/>
  <c r="U87" i="234"/>
  <c r="U99" i="234"/>
  <c r="U95" i="234"/>
  <c r="U99" i="233"/>
  <c r="U95" i="233"/>
  <c r="U81" i="231"/>
  <c r="U86" i="231"/>
  <c r="U82" i="231"/>
  <c r="U70" i="238"/>
  <c r="U61" i="238"/>
  <c r="U68" i="234"/>
  <c r="U55" i="234"/>
  <c r="U53" i="234"/>
  <c r="U67" i="233"/>
  <c r="U48" i="233"/>
  <c r="U66" i="233"/>
  <c r="U70" i="231"/>
  <c r="U66" i="231"/>
  <c r="U251" i="234"/>
  <c r="U264" i="233"/>
  <c r="U269" i="233"/>
  <c r="U256" i="231"/>
  <c r="U234" i="238"/>
  <c r="U216" i="234"/>
  <c r="U233" i="233"/>
  <c r="U225" i="233"/>
  <c r="U224" i="231"/>
  <c r="U190" i="238"/>
  <c r="U186" i="238"/>
  <c r="U187" i="234"/>
  <c r="U187" i="233"/>
  <c r="U191" i="233"/>
  <c r="U197" i="231"/>
  <c r="U167" i="238"/>
  <c r="U153" i="234"/>
  <c r="U160" i="233"/>
  <c r="U151" i="233"/>
  <c r="U154" i="231"/>
  <c r="U162" i="231"/>
  <c r="U118" i="238"/>
  <c r="U120" i="234"/>
  <c r="U135" i="233"/>
  <c r="U123" i="233"/>
  <c r="U131" i="231"/>
  <c r="U86" i="238"/>
  <c r="U104" i="234"/>
  <c r="U92" i="233"/>
  <c r="U98" i="233"/>
  <c r="U97" i="231"/>
  <c r="U54" i="238"/>
  <c r="U52" i="234"/>
  <c r="U46" i="234"/>
  <c r="U70" i="233"/>
  <c r="U54" i="231"/>
  <c r="U267" i="238"/>
  <c r="U256" i="238"/>
  <c r="U256" i="234"/>
  <c r="U252" i="234"/>
  <c r="C21" i="110"/>
  <c r="C13" i="110"/>
  <c r="U3" i="241"/>
  <c r="U253" i="238"/>
  <c r="U272" i="238"/>
  <c r="U270" i="234"/>
  <c r="U264" i="234"/>
  <c r="U263" i="233"/>
  <c r="U262" i="231"/>
  <c r="U240" i="238"/>
  <c r="U219" i="238"/>
  <c r="U234" i="234"/>
  <c r="U234" i="233"/>
  <c r="U225" i="231"/>
  <c r="U228" i="231"/>
  <c r="U184" i="234"/>
  <c r="U185" i="234"/>
  <c r="U185" i="233"/>
  <c r="U201" i="231"/>
  <c r="U157" i="238"/>
  <c r="U163" i="238"/>
  <c r="U151" i="234"/>
  <c r="U169" i="233"/>
  <c r="U149" i="231"/>
  <c r="U122" i="238"/>
  <c r="U123" i="234"/>
  <c r="U129" i="234"/>
  <c r="U131" i="233"/>
  <c r="U119" i="231"/>
  <c r="U81" i="238"/>
  <c r="U82" i="238"/>
  <c r="U80" i="234"/>
  <c r="U80" i="233"/>
  <c r="U101" i="231"/>
  <c r="U94" i="231"/>
  <c r="U64" i="238"/>
  <c r="U58" i="234"/>
  <c r="U63" i="233"/>
  <c r="U50" i="233"/>
  <c r="U50" i="231"/>
  <c r="C20" i="110"/>
  <c r="C12" i="110"/>
  <c r="AW3" i="241"/>
  <c r="U274" i="234"/>
  <c r="U251" i="233"/>
  <c r="U270" i="233"/>
  <c r="C10" i="110"/>
  <c r="U259" i="238"/>
  <c r="U255" i="234"/>
  <c r="U265" i="233"/>
  <c r="U264" i="231"/>
  <c r="U274" i="231"/>
  <c r="U217" i="238"/>
  <c r="U218" i="234"/>
  <c r="U230" i="233"/>
  <c r="U240" i="233"/>
  <c r="U235" i="231"/>
  <c r="U204" i="238"/>
  <c r="U191" i="234"/>
  <c r="U195" i="234"/>
  <c r="U197" i="233"/>
  <c r="U188" i="231"/>
  <c r="U153" i="238"/>
  <c r="U160" i="234"/>
  <c r="U166" i="234"/>
  <c r="U152" i="233"/>
  <c r="U172" i="231"/>
  <c r="U121" i="238"/>
  <c r="U132" i="238"/>
  <c r="U134" i="234"/>
  <c r="U122" i="233"/>
  <c r="U115" i="231"/>
  <c r="U132" i="231"/>
  <c r="U100" i="238"/>
  <c r="U85" i="234"/>
  <c r="U101" i="233"/>
  <c r="U94" i="233"/>
  <c r="U84" i="231"/>
  <c r="U52" i="238"/>
  <c r="U50" i="234"/>
  <c r="U48" i="234"/>
  <c r="U49" i="233"/>
  <c r="U67" i="231"/>
  <c r="U59" i="231"/>
  <c r="U117" i="234"/>
  <c r="U136" i="233"/>
  <c r="U122" i="231"/>
  <c r="U92" i="238"/>
  <c r="U98" i="238"/>
  <c r="U88" i="233"/>
  <c r="U93" i="231"/>
  <c r="U64" i="234"/>
  <c r="U52" i="233"/>
  <c r="AS3" i="241"/>
  <c r="U267" i="234"/>
  <c r="U224" i="238"/>
  <c r="U236" i="231"/>
  <c r="U204" i="234"/>
  <c r="U148" i="238"/>
  <c r="U150" i="233"/>
  <c r="U116" i="234"/>
  <c r="U101" i="238"/>
  <c r="U102" i="233"/>
  <c r="U61" i="234"/>
  <c r="U68" i="231"/>
  <c r="U271" i="238"/>
  <c r="U272" i="233"/>
  <c r="U236" i="234"/>
  <c r="U231" i="231"/>
  <c r="U188" i="234"/>
  <c r="U195" i="231"/>
  <c r="U156" i="234"/>
  <c r="U114" i="238"/>
  <c r="U134" i="233"/>
  <c r="U84" i="234"/>
  <c r="U58" i="238"/>
  <c r="U60" i="231"/>
  <c r="U220" i="234"/>
  <c r="U218" i="231"/>
  <c r="U201" i="233"/>
  <c r="U172" i="233"/>
  <c r="U166" i="231"/>
  <c r="U118" i="233"/>
  <c r="U104" i="238"/>
  <c r="U88" i="231"/>
  <c r="U61" i="233"/>
  <c r="C18" i="110"/>
  <c r="U262" i="234"/>
  <c r="U229" i="234"/>
  <c r="U191" i="238"/>
  <c r="U188" i="233"/>
  <c r="U154" i="234"/>
  <c r="U128" i="233"/>
  <c r="U134" i="231"/>
  <c r="U102" i="231"/>
  <c r="U47" i="231"/>
  <c r="U250" i="238"/>
  <c r="U237" i="238"/>
  <c r="U201" i="238"/>
  <c r="U149" i="238"/>
  <c r="U47" i="234"/>
  <c r="C11" i="110"/>
  <c r="U252" i="233"/>
  <c r="U224" i="234"/>
  <c r="U238" i="231"/>
  <c r="U186" i="233"/>
  <c r="U152" i="234"/>
  <c r="U123" i="238"/>
  <c r="U116" i="231"/>
  <c r="U100" i="231"/>
  <c r="U54" i="234"/>
  <c r="U274" i="238"/>
  <c r="U269" i="234"/>
  <c r="U271" i="233"/>
  <c r="U253" i="231"/>
  <c r="U218" i="238"/>
  <c r="U231" i="238"/>
  <c r="U222" i="234"/>
  <c r="U238" i="233"/>
  <c r="U233" i="231"/>
  <c r="U234" i="231"/>
  <c r="U185" i="238"/>
  <c r="U190" i="234"/>
  <c r="U183" i="233"/>
  <c r="U184" i="233"/>
  <c r="U202" i="231"/>
  <c r="U172" i="238"/>
  <c r="U149" i="234"/>
  <c r="U163" i="234"/>
  <c r="U166" i="233"/>
  <c r="U148" i="231"/>
  <c r="U119" i="238"/>
  <c r="U128" i="238"/>
  <c r="U86" i="234"/>
  <c r="U87" i="231"/>
  <c r="U50" i="238"/>
  <c r="U47" i="233"/>
  <c r="U51" i="231"/>
  <c r="U258" i="238"/>
  <c r="U271" i="231"/>
  <c r="U233" i="238"/>
  <c r="U228" i="233"/>
  <c r="U237" i="231"/>
  <c r="U206" i="233"/>
  <c r="U200" i="231"/>
  <c r="U172" i="234"/>
  <c r="U165" i="231"/>
  <c r="U115" i="234"/>
  <c r="U117" i="233"/>
  <c r="U94" i="238"/>
  <c r="U85" i="231"/>
  <c r="U67" i="238"/>
  <c r="U60" i="233"/>
  <c r="U228" i="238"/>
  <c r="U194" i="238"/>
  <c r="U189" i="231"/>
  <c r="U157" i="233"/>
  <c r="U121" i="234"/>
  <c r="U89" i="238"/>
  <c r="U53" i="238"/>
  <c r="U222" i="238"/>
  <c r="U195" i="238"/>
  <c r="U184" i="231"/>
  <c r="U136" i="238"/>
  <c r="U94" i="234"/>
  <c r="U51" i="238"/>
  <c r="U250" i="231"/>
  <c r="U217" i="231"/>
  <c r="U206" i="231"/>
  <c r="U163" i="231"/>
  <c r="U89" i="234"/>
  <c r="U59" i="234"/>
  <c r="U259" i="234"/>
  <c r="U221" i="233"/>
  <c r="U202" i="233"/>
  <c r="U169" i="231"/>
  <c r="U119" i="233"/>
  <c r="U93" i="233"/>
  <c r="U55" i="231"/>
  <c r="U263" i="231"/>
  <c r="U182" i="238"/>
  <c r="U161" i="238"/>
  <c r="U138" i="233"/>
  <c r="U81" i="233"/>
  <c r="U53" i="231"/>
  <c r="AK3" i="241"/>
  <c r="U274" i="233"/>
  <c r="U223" i="234"/>
  <c r="U197" i="238"/>
  <c r="U194" i="231"/>
  <c r="U149" i="233"/>
  <c r="U133" i="238"/>
  <c r="U136" i="231"/>
  <c r="U100" i="234"/>
  <c r="U89" i="231"/>
  <c r="U53" i="233"/>
  <c r="AO3" i="241"/>
  <c r="U268" i="234"/>
  <c r="U255" i="231"/>
  <c r="U231" i="233"/>
  <c r="U200" i="238"/>
  <c r="U190" i="233"/>
  <c r="U170" i="238"/>
  <c r="U163" i="233"/>
  <c r="U127" i="234"/>
  <c r="U85" i="238"/>
  <c r="U86" i="233"/>
  <c r="U65" i="234"/>
  <c r="U65" i="231"/>
  <c r="U48" i="231"/>
  <c r="U270" i="238"/>
  <c r="U233" i="234"/>
  <c r="U220" i="233"/>
  <c r="U186" i="234"/>
  <c r="U170" i="233"/>
  <c r="U119" i="234"/>
  <c r="U80" i="238"/>
  <c r="U65" i="238"/>
  <c r="U63" i="231"/>
  <c r="C15" i="110"/>
  <c r="U267" i="231"/>
  <c r="U240" i="234"/>
  <c r="U183" i="234"/>
  <c r="U166" i="238"/>
  <c r="U153" i="233"/>
  <c r="U133" i="234"/>
  <c r="U97" i="238"/>
  <c r="U87" i="233"/>
  <c r="U70" i="234"/>
  <c r="U238" i="238"/>
  <c r="U151" i="231"/>
  <c r="U120" i="231"/>
  <c r="U104" i="231"/>
  <c r="U59" i="233"/>
  <c r="U228" i="234"/>
  <c r="U189" i="238"/>
  <c r="U183" i="231"/>
  <c r="U161" i="234"/>
  <c r="U162" i="233"/>
  <c r="U128" i="234"/>
  <c r="U133" i="231"/>
  <c r="U97" i="233"/>
  <c r="U49" i="234"/>
  <c r="U46" i="231"/>
  <c r="U220" i="238"/>
  <c r="U168" i="238"/>
  <c r="U155" i="231"/>
  <c r="U127" i="233"/>
  <c r="U84" i="233"/>
  <c r="U59" i="238"/>
  <c r="U259" i="231"/>
  <c r="U229" i="231"/>
  <c r="U200" i="234"/>
  <c r="U168" i="234"/>
  <c r="U129" i="238"/>
  <c r="U126" i="231"/>
  <c r="U88" i="234"/>
  <c r="U54" i="233"/>
  <c r="U265" i="238"/>
  <c r="U221" i="238"/>
  <c r="U194" i="234"/>
  <c r="U169" i="238"/>
  <c r="U153" i="231"/>
  <c r="U123" i="231"/>
  <c r="U82" i="233"/>
  <c r="U55" i="233"/>
  <c r="C19" i="110"/>
  <c r="AC3" i="241"/>
  <c r="U255" i="238"/>
  <c r="U253" i="234"/>
  <c r="U256" i="233"/>
  <c r="U270" i="231"/>
  <c r="U224" i="233"/>
  <c r="U201" i="234"/>
  <c r="U154" i="238"/>
  <c r="U138" i="234"/>
  <c r="U97" i="234"/>
  <c r="U63" i="238"/>
  <c r="U254" i="233"/>
  <c r="U187" i="238"/>
  <c r="U160" i="238"/>
  <c r="U117" i="238"/>
  <c r="U98" i="234"/>
  <c r="U46" i="233"/>
  <c r="U262" i="238"/>
  <c r="U219" i="233"/>
  <c r="U182" i="231"/>
  <c r="U157" i="231"/>
  <c r="U117" i="231"/>
  <c r="U83" i="231"/>
  <c r="U64" i="231"/>
  <c r="U271" i="234"/>
  <c r="U217" i="233"/>
  <c r="U204" i="231"/>
  <c r="U126" i="238"/>
  <c r="U83" i="238"/>
  <c r="U66" i="234"/>
  <c r="U55" i="238"/>
  <c r="U251" i="231"/>
  <c r="U223" i="233"/>
  <c r="U197" i="234"/>
  <c r="U168" i="233"/>
  <c r="U114" i="234"/>
  <c r="U101" i="234"/>
  <c r="U68" i="238"/>
  <c r="U49" i="231"/>
  <c r="BI3" i="241"/>
  <c r="A45" i="241" l="1"/>
  <c r="B46" i="241"/>
  <c r="B47" i="241" s="1"/>
  <c r="A181" i="241"/>
  <c r="A79" i="241"/>
  <c r="A249" i="241"/>
  <c r="A113" i="241"/>
  <c r="B250" i="241"/>
  <c r="A250" i="241" s="1"/>
  <c r="B182" i="241"/>
  <c r="B183" i="241" s="1"/>
  <c r="A214" i="241"/>
  <c r="B215" i="241"/>
  <c r="B114" i="241"/>
  <c r="A114" i="241" s="1"/>
  <c r="B147" i="241"/>
  <c r="A146" i="241"/>
  <c r="T5" i="241"/>
  <c r="B80" i="241"/>
  <c r="A80" i="241" s="1"/>
  <c r="I1" i="241"/>
  <c r="K1" i="241"/>
  <c r="B12" i="241"/>
  <c r="A11" i="241"/>
  <c r="B250" i="238"/>
  <c r="A249" i="238"/>
  <c r="B250" i="237"/>
  <c r="A249" i="237"/>
  <c r="T251" i="237"/>
  <c r="T274" i="237"/>
  <c r="T272" i="237"/>
  <c r="T270" i="237"/>
  <c r="T268" i="237"/>
  <c r="T264" i="237"/>
  <c r="T262" i="237"/>
  <c r="T258" i="237"/>
  <c r="T256" i="237"/>
  <c r="T254" i="237"/>
  <c r="T252" i="237"/>
  <c r="T271" i="237"/>
  <c r="T269" i="237"/>
  <c r="T267" i="237"/>
  <c r="T265" i="237"/>
  <c r="T263" i="237"/>
  <c r="T259" i="237"/>
  <c r="T257" i="237"/>
  <c r="T255" i="237"/>
  <c r="T250" i="237"/>
  <c r="T253" i="237"/>
  <c r="B250" i="236"/>
  <c r="A249" i="236"/>
  <c r="T271" i="236"/>
  <c r="T269" i="236"/>
  <c r="T267" i="236"/>
  <c r="T265" i="236"/>
  <c r="T263" i="236"/>
  <c r="T259" i="236"/>
  <c r="T257" i="236"/>
  <c r="T255" i="236"/>
  <c r="T250" i="236"/>
  <c r="T253" i="236"/>
  <c r="T251" i="236"/>
  <c r="T274" i="236"/>
  <c r="T272" i="236"/>
  <c r="T270" i="236"/>
  <c r="T268" i="236"/>
  <c r="T264" i="236"/>
  <c r="T262" i="236"/>
  <c r="T258" i="236"/>
  <c r="T256" i="236"/>
  <c r="T254" i="236"/>
  <c r="T252" i="236"/>
  <c r="B250" i="235"/>
  <c r="A249" i="235"/>
  <c r="T251" i="235"/>
  <c r="T274" i="235"/>
  <c r="T272" i="235"/>
  <c r="T270" i="235"/>
  <c r="T268" i="235"/>
  <c r="T264" i="235"/>
  <c r="T262" i="235"/>
  <c r="T258" i="235"/>
  <c r="T256" i="235"/>
  <c r="T254" i="235"/>
  <c r="T253" i="235"/>
  <c r="T252" i="235"/>
  <c r="T271" i="235"/>
  <c r="T269" i="235"/>
  <c r="T267" i="235"/>
  <c r="T265" i="235"/>
  <c r="T263" i="235"/>
  <c r="T259" i="235"/>
  <c r="T257" i="235"/>
  <c r="T255" i="235"/>
  <c r="T250" i="235"/>
  <c r="B250" i="234"/>
  <c r="A249" i="234"/>
  <c r="B250" i="233"/>
  <c r="A249" i="233"/>
  <c r="B250" i="232"/>
  <c r="A249" i="232"/>
  <c r="T271" i="232"/>
  <c r="T251" i="232"/>
  <c r="T269" i="232"/>
  <c r="T265" i="232"/>
  <c r="T257" i="232"/>
  <c r="T274" i="232"/>
  <c r="T272" i="232"/>
  <c r="T270" i="232"/>
  <c r="T268" i="232"/>
  <c r="T264" i="232"/>
  <c r="T262" i="232"/>
  <c r="T258" i="232"/>
  <c r="T256" i="232"/>
  <c r="T254" i="232"/>
  <c r="T252" i="232"/>
  <c r="T267" i="232"/>
  <c r="T263" i="232"/>
  <c r="T259" i="232"/>
  <c r="T255" i="232"/>
  <c r="T250" i="232"/>
  <c r="T253" i="232"/>
  <c r="B250" i="231"/>
  <c r="A249" i="231"/>
  <c r="B250" i="230"/>
  <c r="A249" i="230"/>
  <c r="T251" i="230"/>
  <c r="T253" i="230"/>
  <c r="T274" i="230"/>
  <c r="T272" i="230"/>
  <c r="T270" i="230"/>
  <c r="T268" i="230"/>
  <c r="T264" i="230"/>
  <c r="T262" i="230"/>
  <c r="T258" i="230"/>
  <c r="T256" i="230"/>
  <c r="T254" i="230"/>
  <c r="T252" i="230"/>
  <c r="T271" i="230"/>
  <c r="T269" i="230"/>
  <c r="T267" i="230"/>
  <c r="T265" i="230"/>
  <c r="T263" i="230"/>
  <c r="T259" i="230"/>
  <c r="T257" i="230"/>
  <c r="T255" i="230"/>
  <c r="T250" i="230"/>
  <c r="B250" i="229"/>
  <c r="A249" i="229"/>
  <c r="T251" i="229"/>
  <c r="T274" i="229"/>
  <c r="T272" i="229"/>
  <c r="T270" i="229"/>
  <c r="T268" i="229"/>
  <c r="T264" i="229"/>
  <c r="T262" i="229"/>
  <c r="T258" i="229"/>
  <c r="T256" i="229"/>
  <c r="T254" i="229"/>
  <c r="T253" i="229"/>
  <c r="T252" i="229"/>
  <c r="T271" i="229"/>
  <c r="T269" i="229"/>
  <c r="T267" i="229"/>
  <c r="T265" i="229"/>
  <c r="T263" i="229"/>
  <c r="T259" i="229"/>
  <c r="T257" i="229"/>
  <c r="T255" i="229"/>
  <c r="T250" i="229"/>
  <c r="B250" i="227"/>
  <c r="A249" i="227"/>
  <c r="B250" i="187"/>
  <c r="A249" i="187"/>
  <c r="A215" i="238"/>
  <c r="B216" i="238"/>
  <c r="T217" i="237"/>
  <c r="T240" i="237"/>
  <c r="T238" i="237"/>
  <c r="T236" i="237"/>
  <c r="T234" i="237"/>
  <c r="T230" i="237"/>
  <c r="T228" i="237"/>
  <c r="T224" i="237"/>
  <c r="T222" i="237"/>
  <c r="T220" i="237"/>
  <c r="T216" i="237"/>
  <c r="T218" i="237"/>
  <c r="T237" i="237"/>
  <c r="T235" i="237"/>
  <c r="T233" i="237"/>
  <c r="T229" i="237"/>
  <c r="T225" i="237"/>
  <c r="T221" i="237"/>
  <c r="T219" i="237"/>
  <c r="T231" i="237"/>
  <c r="T223" i="237"/>
  <c r="B216" i="237"/>
  <c r="A215" i="237"/>
  <c r="T218" i="236"/>
  <c r="T237" i="236"/>
  <c r="T233" i="236"/>
  <c r="T229" i="236"/>
  <c r="T223" i="236"/>
  <c r="T217" i="236"/>
  <c r="T225" i="236"/>
  <c r="T240" i="236"/>
  <c r="T238" i="236"/>
  <c r="T236" i="236"/>
  <c r="T234" i="236"/>
  <c r="T230" i="236"/>
  <c r="T228" i="236"/>
  <c r="T224" i="236"/>
  <c r="T222" i="236"/>
  <c r="T220" i="236"/>
  <c r="T235" i="236"/>
  <c r="T231" i="236"/>
  <c r="T221" i="236"/>
  <c r="T216" i="236"/>
  <c r="T219" i="236"/>
  <c r="B216" i="236"/>
  <c r="A215" i="236"/>
  <c r="T217" i="235"/>
  <c r="T240" i="235"/>
  <c r="T238" i="235"/>
  <c r="T236" i="235"/>
  <c r="T234" i="235"/>
  <c r="T230" i="235"/>
  <c r="T228" i="235"/>
  <c r="T224" i="235"/>
  <c r="T222" i="235"/>
  <c r="T220" i="235"/>
  <c r="T218" i="235"/>
  <c r="T219" i="235"/>
  <c r="T237" i="235"/>
  <c r="T235" i="235"/>
  <c r="T233" i="235"/>
  <c r="T231" i="235"/>
  <c r="T229" i="235"/>
  <c r="T225" i="235"/>
  <c r="T223" i="235"/>
  <c r="T221" i="235"/>
  <c r="T216" i="235"/>
  <c r="B216" i="235"/>
  <c r="A215" i="235"/>
  <c r="B216" i="234"/>
  <c r="A215" i="234"/>
  <c r="B216" i="233"/>
  <c r="A215" i="233"/>
  <c r="B216" i="232"/>
  <c r="A215" i="232"/>
  <c r="T217" i="232"/>
  <c r="T240" i="232"/>
  <c r="T238" i="232"/>
  <c r="T236" i="232"/>
  <c r="T234" i="232"/>
  <c r="T230" i="232"/>
  <c r="T228" i="232"/>
  <c r="T224" i="232"/>
  <c r="T222" i="232"/>
  <c r="T220" i="232"/>
  <c r="T237" i="232"/>
  <c r="T235" i="232"/>
  <c r="T231" i="232"/>
  <c r="T223" i="232"/>
  <c r="T218" i="232"/>
  <c r="T233" i="232"/>
  <c r="T229" i="232"/>
  <c r="T225" i="232"/>
  <c r="T221" i="232"/>
  <c r="T216" i="232"/>
  <c r="T219" i="232"/>
  <c r="B216" i="231"/>
  <c r="A215" i="231"/>
  <c r="B216" i="230"/>
  <c r="A215" i="230"/>
  <c r="T238" i="230"/>
  <c r="T234" i="230"/>
  <c r="T230" i="230"/>
  <c r="T222" i="230"/>
  <c r="T218" i="230"/>
  <c r="T235" i="230"/>
  <c r="T231" i="230"/>
  <c r="T223" i="230"/>
  <c r="T219" i="230"/>
  <c r="T217" i="230"/>
  <c r="T240" i="230"/>
  <c r="T236" i="230"/>
  <c r="T228" i="230"/>
  <c r="T224" i="230"/>
  <c r="T220" i="230"/>
  <c r="T237" i="230"/>
  <c r="T233" i="230"/>
  <c r="T229" i="230"/>
  <c r="T225" i="230"/>
  <c r="T221" i="230"/>
  <c r="T216" i="230"/>
  <c r="B216" i="229"/>
  <c r="A215" i="229"/>
  <c r="T217" i="229"/>
  <c r="T240" i="229"/>
  <c r="T238" i="229"/>
  <c r="T236" i="229"/>
  <c r="T234" i="229"/>
  <c r="T230" i="229"/>
  <c r="T228" i="229"/>
  <c r="T224" i="229"/>
  <c r="T222" i="229"/>
  <c r="T220" i="229"/>
  <c r="T218" i="229"/>
  <c r="T219" i="229"/>
  <c r="T237" i="229"/>
  <c r="T235" i="229"/>
  <c r="T233" i="229"/>
  <c r="T231" i="229"/>
  <c r="T229" i="229"/>
  <c r="T225" i="229"/>
  <c r="T223" i="229"/>
  <c r="T221" i="229"/>
  <c r="T216" i="229"/>
  <c r="B216" i="227"/>
  <c r="A215" i="227"/>
  <c r="B216" i="187"/>
  <c r="A215" i="187"/>
  <c r="B182" i="238"/>
  <c r="A181" i="238"/>
  <c r="B182" i="237"/>
  <c r="A181" i="237"/>
  <c r="T185" i="237"/>
  <c r="T183" i="237"/>
  <c r="T206" i="237"/>
  <c r="T204" i="237"/>
  <c r="T202" i="237"/>
  <c r="T200" i="237"/>
  <c r="T196" i="237"/>
  <c r="T194" i="237"/>
  <c r="T190" i="237"/>
  <c r="T188" i="237"/>
  <c r="T186" i="237"/>
  <c r="T184" i="237"/>
  <c r="T203" i="237"/>
  <c r="T201" i="237"/>
  <c r="T199" i="237"/>
  <c r="T197" i="237"/>
  <c r="T195" i="237"/>
  <c r="T191" i="237"/>
  <c r="T189" i="237"/>
  <c r="T187" i="237"/>
  <c r="T182" i="237"/>
  <c r="T185" i="236"/>
  <c r="T183" i="236"/>
  <c r="T206" i="236"/>
  <c r="T204" i="236"/>
  <c r="T202" i="236"/>
  <c r="T200" i="236"/>
  <c r="T196" i="236"/>
  <c r="T194" i="236"/>
  <c r="T190" i="236"/>
  <c r="T188" i="236"/>
  <c r="T186" i="236"/>
  <c r="T184" i="236"/>
  <c r="T203" i="236"/>
  <c r="T201" i="236"/>
  <c r="T199" i="236"/>
  <c r="T197" i="236"/>
  <c r="T195" i="236"/>
  <c r="T191" i="236"/>
  <c r="T189" i="236"/>
  <c r="T187" i="236"/>
  <c r="T182" i="236"/>
  <c r="B182" i="236"/>
  <c r="A181" i="236"/>
  <c r="B182" i="235"/>
  <c r="A181" i="235"/>
  <c r="T183" i="235"/>
  <c r="T206" i="235"/>
  <c r="T204" i="235"/>
  <c r="T202" i="235"/>
  <c r="T200" i="235"/>
  <c r="T196" i="235"/>
  <c r="T194" i="235"/>
  <c r="T190" i="235"/>
  <c r="T188" i="235"/>
  <c r="T186" i="235"/>
  <c r="T184" i="235"/>
  <c r="T203" i="235"/>
  <c r="T201" i="235"/>
  <c r="T199" i="235"/>
  <c r="T197" i="235"/>
  <c r="T195" i="235"/>
  <c r="T191" i="235"/>
  <c r="T189" i="235"/>
  <c r="T187" i="235"/>
  <c r="T182" i="235"/>
  <c r="T185" i="235"/>
  <c r="B182" i="234"/>
  <c r="A181" i="234"/>
  <c r="B182" i="233"/>
  <c r="A181" i="233"/>
  <c r="B182" i="232"/>
  <c r="A181" i="232"/>
  <c r="T183" i="232"/>
  <c r="T206" i="232"/>
  <c r="T204" i="232"/>
  <c r="T202" i="232"/>
  <c r="T200" i="232"/>
  <c r="T196" i="232"/>
  <c r="T194" i="232"/>
  <c r="T190" i="232"/>
  <c r="T188" i="232"/>
  <c r="T186" i="232"/>
  <c r="T184" i="232"/>
  <c r="T203" i="232"/>
  <c r="T201" i="232"/>
  <c r="T199" i="232"/>
  <c r="T197" i="232"/>
  <c r="T195" i="232"/>
  <c r="T191" i="232"/>
  <c r="T189" i="232"/>
  <c r="T187" i="232"/>
  <c r="T182" i="232"/>
  <c r="T185" i="232"/>
  <c r="B182" i="231"/>
  <c r="A181" i="231"/>
  <c r="B182" i="230"/>
  <c r="A181" i="230"/>
  <c r="T183" i="230"/>
  <c r="T206" i="230"/>
  <c r="T204" i="230"/>
  <c r="T202" i="230"/>
  <c r="T200" i="230"/>
  <c r="T196" i="230"/>
  <c r="T194" i="230"/>
  <c r="T190" i="230"/>
  <c r="T188" i="230"/>
  <c r="T186" i="230"/>
  <c r="T184" i="230"/>
  <c r="T203" i="230"/>
  <c r="T201" i="230"/>
  <c r="T199" i="230"/>
  <c r="T197" i="230"/>
  <c r="T195" i="230"/>
  <c r="T191" i="230"/>
  <c r="T189" i="230"/>
  <c r="T187" i="230"/>
  <c r="T182" i="230"/>
  <c r="T185" i="230"/>
  <c r="B182" i="229"/>
  <c r="A181" i="229"/>
  <c r="T183" i="229"/>
  <c r="T206" i="229"/>
  <c r="T204" i="229"/>
  <c r="T202" i="229"/>
  <c r="T200" i="229"/>
  <c r="T196" i="229"/>
  <c r="T194" i="229"/>
  <c r="T190" i="229"/>
  <c r="T188" i="229"/>
  <c r="T186" i="229"/>
  <c r="T184" i="229"/>
  <c r="T203" i="229"/>
  <c r="T201" i="229"/>
  <c r="T199" i="229"/>
  <c r="T197" i="229"/>
  <c r="T195" i="229"/>
  <c r="T191" i="229"/>
  <c r="T189" i="229"/>
  <c r="T187" i="229"/>
  <c r="T182" i="229"/>
  <c r="T185" i="229"/>
  <c r="B182" i="227"/>
  <c r="A181" i="227"/>
  <c r="B182" i="187"/>
  <c r="A181" i="187"/>
  <c r="B148" i="238"/>
  <c r="A147" i="238"/>
  <c r="B148" i="237"/>
  <c r="A147" i="237"/>
  <c r="T149" i="237"/>
  <c r="T172" i="237"/>
  <c r="T170" i="237"/>
  <c r="T168" i="237"/>
  <c r="T166" i="237"/>
  <c r="T162" i="237"/>
  <c r="T160" i="237"/>
  <c r="T156" i="237"/>
  <c r="T154" i="237"/>
  <c r="T152" i="237"/>
  <c r="T150" i="237"/>
  <c r="T169" i="237"/>
  <c r="T167" i="237"/>
  <c r="T165" i="237"/>
  <c r="T163" i="237"/>
  <c r="T161" i="237"/>
  <c r="T157" i="237"/>
  <c r="T155" i="237"/>
  <c r="T153" i="237"/>
  <c r="T148" i="237"/>
  <c r="T151" i="237"/>
  <c r="B148" i="236"/>
  <c r="A147" i="236"/>
  <c r="T149" i="236"/>
  <c r="T172" i="236"/>
  <c r="T170" i="236"/>
  <c r="T168" i="236"/>
  <c r="T166" i="236"/>
  <c r="T162" i="236"/>
  <c r="T160" i="236"/>
  <c r="T156" i="236"/>
  <c r="T154" i="236"/>
  <c r="T152" i="236"/>
  <c r="T150" i="236"/>
  <c r="T169" i="236"/>
  <c r="T167" i="236"/>
  <c r="T165" i="236"/>
  <c r="T163" i="236"/>
  <c r="T161" i="236"/>
  <c r="T157" i="236"/>
  <c r="T155" i="236"/>
  <c r="T153" i="236"/>
  <c r="T148" i="236"/>
  <c r="T151" i="236"/>
  <c r="T149" i="235"/>
  <c r="T172" i="235"/>
  <c r="T170" i="235"/>
  <c r="T168" i="235"/>
  <c r="T166" i="235"/>
  <c r="T162" i="235"/>
  <c r="T160" i="235"/>
  <c r="T156" i="235"/>
  <c r="T154" i="235"/>
  <c r="T152" i="235"/>
  <c r="T150" i="235"/>
  <c r="T169" i="235"/>
  <c r="T167" i="235"/>
  <c r="T165" i="235"/>
  <c r="T163" i="235"/>
  <c r="T161" i="235"/>
  <c r="T157" i="235"/>
  <c r="T155" i="235"/>
  <c r="T153" i="235"/>
  <c r="T148" i="235"/>
  <c r="T151" i="235"/>
  <c r="B148" i="235"/>
  <c r="A147" i="235"/>
  <c r="B148" i="234"/>
  <c r="A147" i="234"/>
  <c r="B148" i="233"/>
  <c r="A147" i="233"/>
  <c r="T149" i="232"/>
  <c r="T172" i="232"/>
  <c r="T170" i="232"/>
  <c r="T168" i="232"/>
  <c r="T166" i="232"/>
  <c r="T162" i="232"/>
  <c r="T160" i="232"/>
  <c r="T156" i="232"/>
  <c r="T154" i="232"/>
  <c r="T152" i="232"/>
  <c r="T150" i="232"/>
  <c r="T169" i="232"/>
  <c r="T167" i="232"/>
  <c r="T165" i="232"/>
  <c r="T163" i="232"/>
  <c r="T161" i="232"/>
  <c r="T157" i="232"/>
  <c r="T155" i="232"/>
  <c r="T153" i="232"/>
  <c r="T148" i="232"/>
  <c r="T151" i="232"/>
  <c r="B148" i="232"/>
  <c r="A147" i="232"/>
  <c r="B148" i="231"/>
  <c r="A147" i="231"/>
  <c r="T149" i="230"/>
  <c r="T172" i="230"/>
  <c r="T170" i="230"/>
  <c r="T168" i="230"/>
  <c r="T166" i="230"/>
  <c r="T162" i="230"/>
  <c r="T160" i="230"/>
  <c r="T156" i="230"/>
  <c r="T154" i="230"/>
  <c r="T152" i="230"/>
  <c r="T151" i="230"/>
  <c r="T150" i="230"/>
  <c r="T169" i="230"/>
  <c r="T167" i="230"/>
  <c r="T165" i="230"/>
  <c r="T163" i="230"/>
  <c r="T161" i="230"/>
  <c r="T157" i="230"/>
  <c r="T155" i="230"/>
  <c r="T153" i="230"/>
  <c r="T148" i="230"/>
  <c r="B148" i="230"/>
  <c r="A147" i="230"/>
  <c r="T149" i="229"/>
  <c r="T172" i="229"/>
  <c r="T170" i="229"/>
  <c r="T168" i="229"/>
  <c r="T166" i="229"/>
  <c r="T162" i="229"/>
  <c r="T160" i="229"/>
  <c r="T156" i="229"/>
  <c r="T154" i="229"/>
  <c r="T152" i="229"/>
  <c r="T150" i="229"/>
  <c r="T169" i="229"/>
  <c r="T167" i="229"/>
  <c r="T165" i="229"/>
  <c r="T163" i="229"/>
  <c r="T161" i="229"/>
  <c r="T157" i="229"/>
  <c r="T155" i="229"/>
  <c r="T153" i="229"/>
  <c r="T148" i="229"/>
  <c r="T151" i="229"/>
  <c r="B148" i="229"/>
  <c r="A147" i="229"/>
  <c r="B148" i="227"/>
  <c r="A147" i="227"/>
  <c r="B148" i="187"/>
  <c r="A147" i="187"/>
  <c r="B114" i="238"/>
  <c r="A113" i="238"/>
  <c r="T115" i="237"/>
  <c r="T138" i="237"/>
  <c r="T136" i="237"/>
  <c r="T134" i="237"/>
  <c r="T132" i="237"/>
  <c r="T128" i="237"/>
  <c r="T126" i="237"/>
  <c r="T122" i="237"/>
  <c r="T120" i="237"/>
  <c r="T118" i="237"/>
  <c r="T117" i="237"/>
  <c r="T116" i="237"/>
  <c r="T135" i="237"/>
  <c r="T133" i="237"/>
  <c r="T131" i="237"/>
  <c r="T129" i="237"/>
  <c r="T127" i="237"/>
  <c r="T123" i="237"/>
  <c r="T121" i="237"/>
  <c r="T119" i="237"/>
  <c r="T114" i="237"/>
  <c r="B114" i="237"/>
  <c r="A113" i="237"/>
  <c r="T115" i="236"/>
  <c r="T138" i="236"/>
  <c r="T136" i="236"/>
  <c r="T134" i="236"/>
  <c r="T132" i="236"/>
  <c r="T128" i="236"/>
  <c r="T126" i="236"/>
  <c r="T122" i="236"/>
  <c r="T120" i="236"/>
  <c r="T118" i="236"/>
  <c r="T116" i="236"/>
  <c r="T117" i="236"/>
  <c r="T135" i="236"/>
  <c r="T133" i="236"/>
  <c r="T131" i="236"/>
  <c r="T129" i="236"/>
  <c r="T127" i="236"/>
  <c r="T123" i="236"/>
  <c r="T121" i="236"/>
  <c r="T119" i="236"/>
  <c r="T114" i="236"/>
  <c r="B114" i="236"/>
  <c r="A113" i="236"/>
  <c r="B114" i="235"/>
  <c r="A113" i="235"/>
  <c r="T115" i="235"/>
  <c r="T138" i="235"/>
  <c r="T136" i="235"/>
  <c r="T134" i="235"/>
  <c r="T132" i="235"/>
  <c r="T128" i="235"/>
  <c r="T126" i="235"/>
  <c r="T122" i="235"/>
  <c r="T120" i="235"/>
  <c r="T118" i="235"/>
  <c r="T116" i="235"/>
  <c r="T135" i="235"/>
  <c r="T133" i="235"/>
  <c r="T131" i="235"/>
  <c r="T129" i="235"/>
  <c r="T127" i="235"/>
  <c r="T123" i="235"/>
  <c r="T121" i="235"/>
  <c r="T119" i="235"/>
  <c r="T114" i="235"/>
  <c r="T117" i="235"/>
  <c r="B114" i="234"/>
  <c r="A113" i="234"/>
  <c r="B114" i="233"/>
  <c r="A113" i="233"/>
  <c r="B114" i="232"/>
  <c r="A113" i="232"/>
  <c r="T115" i="232"/>
  <c r="T138" i="232"/>
  <c r="T136" i="232"/>
  <c r="T134" i="232"/>
  <c r="T132" i="232"/>
  <c r="T128" i="232"/>
  <c r="T126" i="232"/>
  <c r="T122" i="232"/>
  <c r="T120" i="232"/>
  <c r="T118" i="232"/>
  <c r="T116" i="232"/>
  <c r="T135" i="232"/>
  <c r="T133" i="232"/>
  <c r="T131" i="232"/>
  <c r="T129" i="232"/>
  <c r="T127" i="232"/>
  <c r="T123" i="232"/>
  <c r="T121" i="232"/>
  <c r="T119" i="232"/>
  <c r="T114" i="232"/>
  <c r="T117" i="232"/>
  <c r="B114" i="231"/>
  <c r="A113" i="231"/>
  <c r="B114" i="230"/>
  <c r="A113" i="230"/>
  <c r="T115" i="230"/>
  <c r="T138" i="230"/>
  <c r="T136" i="230"/>
  <c r="T134" i="230"/>
  <c r="T132" i="230"/>
  <c r="T128" i="230"/>
  <c r="T126" i="230"/>
  <c r="T122" i="230"/>
  <c r="T120" i="230"/>
  <c r="T118" i="230"/>
  <c r="T116" i="230"/>
  <c r="T135" i="230"/>
  <c r="T133" i="230"/>
  <c r="T131" i="230"/>
  <c r="T129" i="230"/>
  <c r="T127" i="230"/>
  <c r="T123" i="230"/>
  <c r="T121" i="230"/>
  <c r="T119" i="230"/>
  <c r="T114" i="230"/>
  <c r="T117" i="230"/>
  <c r="B114" i="229"/>
  <c r="A113" i="229"/>
  <c r="T128" i="229"/>
  <c r="T115" i="229"/>
  <c r="T138" i="229"/>
  <c r="T136" i="229"/>
  <c r="T134" i="229"/>
  <c r="T132" i="229"/>
  <c r="T126" i="229"/>
  <c r="T122" i="229"/>
  <c r="T120" i="229"/>
  <c r="T118" i="229"/>
  <c r="T116" i="229"/>
  <c r="T135" i="229"/>
  <c r="T133" i="229"/>
  <c r="T131" i="229"/>
  <c r="T129" i="229"/>
  <c r="T127" i="229"/>
  <c r="T123" i="229"/>
  <c r="T121" i="229"/>
  <c r="T119" i="229"/>
  <c r="T114" i="229"/>
  <c r="T117" i="229"/>
  <c r="B114" i="227"/>
  <c r="A113" i="227"/>
  <c r="B114" i="187"/>
  <c r="A113" i="187"/>
  <c r="B80" i="238"/>
  <c r="A79" i="238"/>
  <c r="T81" i="237"/>
  <c r="T104" i="237"/>
  <c r="T102" i="237"/>
  <c r="T100" i="237"/>
  <c r="T98" i="237"/>
  <c r="T94" i="237"/>
  <c r="T92" i="237"/>
  <c r="T88" i="237"/>
  <c r="T86" i="237"/>
  <c r="T84" i="237"/>
  <c r="T83" i="237"/>
  <c r="T82" i="237"/>
  <c r="T101" i="237"/>
  <c r="T99" i="237"/>
  <c r="T97" i="237"/>
  <c r="T95" i="237"/>
  <c r="T93" i="237"/>
  <c r="T89" i="237"/>
  <c r="T87" i="237"/>
  <c r="T85" i="237"/>
  <c r="T80" i="237"/>
  <c r="B80" i="237"/>
  <c r="A79" i="237"/>
  <c r="B80" i="236"/>
  <c r="A79" i="236"/>
  <c r="T81" i="236"/>
  <c r="T83" i="236"/>
  <c r="T104" i="236"/>
  <c r="T102" i="236"/>
  <c r="T100" i="236"/>
  <c r="T98" i="236"/>
  <c r="T94" i="236"/>
  <c r="T92" i="236"/>
  <c r="T88" i="236"/>
  <c r="T86" i="236"/>
  <c r="T84" i="236"/>
  <c r="T82" i="236"/>
  <c r="T101" i="236"/>
  <c r="T99" i="236"/>
  <c r="T97" i="236"/>
  <c r="T95" i="236"/>
  <c r="T93" i="236"/>
  <c r="T89" i="236"/>
  <c r="T87" i="236"/>
  <c r="T85" i="236"/>
  <c r="T80" i="236"/>
  <c r="T99" i="235"/>
  <c r="T95" i="235"/>
  <c r="T89" i="235"/>
  <c r="T81" i="235"/>
  <c r="T97" i="235"/>
  <c r="T85" i="235"/>
  <c r="T104" i="235"/>
  <c r="T102" i="235"/>
  <c r="T100" i="235"/>
  <c r="T98" i="235"/>
  <c r="T94" i="235"/>
  <c r="T92" i="235"/>
  <c r="T88" i="235"/>
  <c r="T86" i="235"/>
  <c r="T84" i="235"/>
  <c r="T101" i="235"/>
  <c r="T93" i="235"/>
  <c r="T83" i="235"/>
  <c r="T87" i="235"/>
  <c r="T82" i="235"/>
  <c r="T80" i="235"/>
  <c r="B80" i="235"/>
  <c r="A79" i="235"/>
  <c r="B80" i="234"/>
  <c r="A79" i="234"/>
  <c r="B80" i="233"/>
  <c r="A79" i="233"/>
  <c r="B79" i="232"/>
  <c r="A78" i="232"/>
  <c r="T81" i="232"/>
  <c r="T104" i="232"/>
  <c r="T102" i="232"/>
  <c r="T100" i="232"/>
  <c r="T98" i="232"/>
  <c r="T94" i="232"/>
  <c r="T92" i="232"/>
  <c r="T88" i="232"/>
  <c r="T86" i="232"/>
  <c r="T84" i="232"/>
  <c r="T82" i="232"/>
  <c r="T101" i="232"/>
  <c r="T99" i="232"/>
  <c r="T97" i="232"/>
  <c r="T95" i="232"/>
  <c r="T93" i="232"/>
  <c r="T89" i="232"/>
  <c r="T87" i="232"/>
  <c r="T85" i="232"/>
  <c r="T80" i="232"/>
  <c r="T83" i="232"/>
  <c r="B80" i="231"/>
  <c r="A79" i="231"/>
  <c r="T81" i="230"/>
  <c r="T83" i="230"/>
  <c r="T104" i="230"/>
  <c r="T102" i="230"/>
  <c r="T100" i="230"/>
  <c r="T98" i="230"/>
  <c r="T94" i="230"/>
  <c r="T92" i="230"/>
  <c r="T88" i="230"/>
  <c r="T86" i="230"/>
  <c r="T84" i="230"/>
  <c r="T82" i="230"/>
  <c r="T101" i="230"/>
  <c r="T99" i="230"/>
  <c r="T97" i="230"/>
  <c r="T95" i="230"/>
  <c r="T93" i="230"/>
  <c r="T89" i="230"/>
  <c r="T87" i="230"/>
  <c r="T85" i="230"/>
  <c r="T80" i="230"/>
  <c r="B80" i="230"/>
  <c r="A79" i="230"/>
  <c r="B80" i="229"/>
  <c r="A79" i="229"/>
  <c r="T81" i="229"/>
  <c r="T104" i="229"/>
  <c r="T102" i="229"/>
  <c r="T100" i="229"/>
  <c r="T98" i="229"/>
  <c r="T94" i="229"/>
  <c r="T92" i="229"/>
  <c r="T88" i="229"/>
  <c r="T86" i="229"/>
  <c r="T84" i="229"/>
  <c r="T82" i="229"/>
  <c r="T83" i="229"/>
  <c r="T101" i="229"/>
  <c r="T99" i="229"/>
  <c r="T97" i="229"/>
  <c r="T95" i="229"/>
  <c r="T93" i="229"/>
  <c r="T89" i="229"/>
  <c r="T87" i="229"/>
  <c r="T85" i="229"/>
  <c r="T80" i="229"/>
  <c r="B80" i="227"/>
  <c r="A79" i="227"/>
  <c r="B80" i="187"/>
  <c r="A79" i="187"/>
  <c r="B46" i="238"/>
  <c r="A45" i="238"/>
  <c r="B46" i="237"/>
  <c r="A45" i="237"/>
  <c r="K1" i="237"/>
  <c r="T67" i="237"/>
  <c r="T59" i="237"/>
  <c r="T53" i="237"/>
  <c r="T47" i="237"/>
  <c r="T61" i="237"/>
  <c r="T70" i="237"/>
  <c r="T68" i="237"/>
  <c r="T66" i="237"/>
  <c r="T64" i="237"/>
  <c r="T60" i="237"/>
  <c r="T58" i="237"/>
  <c r="T54" i="237"/>
  <c r="T52" i="237"/>
  <c r="T50" i="237"/>
  <c r="T63" i="237"/>
  <c r="T55" i="237"/>
  <c r="T46" i="237"/>
  <c r="T65" i="237"/>
  <c r="T51" i="237"/>
  <c r="T48" i="237"/>
  <c r="T49" i="237"/>
  <c r="T47" i="236"/>
  <c r="T70" i="236"/>
  <c r="T68" i="236"/>
  <c r="T66" i="236"/>
  <c r="T64" i="236"/>
  <c r="T60" i="236"/>
  <c r="T58" i="236"/>
  <c r="T54" i="236"/>
  <c r="T52" i="236"/>
  <c r="T50" i="236"/>
  <c r="T48" i="236"/>
  <c r="T67" i="236"/>
  <c r="T65" i="236"/>
  <c r="T63" i="236"/>
  <c r="T61" i="236"/>
  <c r="T59" i="236"/>
  <c r="T55" i="236"/>
  <c r="T53" i="236"/>
  <c r="T51" i="236"/>
  <c r="T46" i="236"/>
  <c r="T49" i="236"/>
  <c r="B46" i="236"/>
  <c r="A45" i="236"/>
  <c r="A44" i="235"/>
  <c r="B45" i="235"/>
  <c r="T27" i="235"/>
  <c r="T47" i="235"/>
  <c r="T70" i="235"/>
  <c r="T68" i="235"/>
  <c r="T66" i="235"/>
  <c r="T64" i="235"/>
  <c r="T60" i="235"/>
  <c r="T58" i="235"/>
  <c r="T54" i="235"/>
  <c r="T52" i="235"/>
  <c r="T50" i="235"/>
  <c r="T48" i="235"/>
  <c r="T49" i="235"/>
  <c r="T67" i="235"/>
  <c r="T65" i="235"/>
  <c r="T63" i="235"/>
  <c r="T61" i="235"/>
  <c r="T59" i="235"/>
  <c r="T55" i="235"/>
  <c r="T53" i="235"/>
  <c r="T51" i="235"/>
  <c r="T46" i="235"/>
  <c r="B46" i="234"/>
  <c r="A45" i="234"/>
  <c r="B46" i="233"/>
  <c r="A45" i="233"/>
  <c r="T29" i="232"/>
  <c r="T47" i="232"/>
  <c r="T70" i="232"/>
  <c r="T68" i="232"/>
  <c r="T66" i="232"/>
  <c r="T64" i="232"/>
  <c r="T60" i="232"/>
  <c r="T58" i="232"/>
  <c r="T54" i="232"/>
  <c r="T52" i="232"/>
  <c r="T50" i="232"/>
  <c r="T48" i="232"/>
  <c r="T67" i="232"/>
  <c r="T65" i="232"/>
  <c r="T63" i="232"/>
  <c r="T61" i="232"/>
  <c r="T59" i="232"/>
  <c r="T55" i="232"/>
  <c r="T53" i="232"/>
  <c r="T51" i="232"/>
  <c r="T46" i="232"/>
  <c r="T49" i="232"/>
  <c r="B46" i="232"/>
  <c r="A45" i="232"/>
  <c r="B46" i="231"/>
  <c r="A45" i="231"/>
  <c r="I1" i="230"/>
  <c r="T60" i="230"/>
  <c r="T52" i="230"/>
  <c r="T47" i="230"/>
  <c r="T70" i="230"/>
  <c r="T68" i="230"/>
  <c r="T66" i="230"/>
  <c r="T64" i="230"/>
  <c r="T58" i="230"/>
  <c r="T54" i="230"/>
  <c r="T50" i="230"/>
  <c r="T48" i="230"/>
  <c r="T49" i="230"/>
  <c r="T67" i="230"/>
  <c r="T65" i="230"/>
  <c r="T63" i="230"/>
  <c r="T61" i="230"/>
  <c r="T59" i="230"/>
  <c r="T55" i="230"/>
  <c r="T53" i="230"/>
  <c r="T51" i="230"/>
  <c r="T46" i="230"/>
  <c r="B46" i="230"/>
  <c r="A45" i="230"/>
  <c r="B46" i="229"/>
  <c r="A45" i="229"/>
  <c r="I1" i="229"/>
  <c r="T47" i="229"/>
  <c r="T49" i="229"/>
  <c r="T70" i="229"/>
  <c r="T68" i="229"/>
  <c r="T66" i="229"/>
  <c r="T64" i="229"/>
  <c r="T60" i="229"/>
  <c r="T58" i="229"/>
  <c r="T54" i="229"/>
  <c r="T52" i="229"/>
  <c r="T50" i="229"/>
  <c r="T48" i="229"/>
  <c r="T67" i="229"/>
  <c r="T65" i="229"/>
  <c r="T63" i="229"/>
  <c r="T61" i="229"/>
  <c r="T59" i="229"/>
  <c r="T55" i="229"/>
  <c r="T53" i="229"/>
  <c r="T51" i="229"/>
  <c r="T46" i="229"/>
  <c r="R5" i="227"/>
  <c r="T5" i="227" s="1"/>
  <c r="B46" i="227"/>
  <c r="A45" i="227"/>
  <c r="B46" i="187"/>
  <c r="A45" i="187"/>
  <c r="BA3" i="241"/>
  <c r="U256" i="237"/>
  <c r="U269" i="237"/>
  <c r="U259" i="237"/>
  <c r="U268" i="236"/>
  <c r="U263" i="236"/>
  <c r="U269" i="236"/>
  <c r="U268" i="235"/>
  <c r="U258" i="235"/>
  <c r="U272" i="232"/>
  <c r="U270" i="232"/>
  <c r="U271" i="232"/>
  <c r="U256" i="230"/>
  <c r="U264" i="230"/>
  <c r="U270" i="229"/>
  <c r="U263" i="229"/>
  <c r="U259" i="229"/>
  <c r="U240" i="237"/>
  <c r="U218" i="237"/>
  <c r="U220" i="237"/>
  <c r="U234" i="236"/>
  <c r="U218" i="236"/>
  <c r="U231" i="235"/>
  <c r="U217" i="235"/>
  <c r="U221" i="235"/>
  <c r="U238" i="232"/>
  <c r="U237" i="232"/>
  <c r="U229" i="232"/>
  <c r="U235" i="230"/>
  <c r="U234" i="230"/>
  <c r="U233" i="229"/>
  <c r="U225" i="229"/>
  <c r="U222" i="229"/>
  <c r="U188" i="237"/>
  <c r="U184" i="237"/>
  <c r="U202" i="236"/>
  <c r="U196" i="236"/>
  <c r="U206" i="236"/>
  <c r="U185" i="235"/>
  <c r="U191" i="235"/>
  <c r="U201" i="235"/>
  <c r="U197" i="232"/>
  <c r="U183" i="232"/>
  <c r="U188" i="230"/>
  <c r="U184" i="230"/>
  <c r="U206" i="230"/>
  <c r="U195" i="229"/>
  <c r="U187" i="229"/>
  <c r="U185" i="229"/>
  <c r="U148" i="237"/>
  <c r="U162" i="237"/>
  <c r="U165" i="236"/>
  <c r="U162" i="236"/>
  <c r="U156" i="236"/>
  <c r="U157" i="235"/>
  <c r="U156" i="235"/>
  <c r="U168" i="232"/>
  <c r="U160" i="232"/>
  <c r="U148" i="232"/>
  <c r="U161" i="230"/>
  <c r="U172" i="230"/>
  <c r="U168" i="230"/>
  <c r="U157" i="229"/>
  <c r="U154" i="229"/>
  <c r="U117" i="237"/>
  <c r="U126" i="237"/>
  <c r="U114" i="237"/>
  <c r="U128" i="236"/>
  <c r="U135" i="236"/>
  <c r="U131" i="236"/>
  <c r="U122" i="235"/>
  <c r="U121" i="235"/>
  <c r="U131" i="232"/>
  <c r="U128" i="232"/>
  <c r="U122" i="232"/>
  <c r="U118" i="230"/>
  <c r="U121" i="230"/>
  <c r="U136" i="229"/>
  <c r="U128" i="229"/>
  <c r="U114" i="229"/>
  <c r="U93" i="237"/>
  <c r="U88" i="237"/>
  <c r="U84" i="237"/>
  <c r="U97" i="236"/>
  <c r="U101" i="236"/>
  <c r="U92" i="235"/>
  <c r="U101" i="235"/>
  <c r="U80" i="235"/>
  <c r="U100" i="232"/>
  <c r="U92" i="232"/>
  <c r="U80" i="232"/>
  <c r="U89" i="230"/>
  <c r="U85" i="230"/>
  <c r="U97" i="229"/>
  <c r="U92" i="229"/>
  <c r="U101" i="229"/>
  <c r="U47" i="237"/>
  <c r="U52" i="237"/>
  <c r="U66" i="236"/>
  <c r="U58" i="236"/>
  <c r="U46" i="236"/>
  <c r="U51" i="235"/>
  <c r="U64" i="235"/>
  <c r="U47" i="235"/>
  <c r="U60" i="232"/>
  <c r="U54" i="232"/>
  <c r="U50" i="230"/>
  <c r="U58" i="230"/>
  <c r="U47" i="230"/>
  <c r="U68" i="229"/>
  <c r="U59" i="229"/>
  <c r="U67" i="229"/>
  <c r="U27" i="238"/>
  <c r="U34" i="238"/>
  <c r="U3" i="236"/>
  <c r="U12" i="234"/>
  <c r="U25" i="234"/>
  <c r="U19" i="234"/>
  <c r="U27" i="233"/>
  <c r="U18" i="233"/>
  <c r="U3" i="232"/>
  <c r="U3" i="231"/>
  <c r="U24" i="231"/>
  <c r="U3" i="229"/>
  <c r="U270" i="237"/>
  <c r="U272" i="236"/>
  <c r="U264" i="235"/>
  <c r="U258" i="230"/>
  <c r="BE3" i="241"/>
  <c r="U267" i="237"/>
  <c r="U268" i="237"/>
  <c r="U262" i="237"/>
  <c r="U252" i="236"/>
  <c r="U251" i="236"/>
  <c r="U272" i="235"/>
  <c r="U265" i="235"/>
  <c r="U271" i="235"/>
  <c r="U253" i="232"/>
  <c r="U262" i="232"/>
  <c r="U254" i="232"/>
  <c r="U267" i="230"/>
  <c r="U259" i="230"/>
  <c r="U254" i="229"/>
  <c r="U255" i="229"/>
  <c r="U271" i="229"/>
  <c r="U230" i="237"/>
  <c r="U231" i="237"/>
  <c r="U233" i="237"/>
  <c r="U235" i="236"/>
  <c r="U228" i="236"/>
  <c r="U228" i="235"/>
  <c r="U223" i="235"/>
  <c r="U238" i="235"/>
  <c r="U222" i="232"/>
  <c r="U223" i="232"/>
  <c r="U230" i="230"/>
  <c r="U236" i="230"/>
  <c r="U223" i="230"/>
  <c r="U234" i="229"/>
  <c r="U217" i="229"/>
  <c r="U235" i="229"/>
  <c r="U199" i="237"/>
  <c r="U187" i="237"/>
  <c r="U186" i="236"/>
  <c r="U191" i="236"/>
  <c r="U190" i="236"/>
  <c r="U202" i="235"/>
  <c r="U194" i="235"/>
  <c r="U182" i="235"/>
  <c r="U200" i="232"/>
  <c r="U203" i="232"/>
  <c r="U199" i="230"/>
  <c r="U196" i="230"/>
  <c r="U190" i="230"/>
  <c r="U184" i="229"/>
  <c r="U206" i="229"/>
  <c r="U170" i="237"/>
  <c r="U166" i="237"/>
  <c r="U157" i="237"/>
  <c r="U151" i="236"/>
  <c r="U157" i="236"/>
  <c r="U167" i="236"/>
  <c r="U152" i="235"/>
  <c r="U167" i="235"/>
  <c r="U152" i="232"/>
  <c r="U155" i="232"/>
  <c r="U170" i="232"/>
  <c r="U162" i="230"/>
  <c r="U156" i="230"/>
  <c r="U152" i="230"/>
  <c r="U160" i="229"/>
  <c r="U165" i="229"/>
  <c r="U129" i="237"/>
  <c r="U123" i="237"/>
  <c r="U134" i="237"/>
  <c r="U117" i="236"/>
  <c r="U119" i="236"/>
  <c r="U136" i="235"/>
  <c r="U132" i="235"/>
  <c r="U114" i="235"/>
  <c r="U117" i="232"/>
  <c r="U123" i="232"/>
  <c r="U133" i="232"/>
  <c r="U129" i="230"/>
  <c r="U115" i="230"/>
  <c r="U118" i="229"/>
  <c r="U126" i="229"/>
  <c r="U138" i="229"/>
  <c r="U94" i="237"/>
  <c r="U101" i="237"/>
  <c r="U97" i="237"/>
  <c r="U100" i="236"/>
  <c r="U94" i="236"/>
  <c r="U85" i="235"/>
  <c r="U99" i="235"/>
  <c r="U81" i="235"/>
  <c r="U84" i="232"/>
  <c r="U87" i="232"/>
  <c r="U100" i="230"/>
  <c r="U97" i="230"/>
  <c r="U104" i="230"/>
  <c r="U98" i="229"/>
  <c r="U89" i="229"/>
  <c r="U85" i="229"/>
  <c r="U58" i="237"/>
  <c r="U51" i="237"/>
  <c r="U50" i="236"/>
  <c r="U53" i="236"/>
  <c r="U68" i="236"/>
  <c r="U68" i="235"/>
  <c r="U61" i="235"/>
  <c r="U53" i="235"/>
  <c r="U55" i="232"/>
  <c r="U65" i="232"/>
  <c r="U68" i="230"/>
  <c r="U53" i="230"/>
  <c r="U54" i="230"/>
  <c r="U52" i="229"/>
  <c r="U48" i="229"/>
  <c r="U30" i="238"/>
  <c r="U3" i="238"/>
  <c r="U18" i="238"/>
  <c r="U3" i="235"/>
  <c r="U26" i="234"/>
  <c r="U36" i="234"/>
  <c r="U30" i="233"/>
  <c r="U3" i="233"/>
  <c r="U19" i="233"/>
  <c r="U18" i="231"/>
  <c r="U32" i="231"/>
  <c r="U19" i="231"/>
  <c r="R3" i="227"/>
  <c r="U250" i="232"/>
  <c r="AG3" i="241"/>
  <c r="U253" i="237"/>
  <c r="U263" i="237"/>
  <c r="U257" i="237"/>
  <c r="U265" i="236"/>
  <c r="U274" i="236"/>
  <c r="U256" i="235"/>
  <c r="U253" i="235"/>
  <c r="U251" i="235"/>
  <c r="U268" i="232"/>
  <c r="U263" i="232"/>
  <c r="U251" i="232"/>
  <c r="U270" i="230"/>
  <c r="U251" i="230"/>
  <c r="U267" i="229"/>
  <c r="U264" i="229"/>
  <c r="U251" i="229"/>
  <c r="U221" i="237"/>
  <c r="U237" i="237"/>
  <c r="U229" i="236"/>
  <c r="U217" i="236"/>
  <c r="U221" i="236"/>
  <c r="U218" i="235"/>
  <c r="U222" i="235"/>
  <c r="U235" i="235"/>
  <c r="U219" i="232"/>
  <c r="U235" i="232"/>
  <c r="U219" i="230"/>
  <c r="U237" i="230"/>
  <c r="U224" i="230"/>
  <c r="U231" i="229"/>
  <c r="U223" i="229"/>
  <c r="U216" i="229"/>
  <c r="U202" i="237"/>
  <c r="U185" i="237"/>
  <c r="U197" i="236"/>
  <c r="U199" i="236"/>
  <c r="U201" i="236"/>
  <c r="U186" i="235"/>
  <c r="U189" i="235"/>
  <c r="U204" i="232"/>
  <c r="U195" i="232"/>
  <c r="U187" i="232"/>
  <c r="U185" i="230"/>
  <c r="U191" i="230"/>
  <c r="U201" i="230"/>
  <c r="U196" i="229"/>
  <c r="U190" i="229"/>
  <c r="U154" i="237"/>
  <c r="U161" i="237"/>
  <c r="U172" i="237"/>
  <c r="U168" i="236"/>
  <c r="U160" i="236"/>
  <c r="U148" i="236"/>
  <c r="U160" i="235"/>
  <c r="U148" i="235"/>
  <c r="U163" i="232"/>
  <c r="U149" i="232"/>
  <c r="U154" i="232"/>
  <c r="U150" i="230"/>
  <c r="U169" i="230"/>
  <c r="U166" i="229"/>
  <c r="U155" i="229"/>
  <c r="U151" i="229"/>
  <c r="U122" i="237"/>
  <c r="U119" i="237"/>
  <c r="U118" i="237"/>
  <c r="U115" i="236"/>
  <c r="U136" i="236"/>
  <c r="U120" i="235"/>
  <c r="U127" i="235"/>
  <c r="U115" i="235"/>
  <c r="U134" i="232"/>
  <c r="U126" i="232"/>
  <c r="U114" i="232"/>
  <c r="U132" i="230"/>
  <c r="U135" i="230"/>
  <c r="U129" i="229"/>
  <c r="U121" i="229"/>
  <c r="U120" i="229"/>
  <c r="U82" i="237"/>
  <c r="U85" i="237"/>
  <c r="U104" i="236"/>
  <c r="U84" i="236"/>
  <c r="U89" i="236"/>
  <c r="U87" i="235"/>
  <c r="U102" i="235"/>
  <c r="U94" i="235"/>
  <c r="U95" i="232"/>
  <c r="U81" i="232"/>
  <c r="U84" i="230"/>
  <c r="U81" i="230"/>
  <c r="U88" i="230"/>
  <c r="U95" i="229"/>
  <c r="U86" i="229"/>
  <c r="U102" i="229"/>
  <c r="U46" i="237"/>
  <c r="U67" i="237"/>
  <c r="U61" i="236"/>
  <c r="U47" i="236"/>
  <c r="U52" i="236"/>
  <c r="U52" i="235"/>
  <c r="U48" i="235"/>
  <c r="U66" i="232"/>
  <c r="U58" i="232"/>
  <c r="U46" i="232"/>
  <c r="U61" i="230"/>
  <c r="U60" i="230"/>
  <c r="U65" i="230"/>
  <c r="U63" i="229"/>
  <c r="U55" i="229"/>
  <c r="U31" i="238"/>
  <c r="U24" i="238"/>
  <c r="U19" i="238"/>
  <c r="U27" i="235"/>
  <c r="U29" i="234"/>
  <c r="U20" i="234"/>
  <c r="U31" i="233"/>
  <c r="U24" i="233"/>
  <c r="U32" i="233"/>
  <c r="U31" i="231"/>
  <c r="U14" i="231"/>
  <c r="U15" i="231"/>
  <c r="R4" i="227"/>
  <c r="U267" i="236"/>
  <c r="U259" i="236"/>
  <c r="U274" i="235"/>
  <c r="BM3" i="241"/>
  <c r="U258" i="237"/>
  <c r="U271" i="237"/>
  <c r="U251" i="237"/>
  <c r="U262" i="236"/>
  <c r="U258" i="236"/>
  <c r="U269" i="235"/>
  <c r="U263" i="235"/>
  <c r="U257" i="235"/>
  <c r="U265" i="232"/>
  <c r="U255" i="232"/>
  <c r="U274" i="230"/>
  <c r="U254" i="230"/>
  <c r="U262" i="230"/>
  <c r="U250" i="229"/>
  <c r="U252" i="229"/>
  <c r="U257" i="229"/>
  <c r="U228" i="237"/>
  <c r="U238" i="237"/>
  <c r="U236" i="236"/>
  <c r="U219" i="236"/>
  <c r="U225" i="236"/>
  <c r="U229" i="235"/>
  <c r="U216" i="235"/>
  <c r="U220" i="235"/>
  <c r="U225" i="232"/>
  <c r="U233" i="232"/>
  <c r="U220" i="230"/>
  <c r="U231" i="230"/>
  <c r="U225" i="230"/>
  <c r="U218" i="229"/>
  <c r="U240" i="229"/>
  <c r="U206" i="237"/>
  <c r="U186" i="237"/>
  <c r="U196" i="237"/>
  <c r="U200" i="236"/>
  <c r="U194" i="236"/>
  <c r="U182" i="236"/>
  <c r="U197" i="235"/>
  <c r="U183" i="235"/>
  <c r="U188" i="232"/>
  <c r="U184" i="232"/>
  <c r="U206" i="232"/>
  <c r="U202" i="230"/>
  <c r="U194" i="230"/>
  <c r="U182" i="230"/>
  <c r="U191" i="229"/>
  <c r="U201" i="229"/>
  <c r="U165" i="237"/>
  <c r="U153" i="237"/>
  <c r="U160" i="237"/>
  <c r="U152" i="236"/>
  <c r="U155" i="236"/>
  <c r="U166" i="235"/>
  <c r="U155" i="235"/>
  <c r="U163" i="235"/>
  <c r="U166" i="232"/>
  <c r="U169" i="232"/>
  <c r="U165" i="232"/>
  <c r="U160" i="230"/>
  <c r="U153" i="230"/>
  <c r="U161" i="229"/>
  <c r="U149" i="229"/>
  <c r="U172" i="229"/>
  <c r="U127" i="237"/>
  <c r="U115" i="237"/>
  <c r="U131" i="237"/>
  <c r="U126" i="236"/>
  <c r="U120" i="236"/>
  <c r="U131" i="235"/>
  <c r="U138" i="235"/>
  <c r="U135" i="235"/>
  <c r="U118" i="232"/>
  <c r="U121" i="232"/>
  <c r="U136" i="230"/>
  <c r="U127" i="230"/>
  <c r="U119" i="230"/>
  <c r="U134" i="229"/>
  <c r="U135" i="229"/>
  <c r="U131" i="229"/>
  <c r="U92" i="237"/>
  <c r="U102" i="237"/>
  <c r="U88" i="236"/>
  <c r="U95" i="236"/>
  <c r="U81" i="236"/>
  <c r="U89" i="235"/>
  <c r="U86" i="235"/>
  <c r="U83" i="235"/>
  <c r="U98" i="232"/>
  <c r="U101" i="232"/>
  <c r="U95" i="230"/>
  <c r="U92" i="230"/>
  <c r="U99" i="230"/>
  <c r="U82" i="229"/>
  <c r="U81" i="229"/>
  <c r="U53" i="237"/>
  <c r="U61" i="237"/>
  <c r="U66" i="237"/>
  <c r="U64" i="236"/>
  <c r="U67" i="236"/>
  <c r="U63" i="236"/>
  <c r="U65" i="235"/>
  <c r="U59" i="235"/>
  <c r="U50" i="232"/>
  <c r="U53" i="232"/>
  <c r="U68" i="232"/>
  <c r="U66" i="230"/>
  <c r="U55" i="230"/>
  <c r="U46" i="230"/>
  <c r="U50" i="229"/>
  <c r="U60" i="229"/>
  <c r="U12" i="238"/>
  <c r="U14" i="238"/>
  <c r="U32" i="238"/>
  <c r="U30" i="234"/>
  <c r="U15" i="234"/>
  <c r="U34" i="234"/>
  <c r="U12" i="233"/>
  <c r="U25" i="233"/>
  <c r="U16" i="233"/>
  <c r="U12" i="231"/>
  <c r="U25" i="231"/>
  <c r="U16" i="231"/>
  <c r="A2" i="227"/>
  <c r="U250" i="237"/>
  <c r="U250" i="235"/>
  <c r="U264" i="232"/>
  <c r="U264" i="237"/>
  <c r="U270" i="236"/>
  <c r="U255" i="235"/>
  <c r="U259" i="232"/>
  <c r="U257" i="230"/>
  <c r="U258" i="229"/>
  <c r="U216" i="237"/>
  <c r="U220" i="236"/>
  <c r="U216" i="236"/>
  <c r="U236" i="235"/>
  <c r="U236" i="232"/>
  <c r="U221" i="230"/>
  <c r="U216" i="230"/>
  <c r="U224" i="229"/>
  <c r="U197" i="237"/>
  <c r="U195" i="236"/>
  <c r="U188" i="236"/>
  <c r="U203" i="235"/>
  <c r="U196" i="232"/>
  <c r="U186" i="230"/>
  <c r="U202" i="229"/>
  <c r="U182" i="229"/>
  <c r="U167" i="237"/>
  <c r="U253" i="236"/>
  <c r="U271" i="236"/>
  <c r="U269" i="232"/>
  <c r="U269" i="230"/>
  <c r="U253" i="230"/>
  <c r="U272" i="229"/>
  <c r="U219" i="237"/>
  <c r="U240" i="236"/>
  <c r="U224" i="236"/>
  <c r="U240" i="235"/>
  <c r="U220" i="232"/>
  <c r="U222" i="230"/>
  <c r="U217" i="230"/>
  <c r="U237" i="229"/>
  <c r="U200" i="237"/>
  <c r="U204" i="236"/>
  <c r="U204" i="235"/>
  <c r="U187" i="235"/>
  <c r="U191" i="232"/>
  <c r="U197" i="230"/>
  <c r="U186" i="229"/>
  <c r="U204" i="229"/>
  <c r="U150" i="237"/>
  <c r="U166" i="236"/>
  <c r="U150" i="235"/>
  <c r="U154" i="235"/>
  <c r="U172" i="232"/>
  <c r="U165" i="230"/>
  <c r="U150" i="229"/>
  <c r="U152" i="229"/>
  <c r="U136" i="237"/>
  <c r="U121" i="236"/>
  <c r="U134" i="235"/>
  <c r="U133" i="235"/>
  <c r="U135" i="232"/>
  <c r="U128" i="230"/>
  <c r="U132" i="229"/>
  <c r="U98" i="237"/>
  <c r="U99" i="237"/>
  <c r="U93" i="236"/>
  <c r="U88" i="235"/>
  <c r="U86" i="232"/>
  <c r="U104" i="232"/>
  <c r="U86" i="230"/>
  <c r="U80" i="229"/>
  <c r="U272" i="237"/>
  <c r="U264" i="236"/>
  <c r="U270" i="235"/>
  <c r="U274" i="232"/>
  <c r="U250" i="230"/>
  <c r="U271" i="230"/>
  <c r="U269" i="229"/>
  <c r="U224" i="237"/>
  <c r="U233" i="236"/>
  <c r="U222" i="236"/>
  <c r="U224" i="235"/>
  <c r="U218" i="232"/>
  <c r="U218" i="230"/>
  <c r="U236" i="229"/>
  <c r="U221" i="229"/>
  <c r="U195" i="237"/>
  <c r="U184" i="236"/>
  <c r="U188" i="235"/>
  <c r="U206" i="235"/>
  <c r="U194" i="232"/>
  <c r="U200" i="230"/>
  <c r="U197" i="229"/>
  <c r="U254" i="237"/>
  <c r="U254" i="236"/>
  <c r="U254" i="235"/>
  <c r="U267" i="232"/>
  <c r="U272" i="230"/>
  <c r="U255" i="230"/>
  <c r="U262" i="229"/>
  <c r="U217" i="237"/>
  <c r="U223" i="236"/>
  <c r="U234" i="235"/>
  <c r="U237" i="235"/>
  <c r="U234" i="232"/>
  <c r="U240" i="230"/>
  <c r="U220" i="229"/>
  <c r="U238" i="229"/>
  <c r="U203" i="237"/>
  <c r="U185" i="236"/>
  <c r="U199" i="235"/>
  <c r="U190" i="235"/>
  <c r="U189" i="232"/>
  <c r="U195" i="230"/>
  <c r="U200" i="229"/>
  <c r="U199" i="229"/>
  <c r="U156" i="237"/>
  <c r="U150" i="236"/>
  <c r="U162" i="235"/>
  <c r="U151" i="235"/>
  <c r="U167" i="232"/>
  <c r="U155" i="230"/>
  <c r="U162" i="229"/>
  <c r="U132" i="237"/>
  <c r="U133" i="237"/>
  <c r="U122" i="236"/>
  <c r="U129" i="235"/>
  <c r="U120" i="232"/>
  <c r="U138" i="232"/>
  <c r="U126" i="230"/>
  <c r="U123" i="229"/>
  <c r="U95" i="237"/>
  <c r="U100" i="237"/>
  <c r="U82" i="236"/>
  <c r="U95" i="235"/>
  <c r="U83" i="232"/>
  <c r="U99" i="232"/>
  <c r="U101" i="230"/>
  <c r="U83" i="229"/>
  <c r="U49" i="237"/>
  <c r="U64" i="237"/>
  <c r="U65" i="236"/>
  <c r="U63" i="235"/>
  <c r="U48" i="232"/>
  <c r="U70" i="230"/>
  <c r="U51" i="230"/>
  <c r="U64" i="229"/>
  <c r="U26" i="238"/>
  <c r="U3" i="237"/>
  <c r="U27" i="234"/>
  <c r="U14" i="233"/>
  <c r="U29" i="232"/>
  <c r="U20" i="231"/>
  <c r="U265" i="237"/>
  <c r="U257" i="236"/>
  <c r="U267" i="235"/>
  <c r="U258" i="232"/>
  <c r="U265" i="230"/>
  <c r="U268" i="229"/>
  <c r="U274" i="229"/>
  <c r="U222" i="237"/>
  <c r="U238" i="236"/>
  <c r="U230" i="235"/>
  <c r="U240" i="232"/>
  <c r="U228" i="232"/>
  <c r="U233" i="230"/>
  <c r="U229" i="229"/>
  <c r="U190" i="237"/>
  <c r="U191" i="237"/>
  <c r="U189" i="236"/>
  <c r="U200" i="235"/>
  <c r="U199" i="232"/>
  <c r="U190" i="232"/>
  <c r="U189" i="230"/>
  <c r="U194" i="229"/>
  <c r="U151" i="237"/>
  <c r="U155" i="237"/>
  <c r="U149" i="236"/>
  <c r="U149" i="235"/>
  <c r="U161" i="232"/>
  <c r="U151" i="232"/>
  <c r="U170" i="230"/>
  <c r="U169" i="229"/>
  <c r="U138" i="237"/>
  <c r="U132" i="236"/>
  <c r="U133" i="236"/>
  <c r="U116" i="235"/>
  <c r="U129" i="232"/>
  <c r="U120" i="230"/>
  <c r="U138" i="230"/>
  <c r="U119" i="229"/>
  <c r="U89" i="237"/>
  <c r="U99" i="236"/>
  <c r="U92" i="236"/>
  <c r="U100" i="235"/>
  <c r="U93" i="232"/>
  <c r="U98" i="230"/>
  <c r="U80" i="230"/>
  <c r="U87" i="229"/>
  <c r="U70" i="237"/>
  <c r="U59" i="236"/>
  <c r="U49" i="236"/>
  <c r="U60" i="235"/>
  <c r="U47" i="232"/>
  <c r="U48" i="230"/>
  <c r="U70" i="229"/>
  <c r="U47" i="229"/>
  <c r="U25" i="238"/>
  <c r="U33" i="234"/>
  <c r="U18" i="234"/>
  <c r="U36" i="233"/>
  <c r="U27" i="231"/>
  <c r="U33" i="231"/>
  <c r="U255" i="237"/>
  <c r="U255" i="236"/>
  <c r="U252" i="235"/>
  <c r="U256" i="232"/>
  <c r="U268" i="230"/>
  <c r="U253" i="229"/>
  <c r="U234" i="237"/>
  <c r="U262" i="235"/>
  <c r="U229" i="237"/>
  <c r="U219" i="235"/>
  <c r="U231" i="232"/>
  <c r="U182" i="237"/>
  <c r="U195" i="235"/>
  <c r="U204" i="230"/>
  <c r="U168" i="237"/>
  <c r="U161" i="236"/>
  <c r="U172" i="235"/>
  <c r="U166" i="230"/>
  <c r="U156" i="229"/>
  <c r="U116" i="237"/>
  <c r="U138" i="236"/>
  <c r="U126" i="235"/>
  <c r="U131" i="230"/>
  <c r="U127" i="229"/>
  <c r="U87" i="237"/>
  <c r="U85" i="236"/>
  <c r="U93" i="235"/>
  <c r="U93" i="230"/>
  <c r="U93" i="229"/>
  <c r="U54" i="237"/>
  <c r="U55" i="236"/>
  <c r="U66" i="235"/>
  <c r="U67" i="232"/>
  <c r="U49" i="230"/>
  <c r="U66" i="229"/>
  <c r="U36" i="238"/>
  <c r="U31" i="234"/>
  <c r="U13" i="233"/>
  <c r="U13" i="231"/>
  <c r="U3" i="230"/>
  <c r="U231" i="236"/>
  <c r="U170" i="236"/>
  <c r="U116" i="236"/>
  <c r="U117" i="229"/>
  <c r="U102" i="230"/>
  <c r="U61" i="232"/>
  <c r="U17" i="238"/>
  <c r="U265" i="229"/>
  <c r="U228" i="229"/>
  <c r="U154" i="236"/>
  <c r="U163" i="229"/>
  <c r="U133" i="230"/>
  <c r="U85" i="232"/>
  <c r="U67" i="235"/>
  <c r="U29" i="238"/>
  <c r="U17" i="231"/>
  <c r="U237" i="236"/>
  <c r="U188" i="229"/>
  <c r="U148" i="230"/>
  <c r="U119" i="232"/>
  <c r="U98" i="235"/>
  <c r="U60" i="236"/>
  <c r="U64" i="230"/>
  <c r="U29" i="233"/>
  <c r="U259" i="235"/>
  <c r="U225" i="237"/>
  <c r="U225" i="235"/>
  <c r="U238" i="230"/>
  <c r="U204" i="237"/>
  <c r="U184" i="235"/>
  <c r="U183" i="230"/>
  <c r="U152" i="237"/>
  <c r="U169" i="236"/>
  <c r="U170" i="235"/>
  <c r="U151" i="230"/>
  <c r="U167" i="229"/>
  <c r="U135" i="237"/>
  <c r="U114" i="236"/>
  <c r="U119" i="235"/>
  <c r="U117" i="230"/>
  <c r="U116" i="229"/>
  <c r="U104" i="237"/>
  <c r="U87" i="236"/>
  <c r="U102" i="232"/>
  <c r="U82" i="230"/>
  <c r="U94" i="229"/>
  <c r="U65" i="237"/>
  <c r="U51" i="236"/>
  <c r="U50" i="235"/>
  <c r="U51" i="232"/>
  <c r="U63" i="230"/>
  <c r="U51" i="229"/>
  <c r="U20" i="238"/>
  <c r="U3" i="234"/>
  <c r="U26" i="233"/>
  <c r="U29" i="231"/>
  <c r="U217" i="232"/>
  <c r="U168" i="235"/>
  <c r="U168" i="229"/>
  <c r="U122" i="230"/>
  <c r="U89" i="232"/>
  <c r="U54" i="235"/>
  <c r="U13" i="238"/>
  <c r="U21" i="231"/>
  <c r="U221" i="232"/>
  <c r="U203" i="229"/>
  <c r="U167" i="230"/>
  <c r="U115" i="232"/>
  <c r="U84" i="235"/>
  <c r="U48" i="236"/>
  <c r="U46" i="229"/>
  <c r="U17" i="233"/>
  <c r="U230" i="232"/>
  <c r="U182" i="232"/>
  <c r="U156" i="232"/>
  <c r="U123" i="235"/>
  <c r="U98" i="236"/>
  <c r="U55" i="237"/>
  <c r="U61" i="229"/>
  <c r="U15" i="233"/>
  <c r="U252" i="232"/>
  <c r="U235" i="237"/>
  <c r="U233" i="235"/>
  <c r="U228" i="230"/>
  <c r="U194" i="237"/>
  <c r="U196" i="235"/>
  <c r="U203" i="230"/>
  <c r="U163" i="237"/>
  <c r="U153" i="236"/>
  <c r="U165" i="235"/>
  <c r="U163" i="230"/>
  <c r="U153" i="229"/>
  <c r="U121" i="237"/>
  <c r="U134" i="236"/>
  <c r="U136" i="232"/>
  <c r="U134" i="230"/>
  <c r="U115" i="229"/>
  <c r="U86" i="237"/>
  <c r="U83" i="236"/>
  <c r="U97" i="232"/>
  <c r="U94" i="230"/>
  <c r="U99" i="229"/>
  <c r="U68" i="237"/>
  <c r="U70" i="236"/>
  <c r="U49" i="235"/>
  <c r="U70" i="232"/>
  <c r="U52" i="230"/>
  <c r="U58" i="229"/>
  <c r="U21" i="238"/>
  <c r="U24" i="234"/>
  <c r="U20" i="233"/>
  <c r="U34" i="231"/>
  <c r="U252" i="237"/>
  <c r="U236" i="237"/>
  <c r="U230" i="229"/>
  <c r="U189" i="229"/>
  <c r="U161" i="235"/>
  <c r="U149" i="230"/>
  <c r="U170" i="229"/>
  <c r="U129" i="236"/>
  <c r="U117" i="235"/>
  <c r="U127" i="232"/>
  <c r="U133" i="229"/>
  <c r="U104" i="235"/>
  <c r="U83" i="230"/>
  <c r="U48" i="237"/>
  <c r="U55" i="235"/>
  <c r="U54" i="229"/>
  <c r="U33" i="238"/>
  <c r="U34" i="233"/>
  <c r="U274" i="237"/>
  <c r="U183" i="236"/>
  <c r="U183" i="229"/>
  <c r="U154" i="230"/>
  <c r="U116" i="232"/>
  <c r="U82" i="235"/>
  <c r="U59" i="237"/>
  <c r="U65" i="229"/>
  <c r="U33" i="233"/>
  <c r="U230" i="236"/>
  <c r="U201" i="232"/>
  <c r="U153" i="232"/>
  <c r="U128" i="235"/>
  <c r="U83" i="237"/>
  <c r="U60" i="237"/>
  <c r="U59" i="230"/>
  <c r="U16" i="234"/>
  <c r="U256" i="236"/>
  <c r="U187" i="236"/>
  <c r="U153" i="235"/>
  <c r="U123" i="236"/>
  <c r="U81" i="237"/>
  <c r="U84" i="229"/>
  <c r="U59" i="232"/>
  <c r="U13" i="234"/>
  <c r="U257" i="232"/>
  <c r="U223" i="237"/>
  <c r="U224" i="232"/>
  <c r="U229" i="230"/>
  <c r="U189" i="237"/>
  <c r="U185" i="232"/>
  <c r="U187" i="230"/>
  <c r="U169" i="237"/>
  <c r="U172" i="236"/>
  <c r="U150" i="232"/>
  <c r="U157" i="230"/>
  <c r="U148" i="229"/>
  <c r="U120" i="237"/>
  <c r="U118" i="236"/>
  <c r="U132" i="232"/>
  <c r="U116" i="230"/>
  <c r="U122" i="229"/>
  <c r="U80" i="237"/>
  <c r="U97" i="235"/>
  <c r="U82" i="232"/>
  <c r="U87" i="230"/>
  <c r="U104" i="229"/>
  <c r="U50" i="237"/>
  <c r="U54" i="236"/>
  <c r="U58" i="235"/>
  <c r="U52" i="232"/>
  <c r="U67" i="230"/>
  <c r="U53" i="229"/>
  <c r="U16" i="238"/>
  <c r="U14" i="234"/>
  <c r="U21" i="233"/>
  <c r="U30" i="231"/>
  <c r="U263" i="230"/>
  <c r="U216" i="232"/>
  <c r="U183" i="237"/>
  <c r="U202" i="232"/>
  <c r="U149" i="237"/>
  <c r="U162" i="232"/>
  <c r="U123" i="230"/>
  <c r="U80" i="236"/>
  <c r="U94" i="232"/>
  <c r="U88" i="229"/>
  <c r="U70" i="235"/>
  <c r="U63" i="232"/>
  <c r="U49" i="229"/>
  <c r="U21" i="234"/>
  <c r="U26" i="231"/>
  <c r="U252" i="230"/>
  <c r="U219" i="229"/>
  <c r="U186" i="232"/>
  <c r="U157" i="232"/>
  <c r="U118" i="235"/>
  <c r="U102" i="236"/>
  <c r="U63" i="237"/>
  <c r="U49" i="232"/>
  <c r="U32" i="234"/>
  <c r="U250" i="236"/>
  <c r="U203" i="236"/>
  <c r="U169" i="235"/>
  <c r="U127" i="236"/>
  <c r="U86" i="236"/>
  <c r="U100" i="229"/>
  <c r="U64" i="232"/>
  <c r="U17" i="234"/>
  <c r="U256" i="229"/>
  <c r="U201" i="237"/>
  <c r="U163" i="236"/>
  <c r="U128" i="237"/>
  <c r="U114" i="230"/>
  <c r="U88" i="232"/>
  <c r="U46" i="235"/>
  <c r="U15" i="238"/>
  <c r="U36" i="231"/>
  <c r="A46" i="241" l="1"/>
  <c r="B251" i="241"/>
  <c r="A251" i="241" s="1"/>
  <c r="A182" i="241"/>
  <c r="A215" i="241"/>
  <c r="B216" i="241"/>
  <c r="B115" i="241"/>
  <c r="B116" i="241" s="1"/>
  <c r="B184" i="241"/>
  <c r="A183" i="241"/>
  <c r="A147" i="241"/>
  <c r="B148" i="241"/>
  <c r="B81" i="241"/>
  <c r="B82" i="241" s="1"/>
  <c r="B48" i="241"/>
  <c r="A47" i="241"/>
  <c r="A12" i="241"/>
  <c r="B13" i="241"/>
  <c r="A250" i="238"/>
  <c r="B251" i="238"/>
  <c r="A250" i="237"/>
  <c r="B251" i="237"/>
  <c r="A250" i="236"/>
  <c r="B251" i="236"/>
  <c r="A250" i="235"/>
  <c r="B251" i="235"/>
  <c r="A250" i="234"/>
  <c r="B251" i="234"/>
  <c r="A250" i="233"/>
  <c r="B251" i="233"/>
  <c r="A250" i="232"/>
  <c r="B251" i="232"/>
  <c r="A250" i="231"/>
  <c r="B251" i="231"/>
  <c r="A250" i="230"/>
  <c r="B251" i="230"/>
  <c r="A250" i="229"/>
  <c r="B251" i="229"/>
  <c r="A250" i="227"/>
  <c r="B251" i="227"/>
  <c r="A250" i="187"/>
  <c r="B251" i="187"/>
  <c r="A216" i="238"/>
  <c r="B217" i="238"/>
  <c r="A216" i="237"/>
  <c r="B217" i="237"/>
  <c r="A216" i="236"/>
  <c r="B217" i="236"/>
  <c r="A216" i="235"/>
  <c r="B217" i="235"/>
  <c r="A216" i="234"/>
  <c r="B217" i="234"/>
  <c r="A216" i="233"/>
  <c r="B217" i="233"/>
  <c r="A216" i="232"/>
  <c r="B217" i="232"/>
  <c r="A216" i="231"/>
  <c r="B217" i="231"/>
  <c r="A216" i="230"/>
  <c r="B217" i="230"/>
  <c r="A216" i="229"/>
  <c r="B217" i="229"/>
  <c r="A216" i="227"/>
  <c r="B217" i="227"/>
  <c r="A216" i="187"/>
  <c r="B217" i="187"/>
  <c r="A182" i="238"/>
  <c r="B183" i="238"/>
  <c r="A182" i="237"/>
  <c r="B183" i="237"/>
  <c r="A182" i="236"/>
  <c r="B183" i="236"/>
  <c r="A182" i="235"/>
  <c r="B183" i="235"/>
  <c r="A182" i="234"/>
  <c r="B183" i="234"/>
  <c r="A182" i="233"/>
  <c r="B183" i="233"/>
  <c r="A182" i="232"/>
  <c r="B183" i="232"/>
  <c r="A182" i="231"/>
  <c r="B183" i="231"/>
  <c r="A182" i="230"/>
  <c r="B183" i="230"/>
  <c r="A182" i="229"/>
  <c r="B183" i="229"/>
  <c r="A182" i="227"/>
  <c r="B183" i="227"/>
  <c r="A182" i="187"/>
  <c r="B183" i="187"/>
  <c r="A148" i="238"/>
  <c r="B149" i="238"/>
  <c r="A148" i="237"/>
  <c r="B149" i="237"/>
  <c r="A148" i="236"/>
  <c r="B149" i="236"/>
  <c r="A148" i="235"/>
  <c r="B149" i="235"/>
  <c r="A148" i="234"/>
  <c r="B149" i="234"/>
  <c r="A148" i="233"/>
  <c r="B149" i="233"/>
  <c r="A148" i="232"/>
  <c r="B149" i="232"/>
  <c r="A148" i="231"/>
  <c r="B149" i="231"/>
  <c r="A148" i="230"/>
  <c r="B149" i="230"/>
  <c r="A148" i="229"/>
  <c r="B149" i="229"/>
  <c r="A148" i="227"/>
  <c r="B149" i="227"/>
  <c r="A148" i="187"/>
  <c r="B149" i="187"/>
  <c r="A114" i="238"/>
  <c r="B115" i="238"/>
  <c r="A114" i="237"/>
  <c r="B115" i="237"/>
  <c r="A114" i="236"/>
  <c r="B115" i="236"/>
  <c r="A114" i="235"/>
  <c r="B115" i="235"/>
  <c r="A114" i="234"/>
  <c r="B115" i="234"/>
  <c r="A114" i="233"/>
  <c r="B115" i="233"/>
  <c r="A114" i="232"/>
  <c r="B115" i="232"/>
  <c r="A114" i="231"/>
  <c r="B115" i="231"/>
  <c r="A114" i="230"/>
  <c r="B115" i="230"/>
  <c r="A114" i="229"/>
  <c r="B115" i="229"/>
  <c r="A114" i="227"/>
  <c r="B115" i="227"/>
  <c r="A114" i="187"/>
  <c r="B115" i="187"/>
  <c r="A80" i="238"/>
  <c r="B81" i="238"/>
  <c r="A80" i="237"/>
  <c r="B81" i="237"/>
  <c r="A80" i="236"/>
  <c r="B81" i="236"/>
  <c r="A80" i="235"/>
  <c r="B81" i="235"/>
  <c r="A80" i="234"/>
  <c r="B81" i="234"/>
  <c r="A80" i="233"/>
  <c r="B81" i="233"/>
  <c r="B80" i="232"/>
  <c r="A79" i="232"/>
  <c r="A80" i="231"/>
  <c r="B81" i="231"/>
  <c r="A80" i="230"/>
  <c r="B81" i="230"/>
  <c r="A80" i="229"/>
  <c r="B81" i="229"/>
  <c r="A80" i="227"/>
  <c r="B81" i="227"/>
  <c r="A80" i="187"/>
  <c r="B81" i="187"/>
  <c r="A46" i="238"/>
  <c r="B47" i="238"/>
  <c r="A46" i="237"/>
  <c r="B47" i="237"/>
  <c r="A46" i="236"/>
  <c r="B47" i="236"/>
  <c r="B46" i="235"/>
  <c r="A45" i="235"/>
  <c r="A46" i="234"/>
  <c r="B47" i="234"/>
  <c r="A46" i="233"/>
  <c r="B47" i="233"/>
  <c r="A46" i="232"/>
  <c r="B47" i="232"/>
  <c r="A46" i="231"/>
  <c r="B47" i="231"/>
  <c r="A46" i="230"/>
  <c r="B47" i="230"/>
  <c r="A46" i="229"/>
  <c r="B47" i="229"/>
  <c r="A46" i="227"/>
  <c r="B47" i="227"/>
  <c r="A46" i="187"/>
  <c r="B47" i="187"/>
  <c r="S5" i="238"/>
  <c r="B12" i="238"/>
  <c r="A11" i="238"/>
  <c r="S5" i="231"/>
  <c r="B12" i="237"/>
  <c r="A11" i="237"/>
  <c r="T13" i="237"/>
  <c r="T36" i="237"/>
  <c r="T34" i="237"/>
  <c r="T32" i="237"/>
  <c r="T30" i="237"/>
  <c r="T26" i="237"/>
  <c r="T24" i="237"/>
  <c r="T20" i="237"/>
  <c r="T18" i="237"/>
  <c r="T16" i="237"/>
  <c r="T14" i="237"/>
  <c r="T33" i="237"/>
  <c r="T31" i="237"/>
  <c r="T29" i="237"/>
  <c r="T27" i="237"/>
  <c r="T25" i="237"/>
  <c r="T21" i="237"/>
  <c r="T19" i="237"/>
  <c r="T17" i="237"/>
  <c r="T12" i="237"/>
  <c r="T15" i="237"/>
  <c r="I1" i="237"/>
  <c r="S5" i="234"/>
  <c r="T21" i="235"/>
  <c r="T15" i="235"/>
  <c r="T14" i="235"/>
  <c r="T36" i="235"/>
  <c r="B12" i="236"/>
  <c r="A11" i="236"/>
  <c r="T13" i="236"/>
  <c r="T36" i="236"/>
  <c r="T34" i="236"/>
  <c r="T32" i="236"/>
  <c r="T30" i="236"/>
  <c r="T26" i="236"/>
  <c r="T24" i="236"/>
  <c r="T20" i="236"/>
  <c r="T18" i="236"/>
  <c r="T16" i="236"/>
  <c r="T14" i="236"/>
  <c r="T33" i="236"/>
  <c r="T31" i="236"/>
  <c r="T29" i="236"/>
  <c r="T27" i="236"/>
  <c r="T25" i="236"/>
  <c r="T21" i="236"/>
  <c r="T19" i="236"/>
  <c r="T17" i="236"/>
  <c r="T12" i="236"/>
  <c r="T15" i="236"/>
  <c r="K1" i="236"/>
  <c r="I1" i="236"/>
  <c r="I1" i="235"/>
  <c r="T26" i="235"/>
  <c r="T12" i="235"/>
  <c r="T16" i="235"/>
  <c r="T31" i="235"/>
  <c r="T34" i="235"/>
  <c r="T20" i="235"/>
  <c r="T25" i="235"/>
  <c r="T30" i="235"/>
  <c r="T13" i="235"/>
  <c r="K1" i="235"/>
  <c r="T33" i="235"/>
  <c r="T19" i="235"/>
  <c r="T24" i="235"/>
  <c r="T29" i="235"/>
  <c r="T17" i="235"/>
  <c r="T32" i="235"/>
  <c r="T18" i="235"/>
  <c r="B12" i="235"/>
  <c r="A11" i="235"/>
  <c r="S5" i="233"/>
  <c r="B12" i="234"/>
  <c r="A11" i="234"/>
  <c r="T17" i="232"/>
  <c r="T36" i="232"/>
  <c r="T32" i="232"/>
  <c r="T16" i="232"/>
  <c r="T21" i="232"/>
  <c r="B12" i="233"/>
  <c r="A11" i="233"/>
  <c r="T30" i="232"/>
  <c r="T33" i="232"/>
  <c r="T12" i="232"/>
  <c r="T26" i="232"/>
  <c r="T31" i="232"/>
  <c r="K1" i="232"/>
  <c r="T24" i="232"/>
  <c r="T15" i="232"/>
  <c r="T13" i="232"/>
  <c r="T20" i="232"/>
  <c r="T27" i="232"/>
  <c r="I1" i="232"/>
  <c r="T18" i="232"/>
  <c r="T25" i="232"/>
  <c r="T34" i="232"/>
  <c r="T14" i="232"/>
  <c r="T19" i="232"/>
  <c r="A11" i="232"/>
  <c r="B12" i="232"/>
  <c r="B12" i="231"/>
  <c r="A11" i="231"/>
  <c r="T21" i="229"/>
  <c r="T30" i="229"/>
  <c r="T26" i="229"/>
  <c r="T29" i="229"/>
  <c r="T24" i="229"/>
  <c r="T19" i="229"/>
  <c r="T18" i="229"/>
  <c r="T17" i="229"/>
  <c r="T13" i="229"/>
  <c r="T16" i="229"/>
  <c r="T12" i="229"/>
  <c r="T36" i="229"/>
  <c r="T14" i="229"/>
  <c r="T34" i="229"/>
  <c r="T33" i="229"/>
  <c r="T32" i="229"/>
  <c r="T31" i="229"/>
  <c r="K1" i="229"/>
  <c r="A11" i="229"/>
  <c r="T13" i="230"/>
  <c r="T36" i="230"/>
  <c r="T34" i="230"/>
  <c r="T32" i="230"/>
  <c r="T30" i="230"/>
  <c r="T26" i="230"/>
  <c r="T24" i="230"/>
  <c r="T20" i="230"/>
  <c r="T18" i="230"/>
  <c r="T16" i="230"/>
  <c r="T14" i="230"/>
  <c r="T33" i="230"/>
  <c r="T31" i="230"/>
  <c r="T29" i="230"/>
  <c r="T27" i="230"/>
  <c r="T25" i="230"/>
  <c r="T21" i="230"/>
  <c r="T19" i="230"/>
  <c r="T17" i="230"/>
  <c r="T12" i="230"/>
  <c r="T15" i="230"/>
  <c r="T27" i="229"/>
  <c r="T15" i="229"/>
  <c r="T20" i="229"/>
  <c r="T25" i="229"/>
  <c r="B12" i="230"/>
  <c r="A11" i="230"/>
  <c r="K1" i="230"/>
  <c r="B13" i="229"/>
  <c r="A13" i="229" s="1"/>
  <c r="A10" i="229"/>
  <c r="J1" i="227"/>
  <c r="B11" i="227"/>
  <c r="A10" i="227"/>
  <c r="A9" i="227"/>
  <c r="S5" i="227"/>
  <c r="T2" i="227"/>
  <c r="AN6" i="110"/>
  <c r="F249" i="4"/>
  <c r="A249" i="4"/>
  <c r="F248" i="4"/>
  <c r="A248" i="4"/>
  <c r="F247" i="4"/>
  <c r="A247" i="4"/>
  <c r="F246" i="4"/>
  <c r="A246" i="4"/>
  <c r="F245" i="4"/>
  <c r="A245" i="4"/>
  <c r="F244" i="4"/>
  <c r="A244" i="4"/>
  <c r="F243" i="4"/>
  <c r="A243" i="4"/>
  <c r="F242" i="4"/>
  <c r="A242" i="4"/>
  <c r="F241" i="4"/>
  <c r="A241" i="4"/>
  <c r="F240" i="4"/>
  <c r="A240" i="4"/>
  <c r="F239" i="4"/>
  <c r="A239" i="4"/>
  <c r="F238" i="4"/>
  <c r="A238" i="4"/>
  <c r="F237" i="4"/>
  <c r="A237" i="4"/>
  <c r="F236" i="4"/>
  <c r="A236" i="4"/>
  <c r="F235" i="4"/>
  <c r="A235" i="4"/>
  <c r="F234" i="4"/>
  <c r="A234" i="4"/>
  <c r="F233" i="4"/>
  <c r="A233" i="4"/>
  <c r="F232" i="4"/>
  <c r="A232" i="4"/>
  <c r="F231" i="4"/>
  <c r="A231" i="4"/>
  <c r="F230" i="4"/>
  <c r="A230" i="4"/>
  <c r="F229" i="4"/>
  <c r="A229" i="4"/>
  <c r="F228" i="4"/>
  <c r="A228" i="4"/>
  <c r="F227" i="4"/>
  <c r="A227" i="4"/>
  <c r="F226" i="4"/>
  <c r="A226" i="4"/>
  <c r="F225" i="4"/>
  <c r="A225" i="4"/>
  <c r="F224" i="4"/>
  <c r="A224" i="4"/>
  <c r="F223" i="4"/>
  <c r="A223" i="4"/>
  <c r="F222" i="4"/>
  <c r="A222" i="4"/>
  <c r="F221" i="4"/>
  <c r="A221" i="4"/>
  <c r="F220" i="4"/>
  <c r="A220" i="4"/>
  <c r="F219" i="4"/>
  <c r="A219" i="4"/>
  <c r="F218" i="4"/>
  <c r="A218" i="4"/>
  <c r="F217" i="4"/>
  <c r="A217" i="4"/>
  <c r="F216" i="4"/>
  <c r="A216" i="4"/>
  <c r="F215" i="4"/>
  <c r="A215" i="4"/>
  <c r="F214" i="4"/>
  <c r="A214" i="4"/>
  <c r="F213" i="4"/>
  <c r="A213" i="4"/>
  <c r="F212" i="4"/>
  <c r="A212" i="4"/>
  <c r="F211" i="4"/>
  <c r="A211" i="4"/>
  <c r="F210" i="4"/>
  <c r="A210" i="4"/>
  <c r="F209" i="4"/>
  <c r="A209" i="4"/>
  <c r="F208" i="4"/>
  <c r="A208" i="4"/>
  <c r="F207" i="4"/>
  <c r="A207" i="4"/>
  <c r="F206" i="4"/>
  <c r="A206" i="4"/>
  <c r="F205" i="4"/>
  <c r="A205" i="4"/>
  <c r="F204" i="4"/>
  <c r="A204" i="4"/>
  <c r="F203" i="4"/>
  <c r="A203" i="4"/>
  <c r="F202" i="4"/>
  <c r="A202" i="4"/>
  <c r="F201" i="4"/>
  <c r="A201" i="4"/>
  <c r="F200" i="4"/>
  <c r="A200" i="4"/>
  <c r="F199" i="4"/>
  <c r="A199" i="4"/>
  <c r="F198" i="4"/>
  <c r="A198" i="4"/>
  <c r="F197" i="4"/>
  <c r="A197" i="4"/>
  <c r="F196" i="4"/>
  <c r="A196" i="4"/>
  <c r="F195" i="4"/>
  <c r="A195" i="4"/>
  <c r="F194" i="4"/>
  <c r="A194" i="4"/>
  <c r="F193" i="4"/>
  <c r="A193" i="4"/>
  <c r="F192" i="4"/>
  <c r="A192" i="4"/>
  <c r="F191" i="4"/>
  <c r="A191" i="4"/>
  <c r="F190" i="4"/>
  <c r="A190" i="4"/>
  <c r="F189" i="4"/>
  <c r="A189" i="4"/>
  <c r="F188" i="4"/>
  <c r="A188" i="4"/>
  <c r="F187" i="4"/>
  <c r="A187" i="4"/>
  <c r="F186" i="4"/>
  <c r="A186" i="4"/>
  <c r="F185" i="4"/>
  <c r="A185" i="4"/>
  <c r="F184" i="4"/>
  <c r="A184" i="4"/>
  <c r="F183" i="4"/>
  <c r="A183" i="4"/>
  <c r="F182" i="4"/>
  <c r="A182" i="4"/>
  <c r="F181" i="4"/>
  <c r="A181" i="4"/>
  <c r="F180" i="4"/>
  <c r="A180" i="4"/>
  <c r="F179" i="4"/>
  <c r="A179" i="4"/>
  <c r="F178" i="4"/>
  <c r="A178" i="4"/>
  <c r="F177" i="4"/>
  <c r="A177" i="4"/>
  <c r="F176" i="4"/>
  <c r="A176" i="4"/>
  <c r="F175" i="4"/>
  <c r="A175" i="4"/>
  <c r="F174" i="4"/>
  <c r="A174" i="4"/>
  <c r="F173" i="4"/>
  <c r="A173" i="4"/>
  <c r="F172" i="4"/>
  <c r="A172" i="4"/>
  <c r="F171" i="4"/>
  <c r="A171" i="4"/>
  <c r="F170" i="4"/>
  <c r="A170" i="4"/>
  <c r="F169" i="4"/>
  <c r="A169" i="4"/>
  <c r="F168" i="4"/>
  <c r="A168" i="4"/>
  <c r="F167" i="4"/>
  <c r="A167" i="4"/>
  <c r="F166" i="4"/>
  <c r="A166" i="4"/>
  <c r="F165" i="4"/>
  <c r="A165" i="4"/>
  <c r="F164" i="4"/>
  <c r="A164" i="4"/>
  <c r="F163" i="4"/>
  <c r="A163" i="4"/>
  <c r="F162" i="4"/>
  <c r="A162" i="4"/>
  <c r="F161" i="4"/>
  <c r="A161" i="4"/>
  <c r="F160" i="4"/>
  <c r="A160" i="4"/>
  <c r="F159" i="4"/>
  <c r="A159" i="4"/>
  <c r="F158" i="4"/>
  <c r="A158" i="4"/>
  <c r="F157" i="4"/>
  <c r="A157" i="4"/>
  <c r="F156" i="4"/>
  <c r="A156" i="4"/>
  <c r="F155" i="4"/>
  <c r="A155" i="4"/>
  <c r="F154" i="4"/>
  <c r="A154" i="4"/>
  <c r="F153" i="4"/>
  <c r="A153" i="4"/>
  <c r="F152" i="4"/>
  <c r="A152" i="4"/>
  <c r="F151" i="4"/>
  <c r="A151" i="4"/>
  <c r="F150" i="4"/>
  <c r="A150" i="4"/>
  <c r="F149" i="4"/>
  <c r="A149" i="4"/>
  <c r="F148" i="4"/>
  <c r="A148" i="4"/>
  <c r="F147" i="4"/>
  <c r="A147" i="4"/>
  <c r="F146" i="4"/>
  <c r="A146" i="4"/>
  <c r="F145" i="4"/>
  <c r="A145" i="4"/>
  <c r="F144" i="4"/>
  <c r="A144" i="4"/>
  <c r="F143" i="4"/>
  <c r="A143" i="4"/>
  <c r="F142" i="4"/>
  <c r="A142" i="4"/>
  <c r="F141" i="4"/>
  <c r="A141" i="4"/>
  <c r="F140" i="4"/>
  <c r="A140" i="4"/>
  <c r="F139" i="4"/>
  <c r="A139" i="4"/>
  <c r="F138" i="4"/>
  <c r="A138" i="4"/>
  <c r="F137" i="4"/>
  <c r="A137" i="4"/>
  <c r="F136" i="4"/>
  <c r="A136" i="4"/>
  <c r="F135" i="4"/>
  <c r="A135" i="4"/>
  <c r="F134" i="4"/>
  <c r="A134" i="4"/>
  <c r="F133" i="4"/>
  <c r="A133" i="4"/>
  <c r="F132" i="4"/>
  <c r="A132" i="4"/>
  <c r="F131" i="4"/>
  <c r="A131" i="4"/>
  <c r="F130" i="4"/>
  <c r="A130" i="4"/>
  <c r="F129" i="4"/>
  <c r="A129" i="4"/>
  <c r="F128" i="4"/>
  <c r="A128" i="4"/>
  <c r="F127" i="4"/>
  <c r="A127" i="4"/>
  <c r="F126" i="4"/>
  <c r="A126" i="4"/>
  <c r="F125" i="4"/>
  <c r="A125" i="4"/>
  <c r="F124" i="4"/>
  <c r="A124" i="4"/>
  <c r="F123" i="4"/>
  <c r="A123" i="4"/>
  <c r="F122" i="4"/>
  <c r="A122" i="4"/>
  <c r="F121" i="4"/>
  <c r="A121" i="4"/>
  <c r="F120" i="4"/>
  <c r="A120" i="4"/>
  <c r="F119" i="4"/>
  <c r="A119" i="4"/>
  <c r="F118" i="4"/>
  <c r="A118" i="4"/>
  <c r="F117" i="4"/>
  <c r="A117" i="4"/>
  <c r="F116" i="4"/>
  <c r="A116" i="4"/>
  <c r="F115" i="4"/>
  <c r="A115" i="4"/>
  <c r="F114" i="4"/>
  <c r="A114" i="4"/>
  <c r="F113" i="4"/>
  <c r="A113" i="4"/>
  <c r="F112" i="4"/>
  <c r="A112" i="4"/>
  <c r="F111" i="4"/>
  <c r="A111" i="4"/>
  <c r="F110" i="4"/>
  <c r="A110" i="4"/>
  <c r="F109" i="4"/>
  <c r="A109" i="4"/>
  <c r="F108" i="4"/>
  <c r="A108" i="4"/>
  <c r="F107" i="4"/>
  <c r="A107" i="4"/>
  <c r="F106" i="4"/>
  <c r="A106" i="4"/>
  <c r="F105" i="4"/>
  <c r="A105" i="4"/>
  <c r="F104" i="4"/>
  <c r="A104" i="4"/>
  <c r="F103" i="4"/>
  <c r="A103" i="4"/>
  <c r="F102" i="4"/>
  <c r="A102" i="4"/>
  <c r="F101" i="4"/>
  <c r="A101" i="4"/>
  <c r="F100" i="4"/>
  <c r="A100" i="4"/>
  <c r="F99" i="4"/>
  <c r="A99" i="4"/>
  <c r="F98" i="4"/>
  <c r="A98" i="4"/>
  <c r="F97" i="4"/>
  <c r="A97" i="4"/>
  <c r="F96" i="4"/>
  <c r="A96" i="4"/>
  <c r="F95" i="4"/>
  <c r="A95" i="4"/>
  <c r="F94" i="4"/>
  <c r="A94" i="4"/>
  <c r="F93" i="4"/>
  <c r="A93" i="4"/>
  <c r="F92" i="4"/>
  <c r="A92" i="4"/>
  <c r="F91" i="4"/>
  <c r="A91" i="4"/>
  <c r="F90" i="4"/>
  <c r="A90" i="4"/>
  <c r="F89" i="4"/>
  <c r="A89" i="4"/>
  <c r="F88" i="4"/>
  <c r="A88" i="4"/>
  <c r="F87" i="4"/>
  <c r="A87" i="4"/>
  <c r="F86" i="4"/>
  <c r="A86" i="4"/>
  <c r="F85" i="4"/>
  <c r="A85" i="4"/>
  <c r="F84" i="4"/>
  <c r="A84" i="4"/>
  <c r="F83" i="4"/>
  <c r="A83" i="4"/>
  <c r="F82" i="4"/>
  <c r="A82" i="4"/>
  <c r="F81" i="4"/>
  <c r="A81" i="4"/>
  <c r="F80" i="4"/>
  <c r="A80" i="4"/>
  <c r="F79" i="4"/>
  <c r="A79" i="4"/>
  <c r="F78" i="4"/>
  <c r="A78" i="4"/>
  <c r="F77" i="4"/>
  <c r="A77" i="4"/>
  <c r="F76" i="4"/>
  <c r="A76" i="4"/>
  <c r="F75" i="4"/>
  <c r="A75" i="4"/>
  <c r="F74" i="4"/>
  <c r="A74" i="4"/>
  <c r="F73" i="4"/>
  <c r="A73" i="4"/>
  <c r="F72" i="4"/>
  <c r="A72" i="4"/>
  <c r="F71" i="4"/>
  <c r="A71" i="4"/>
  <c r="F70" i="4"/>
  <c r="A70" i="4"/>
  <c r="F69" i="4"/>
  <c r="A69" i="4"/>
  <c r="F68" i="4"/>
  <c r="A68" i="4"/>
  <c r="F67" i="4"/>
  <c r="A67" i="4"/>
  <c r="F66" i="4"/>
  <c r="A66" i="4"/>
  <c r="F65" i="4"/>
  <c r="A65" i="4"/>
  <c r="F64" i="4"/>
  <c r="A64" i="4"/>
  <c r="F63" i="4"/>
  <c r="A63" i="4"/>
  <c r="F62" i="4"/>
  <c r="A62" i="4"/>
  <c r="F61" i="4"/>
  <c r="A61" i="4"/>
  <c r="F60" i="4"/>
  <c r="A60" i="4"/>
  <c r="F59" i="4"/>
  <c r="A59" i="4"/>
  <c r="F58" i="4"/>
  <c r="A58" i="4"/>
  <c r="F57" i="4"/>
  <c r="A57" i="4"/>
  <c r="F56" i="4"/>
  <c r="A56" i="4"/>
  <c r="F55" i="4"/>
  <c r="A55" i="4"/>
  <c r="F54" i="4"/>
  <c r="A54" i="4"/>
  <c r="F53" i="4"/>
  <c r="A53" i="4"/>
  <c r="F52" i="4"/>
  <c r="A52" i="4"/>
  <c r="F51" i="4"/>
  <c r="A51" i="4"/>
  <c r="F50" i="4"/>
  <c r="A50" i="4"/>
  <c r="F49" i="4"/>
  <c r="A49" i="4"/>
  <c r="F48" i="4"/>
  <c r="A48" i="4"/>
  <c r="F47" i="4"/>
  <c r="A47" i="4"/>
  <c r="F46" i="4"/>
  <c r="A46" i="4"/>
  <c r="F45" i="4"/>
  <c r="A45" i="4"/>
  <c r="F44" i="4"/>
  <c r="A44" i="4"/>
  <c r="F43" i="4"/>
  <c r="A43" i="4"/>
  <c r="F42" i="4"/>
  <c r="A42" i="4"/>
  <c r="F41" i="4"/>
  <c r="A41" i="4"/>
  <c r="F40" i="4"/>
  <c r="A40" i="4"/>
  <c r="F39" i="4"/>
  <c r="A39" i="4"/>
  <c r="F38" i="4"/>
  <c r="A38" i="4"/>
  <c r="F37" i="4"/>
  <c r="A37" i="4"/>
  <c r="F36" i="4"/>
  <c r="A36" i="4"/>
  <c r="F35" i="4"/>
  <c r="A35" i="4"/>
  <c r="F34" i="4"/>
  <c r="A34" i="4"/>
  <c r="F33" i="4"/>
  <c r="A33" i="4"/>
  <c r="F32" i="4"/>
  <c r="A32" i="4"/>
  <c r="F31" i="4"/>
  <c r="A31" i="4"/>
  <c r="F30" i="4"/>
  <c r="A30" i="4"/>
  <c r="F29" i="4"/>
  <c r="A29" i="4"/>
  <c r="F28" i="4"/>
  <c r="A28" i="4"/>
  <c r="F27" i="4"/>
  <c r="A27" i="4"/>
  <c r="F26" i="4"/>
  <c r="A26" i="4"/>
  <c r="F25" i="4"/>
  <c r="A25" i="4"/>
  <c r="F24" i="4"/>
  <c r="A24" i="4"/>
  <c r="F23" i="4"/>
  <c r="A23" i="4"/>
  <c r="F22" i="4"/>
  <c r="A22" i="4"/>
  <c r="F21" i="4"/>
  <c r="A21" i="4"/>
  <c r="F20" i="4"/>
  <c r="A20" i="4"/>
  <c r="F19" i="4"/>
  <c r="A19" i="4"/>
  <c r="F18" i="4"/>
  <c r="A18" i="4"/>
  <c r="F17" i="4"/>
  <c r="A17" i="4"/>
  <c r="F16" i="4"/>
  <c r="A16" i="4"/>
  <c r="F15" i="4"/>
  <c r="A15" i="4"/>
  <c r="F14" i="4"/>
  <c r="A14" i="4"/>
  <c r="F13" i="4"/>
  <c r="A13" i="4"/>
  <c r="F12" i="4"/>
  <c r="A12" i="4"/>
  <c r="F11" i="4"/>
  <c r="A11" i="4"/>
  <c r="F10" i="4"/>
  <c r="A10" i="4"/>
  <c r="F9" i="4"/>
  <c r="A9" i="4"/>
  <c r="F8" i="4"/>
  <c r="A8" i="4"/>
  <c r="F7" i="4"/>
  <c r="A7" i="4"/>
  <c r="F6" i="4"/>
  <c r="A6" i="4"/>
  <c r="F5" i="4"/>
  <c r="A5" i="4"/>
  <c r="F4" i="4"/>
  <c r="A4" i="4"/>
  <c r="F3" i="4"/>
  <c r="A3" i="4"/>
  <c r="F2" i="4"/>
  <c r="A2" i="4"/>
  <c r="U34" i="237"/>
  <c r="U25" i="237"/>
  <c r="U17" i="237"/>
  <c r="U17" i="236"/>
  <c r="U29" i="236"/>
  <c r="U26" i="236"/>
  <c r="U31" i="235"/>
  <c r="U30" i="235"/>
  <c r="U13" i="232"/>
  <c r="U18" i="232"/>
  <c r="U26" i="229"/>
  <c r="U17" i="229"/>
  <c r="U18" i="230"/>
  <c r="U25" i="230"/>
  <c r="U19" i="230"/>
  <c r="U3" i="227"/>
  <c r="U21" i="237"/>
  <c r="U16" i="236"/>
  <c r="U36" i="232"/>
  <c r="U14" i="229"/>
  <c r="U17" i="230"/>
  <c r="U36" i="237"/>
  <c r="U19" i="236"/>
  <c r="U20" i="235"/>
  <c r="U15" i="232"/>
  <c r="U30" i="230"/>
  <c r="U20" i="237"/>
  <c r="U12" i="236"/>
  <c r="U12" i="235"/>
  <c r="U27" i="232"/>
  <c r="U27" i="229"/>
  <c r="U31" i="237"/>
  <c r="U34" i="236"/>
  <c r="U16" i="235"/>
  <c r="U26" i="232"/>
  <c r="U36" i="229"/>
  <c r="U31" i="230"/>
  <c r="U33" i="237"/>
  <c r="U17" i="235"/>
  <c r="U30" i="229"/>
  <c r="U27" i="230"/>
  <c r="U18" i="237"/>
  <c r="U14" i="237"/>
  <c r="U21" i="235"/>
  <c r="U36" i="235"/>
  <c r="U15" i="236"/>
  <c r="U21" i="236"/>
  <c r="U19" i="235"/>
  <c r="U32" i="235"/>
  <c r="U19" i="232"/>
  <c r="U25" i="232"/>
  <c r="U29" i="229"/>
  <c r="U32" i="229"/>
  <c r="U29" i="230"/>
  <c r="U14" i="230"/>
  <c r="U13" i="230"/>
  <c r="E1" i="144"/>
  <c r="U15" i="237"/>
  <c r="U20" i="236"/>
  <c r="U24" i="235"/>
  <c r="U34" i="232"/>
  <c r="U16" i="230"/>
  <c r="U25" i="229"/>
  <c r="U32" i="237"/>
  <c r="U31" i="236"/>
  <c r="U18" i="235"/>
  <c r="U12" i="232"/>
  <c r="U16" i="229"/>
  <c r="U36" i="230"/>
  <c r="U19" i="237"/>
  <c r="U30" i="236"/>
  <c r="U16" i="232"/>
  <c r="U34" i="229"/>
  <c r="U21" i="230"/>
  <c r="U13" i="237"/>
  <c r="U25" i="236"/>
  <c r="U21" i="232"/>
  <c r="U18" i="229"/>
  <c r="U20" i="229"/>
  <c r="U12" i="237"/>
  <c r="U18" i="236"/>
  <c r="U33" i="235"/>
  <c r="U31" i="232"/>
  <c r="U34" i="230"/>
  <c r="U12" i="230"/>
  <c r="U29" i="237"/>
  <c r="U26" i="237"/>
  <c r="U15" i="235"/>
  <c r="U36" i="236"/>
  <c r="U32" i="236"/>
  <c r="U26" i="235"/>
  <c r="U34" i="235"/>
  <c r="U17" i="232"/>
  <c r="U33" i="232"/>
  <c r="U24" i="232"/>
  <c r="U24" i="229"/>
  <c r="U13" i="229"/>
  <c r="U15" i="230"/>
  <c r="U15" i="229"/>
  <c r="U33" i="230"/>
  <c r="U24" i="236"/>
  <c r="U13" i="235"/>
  <c r="U20" i="232"/>
  <c r="U31" i="229"/>
  <c r="U24" i="237"/>
  <c r="U27" i="236"/>
  <c r="U32" i="232"/>
  <c r="U19" i="229"/>
  <c r="U26" i="230"/>
  <c r="U16" i="237"/>
  <c r="U14" i="235"/>
  <c r="U29" i="235"/>
  <c r="U14" i="232"/>
  <c r="U12" i="229"/>
  <c r="U20" i="230"/>
  <c r="U27" i="237"/>
  <c r="U13" i="236"/>
  <c r="U25" i="235"/>
  <c r="U21" i="229"/>
  <c r="U32" i="230"/>
  <c r="U30" i="237"/>
  <c r="U33" i="236"/>
  <c r="U14" i="236"/>
  <c r="U30" i="232"/>
  <c r="U33" i="229"/>
  <c r="U24" i="230"/>
  <c r="B252" i="241" l="1"/>
  <c r="A252" i="241" s="1"/>
  <c r="A115" i="241"/>
  <c r="B217" i="241"/>
  <c r="A216" i="241"/>
  <c r="B185" i="241"/>
  <c r="A184" i="241"/>
  <c r="B149" i="241"/>
  <c r="A148" i="241"/>
  <c r="A81" i="241"/>
  <c r="B117" i="241"/>
  <c r="A116" i="241"/>
  <c r="A82" i="241"/>
  <c r="B83" i="241"/>
  <c r="B49" i="241"/>
  <c r="A48" i="241"/>
  <c r="A13" i="241"/>
  <c r="B14" i="241"/>
  <c r="B252" i="238"/>
  <c r="A251" i="238"/>
  <c r="A251" i="237"/>
  <c r="B252" i="237"/>
  <c r="A251" i="236"/>
  <c r="B252" i="236"/>
  <c r="A251" i="235"/>
  <c r="B252" i="235"/>
  <c r="A251" i="234"/>
  <c r="B252" i="234"/>
  <c r="A251" i="233"/>
  <c r="B252" i="233"/>
  <c r="A251" i="232"/>
  <c r="B252" i="232"/>
  <c r="A251" i="231"/>
  <c r="B252" i="231"/>
  <c r="A251" i="230"/>
  <c r="B252" i="230"/>
  <c r="A251" i="229"/>
  <c r="B252" i="229"/>
  <c r="A251" i="227"/>
  <c r="B252" i="227"/>
  <c r="T251" i="227"/>
  <c r="T274" i="227"/>
  <c r="T272" i="227"/>
  <c r="T270" i="227"/>
  <c r="T268" i="227"/>
  <c r="T264" i="227"/>
  <c r="T262" i="227"/>
  <c r="T258" i="227"/>
  <c r="T256" i="227"/>
  <c r="T254" i="227"/>
  <c r="T263" i="227"/>
  <c r="T257" i="227"/>
  <c r="T250" i="227"/>
  <c r="T253" i="227"/>
  <c r="T271" i="227"/>
  <c r="T267" i="227"/>
  <c r="T252" i="227"/>
  <c r="T269" i="227"/>
  <c r="T265" i="227"/>
  <c r="T259" i="227"/>
  <c r="T255" i="227"/>
  <c r="A251" i="187"/>
  <c r="B252" i="187"/>
  <c r="B218" i="238"/>
  <c r="A217" i="238"/>
  <c r="A217" i="237"/>
  <c r="B218" i="237"/>
  <c r="B218" i="236"/>
  <c r="A217" i="236"/>
  <c r="A217" i="235"/>
  <c r="B218" i="235"/>
  <c r="B218" i="234"/>
  <c r="A217" i="234"/>
  <c r="B218" i="233"/>
  <c r="A217" i="233"/>
  <c r="B218" i="232"/>
  <c r="A217" i="232"/>
  <c r="A217" i="231"/>
  <c r="B218" i="231"/>
  <c r="A217" i="230"/>
  <c r="B218" i="230"/>
  <c r="A217" i="229"/>
  <c r="B218" i="229"/>
  <c r="T217" i="227"/>
  <c r="T240" i="227"/>
  <c r="T238" i="227"/>
  <c r="T236" i="227"/>
  <c r="T234" i="227"/>
  <c r="T230" i="227"/>
  <c r="T228" i="227"/>
  <c r="T224" i="227"/>
  <c r="T222" i="227"/>
  <c r="T220" i="227"/>
  <c r="T218" i="227"/>
  <c r="T237" i="227"/>
  <c r="T235" i="227"/>
  <c r="T233" i="227"/>
  <c r="T231" i="227"/>
  <c r="T229" i="227"/>
  <c r="T225" i="227"/>
  <c r="T223" i="227"/>
  <c r="T221" i="227"/>
  <c r="T216" i="227"/>
  <c r="T219" i="227"/>
  <c r="A217" i="227"/>
  <c r="B218" i="227"/>
  <c r="A217" i="187"/>
  <c r="B218" i="187"/>
  <c r="A183" i="238"/>
  <c r="B184" i="238"/>
  <c r="A183" i="237"/>
  <c r="B184" i="237"/>
  <c r="A183" i="236"/>
  <c r="B184" i="236"/>
  <c r="A183" i="235"/>
  <c r="B184" i="235"/>
  <c r="A183" i="234"/>
  <c r="B184" i="234"/>
  <c r="A183" i="233"/>
  <c r="B184" i="233"/>
  <c r="A183" i="232"/>
  <c r="B184" i="232"/>
  <c r="A183" i="231"/>
  <c r="B184" i="231"/>
  <c r="A183" i="230"/>
  <c r="B184" i="230"/>
  <c r="A183" i="229"/>
  <c r="B184" i="229"/>
  <c r="T183" i="227"/>
  <c r="T206" i="227"/>
  <c r="T204" i="227"/>
  <c r="T202" i="227"/>
  <c r="T200" i="227"/>
  <c r="T196" i="227"/>
  <c r="T194" i="227"/>
  <c r="T190" i="227"/>
  <c r="T188" i="227"/>
  <c r="T186" i="227"/>
  <c r="T184" i="227"/>
  <c r="T185" i="227"/>
  <c r="T203" i="227"/>
  <c r="T201" i="227"/>
  <c r="T199" i="227"/>
  <c r="T197" i="227"/>
  <c r="T195" i="227"/>
  <c r="T191" i="227"/>
  <c r="T189" i="227"/>
  <c r="T187" i="227"/>
  <c r="T182" i="227"/>
  <c r="A183" i="227"/>
  <c r="B184" i="227"/>
  <c r="A183" i="187"/>
  <c r="B184" i="187"/>
  <c r="A149" i="238"/>
  <c r="B150" i="238"/>
  <c r="A149" i="237"/>
  <c r="B150" i="237"/>
  <c r="A149" i="236"/>
  <c r="B150" i="236"/>
  <c r="A149" i="235"/>
  <c r="B150" i="235"/>
  <c r="A149" i="234"/>
  <c r="B150" i="234"/>
  <c r="B150" i="233"/>
  <c r="A149" i="233"/>
  <c r="A149" i="232"/>
  <c r="B150" i="232"/>
  <c r="A149" i="231"/>
  <c r="B150" i="231"/>
  <c r="A149" i="230"/>
  <c r="B150" i="230"/>
  <c r="A149" i="229"/>
  <c r="B150" i="229"/>
  <c r="T149" i="227"/>
  <c r="T172" i="227"/>
  <c r="T170" i="227"/>
  <c r="T168" i="227"/>
  <c r="T166" i="227"/>
  <c r="T162" i="227"/>
  <c r="T160" i="227"/>
  <c r="T156" i="227"/>
  <c r="T154" i="227"/>
  <c r="T152" i="227"/>
  <c r="T148" i="227"/>
  <c r="T151" i="227"/>
  <c r="T150" i="227"/>
  <c r="T165" i="227"/>
  <c r="T155" i="227"/>
  <c r="T169" i="227"/>
  <c r="T167" i="227"/>
  <c r="T163" i="227"/>
  <c r="T161" i="227"/>
  <c r="T157" i="227"/>
  <c r="T153" i="227"/>
  <c r="A149" i="227"/>
  <c r="B150" i="227"/>
  <c r="A149" i="187"/>
  <c r="B150" i="187"/>
  <c r="A115" i="238"/>
  <c r="B116" i="238"/>
  <c r="A115" i="237"/>
  <c r="B116" i="237"/>
  <c r="A115" i="236"/>
  <c r="B116" i="236"/>
  <c r="A115" i="235"/>
  <c r="B116" i="235"/>
  <c r="A115" i="234"/>
  <c r="B116" i="234"/>
  <c r="A115" i="233"/>
  <c r="B116" i="233"/>
  <c r="A115" i="232"/>
  <c r="B116" i="232"/>
  <c r="A115" i="231"/>
  <c r="B116" i="231"/>
  <c r="A115" i="230"/>
  <c r="B116" i="230"/>
  <c r="A115" i="229"/>
  <c r="B116" i="229"/>
  <c r="T115" i="227"/>
  <c r="T138" i="227"/>
  <c r="T136" i="227"/>
  <c r="T134" i="227"/>
  <c r="T132" i="227"/>
  <c r="T128" i="227"/>
  <c r="T126" i="227"/>
  <c r="T122" i="227"/>
  <c r="T120" i="227"/>
  <c r="T118" i="227"/>
  <c r="T116" i="227"/>
  <c r="T135" i="227"/>
  <c r="T133" i="227"/>
  <c r="T131" i="227"/>
  <c r="T129" i="227"/>
  <c r="T127" i="227"/>
  <c r="T123" i="227"/>
  <c r="T121" i="227"/>
  <c r="T119" i="227"/>
  <c r="T114" i="227"/>
  <c r="T117" i="227"/>
  <c r="A115" i="227"/>
  <c r="B116" i="227"/>
  <c r="A115" i="187"/>
  <c r="B116" i="187"/>
  <c r="A81" i="238"/>
  <c r="B82" i="238"/>
  <c r="A81" i="237"/>
  <c r="B82" i="237"/>
  <c r="A81" i="236"/>
  <c r="B82" i="236"/>
  <c r="A81" i="235"/>
  <c r="B82" i="235"/>
  <c r="A81" i="234"/>
  <c r="B82" i="234"/>
  <c r="A81" i="233"/>
  <c r="B82" i="233"/>
  <c r="A80" i="232"/>
  <c r="B81" i="232"/>
  <c r="A81" i="231"/>
  <c r="B82" i="231"/>
  <c r="A81" i="230"/>
  <c r="B82" i="230"/>
  <c r="A81" i="229"/>
  <c r="B82" i="229"/>
  <c r="T81" i="227"/>
  <c r="T104" i="227"/>
  <c r="T102" i="227"/>
  <c r="T100" i="227"/>
  <c r="T98" i="227"/>
  <c r="T94" i="227"/>
  <c r="T92" i="227"/>
  <c r="T88" i="227"/>
  <c r="T86" i="227"/>
  <c r="T84" i="227"/>
  <c r="T82" i="227"/>
  <c r="T101" i="227"/>
  <c r="T99" i="227"/>
  <c r="T97" i="227"/>
  <c r="T95" i="227"/>
  <c r="T93" i="227"/>
  <c r="T89" i="227"/>
  <c r="T87" i="227"/>
  <c r="T85" i="227"/>
  <c r="T80" i="227"/>
  <c r="T83" i="227"/>
  <c r="A81" i="227"/>
  <c r="B82" i="227"/>
  <c r="A81" i="187"/>
  <c r="B82" i="187"/>
  <c r="A47" i="238"/>
  <c r="B48" i="238"/>
  <c r="A47" i="237"/>
  <c r="B48" i="237"/>
  <c r="A47" i="236"/>
  <c r="B48" i="236"/>
  <c r="A46" i="235"/>
  <c r="B47" i="235"/>
  <c r="A47" i="234"/>
  <c r="B48" i="234"/>
  <c r="A47" i="233"/>
  <c r="B48" i="233"/>
  <c r="A47" i="232"/>
  <c r="B48" i="232"/>
  <c r="A47" i="231"/>
  <c r="B48" i="231"/>
  <c r="A47" i="230"/>
  <c r="B48" i="230"/>
  <c r="A47" i="229"/>
  <c r="B48" i="229"/>
  <c r="T53" i="227"/>
  <c r="T47" i="227"/>
  <c r="T46" i="227"/>
  <c r="T70" i="227"/>
  <c r="T68" i="227"/>
  <c r="T66" i="227"/>
  <c r="T64" i="227"/>
  <c r="T60" i="227"/>
  <c r="T58" i="227"/>
  <c r="T54" i="227"/>
  <c r="T52" i="227"/>
  <c r="T50" i="227"/>
  <c r="T55" i="227"/>
  <c r="T48" i="227"/>
  <c r="T49" i="227"/>
  <c r="T67" i="227"/>
  <c r="T65" i="227"/>
  <c r="T63" i="227"/>
  <c r="T61" i="227"/>
  <c r="T59" i="227"/>
  <c r="T51" i="227"/>
  <c r="A47" i="227"/>
  <c r="B48" i="227"/>
  <c r="A47" i="187"/>
  <c r="B48" i="187"/>
  <c r="A12" i="238"/>
  <c r="B13" i="238"/>
  <c r="A12" i="237"/>
  <c r="B13" i="237"/>
  <c r="A12" i="236"/>
  <c r="B13" i="236"/>
  <c r="A12" i="235"/>
  <c r="B13" i="235"/>
  <c r="A12" i="234"/>
  <c r="B13" i="234"/>
  <c r="A12" i="233"/>
  <c r="B13" i="233"/>
  <c r="B13" i="232"/>
  <c r="A12" i="232"/>
  <c r="A12" i="231"/>
  <c r="B13" i="231"/>
  <c r="B14" i="229"/>
  <c r="A14" i="229" s="1"/>
  <c r="A12" i="230"/>
  <c r="B13" i="230"/>
  <c r="B12" i="227"/>
  <c r="A11" i="227"/>
  <c r="T13" i="227"/>
  <c r="T36" i="227"/>
  <c r="T34" i="227"/>
  <c r="T32" i="227"/>
  <c r="T30" i="227"/>
  <c r="T26" i="227"/>
  <c r="T24" i="227"/>
  <c r="T20" i="227"/>
  <c r="T18" i="227"/>
  <c r="T16" i="227"/>
  <c r="T14" i="227"/>
  <c r="T33" i="227"/>
  <c r="T31" i="227"/>
  <c r="T29" i="227"/>
  <c r="T27" i="227"/>
  <c r="T25" i="227"/>
  <c r="T21" i="227"/>
  <c r="T19" i="227"/>
  <c r="T17" i="227"/>
  <c r="T12" i="227"/>
  <c r="T15" i="227"/>
  <c r="I1" i="227"/>
  <c r="K1" i="227"/>
  <c r="D1" i="11"/>
  <c r="C1" i="1" s="1"/>
  <c r="U255" i="227"/>
  <c r="U257" i="227"/>
  <c r="U218" i="227"/>
  <c r="U240" i="227"/>
  <c r="U236" i="227"/>
  <c r="U184" i="227"/>
  <c r="U206" i="227"/>
  <c r="U168" i="227"/>
  <c r="U167" i="227"/>
  <c r="U165" i="227"/>
  <c r="U132" i="227"/>
  <c r="U135" i="227"/>
  <c r="U131" i="227"/>
  <c r="U89" i="227"/>
  <c r="U93" i="227"/>
  <c r="U54" i="227"/>
  <c r="U55" i="227"/>
  <c r="U58" i="227"/>
  <c r="U16" i="227"/>
  <c r="U21" i="227"/>
  <c r="U24" i="227"/>
  <c r="U18" i="227"/>
  <c r="U253" i="227"/>
  <c r="U194" i="227"/>
  <c r="U153" i="227"/>
  <c r="U81" i="227"/>
  <c r="U13" i="227"/>
  <c r="U217" i="227"/>
  <c r="U188" i="227"/>
  <c r="U126" i="227"/>
  <c r="U102" i="227"/>
  <c r="U36" i="227"/>
  <c r="U234" i="227"/>
  <c r="U183" i="227"/>
  <c r="U118" i="227"/>
  <c r="U85" i="227"/>
  <c r="U33" i="227"/>
  <c r="U271" i="227"/>
  <c r="U221" i="227"/>
  <c r="U182" i="227"/>
  <c r="U115" i="227"/>
  <c r="U70" i="227"/>
  <c r="U19" i="227"/>
  <c r="U274" i="227"/>
  <c r="U252" i="227"/>
  <c r="U264" i="227"/>
  <c r="U230" i="227"/>
  <c r="U224" i="227"/>
  <c r="U220" i="227"/>
  <c r="U195" i="227"/>
  <c r="U190" i="227"/>
  <c r="U152" i="227"/>
  <c r="U160" i="227"/>
  <c r="U157" i="227"/>
  <c r="U127" i="227"/>
  <c r="U119" i="227"/>
  <c r="U117" i="227"/>
  <c r="U92" i="227"/>
  <c r="U104" i="227"/>
  <c r="U68" i="227"/>
  <c r="U63" i="227"/>
  <c r="U49" i="227"/>
  <c r="U31" i="227"/>
  <c r="U17" i="227"/>
  <c r="U52" i="227"/>
  <c r="U46" i="227"/>
  <c r="U29" i="227"/>
  <c r="U84" i="227"/>
  <c r="U67" i="227"/>
  <c r="U15" i="227"/>
  <c r="U254" i="227"/>
  <c r="U186" i="227"/>
  <c r="U148" i="227"/>
  <c r="U133" i="227"/>
  <c r="U66" i="227"/>
  <c r="U20" i="227"/>
  <c r="U272" i="227"/>
  <c r="U222" i="227"/>
  <c r="U151" i="227"/>
  <c r="U98" i="227"/>
  <c r="U48" i="227"/>
  <c r="U12" i="227"/>
  <c r="U268" i="227"/>
  <c r="U200" i="227"/>
  <c r="U172" i="227"/>
  <c r="U82" i="227"/>
  <c r="U59" i="227"/>
  <c r="U219" i="227"/>
  <c r="U129" i="227"/>
  <c r="U97" i="227"/>
  <c r="U26" i="227"/>
  <c r="U258" i="227"/>
  <c r="U265" i="227"/>
  <c r="U250" i="227"/>
  <c r="U225" i="227"/>
  <c r="U235" i="227"/>
  <c r="U231" i="227"/>
  <c r="U196" i="227"/>
  <c r="U203" i="227"/>
  <c r="U155" i="227"/>
  <c r="U150" i="227"/>
  <c r="U170" i="227"/>
  <c r="U116" i="227"/>
  <c r="U138" i="227"/>
  <c r="U100" i="227"/>
  <c r="U87" i="227"/>
  <c r="U88" i="227"/>
  <c r="U53" i="227"/>
  <c r="U30" i="227"/>
  <c r="U128" i="227"/>
  <c r="U86" i="227"/>
  <c r="U61" i="227"/>
  <c r="U223" i="227"/>
  <c r="U204" i="227"/>
  <c r="U123" i="227"/>
  <c r="U80" i="227"/>
  <c r="U25" i="227"/>
  <c r="U267" i="227"/>
  <c r="U199" i="227"/>
  <c r="U161" i="227"/>
  <c r="U114" i="227"/>
  <c r="U50" i="227"/>
  <c r="U256" i="227"/>
  <c r="U233" i="227"/>
  <c r="U169" i="227"/>
  <c r="U136" i="227"/>
  <c r="U65" i="227"/>
  <c r="U32" i="227"/>
  <c r="U229" i="227"/>
  <c r="U189" i="227"/>
  <c r="U156" i="227"/>
  <c r="U94" i="227"/>
  <c r="U64" i="227"/>
  <c r="U14" i="227"/>
  <c r="U259" i="227"/>
  <c r="U270" i="227"/>
  <c r="U262" i="227"/>
  <c r="U228" i="227"/>
  <c r="U216" i="227"/>
  <c r="U202" i="227"/>
  <c r="U185" i="227"/>
  <c r="U187" i="227"/>
  <c r="U166" i="227"/>
  <c r="U163" i="227"/>
  <c r="U154" i="227"/>
  <c r="U122" i="227"/>
  <c r="U99" i="227"/>
  <c r="U51" i="227"/>
  <c r="U251" i="227"/>
  <c r="U238" i="227"/>
  <c r="U149" i="227"/>
  <c r="U95" i="227"/>
  <c r="U60" i="227"/>
  <c r="U269" i="227"/>
  <c r="U191" i="227"/>
  <c r="U134" i="227"/>
  <c r="U101" i="227"/>
  <c r="U27" i="227"/>
  <c r="U237" i="227"/>
  <c r="U201" i="227"/>
  <c r="U121" i="227"/>
  <c r="U83" i="227"/>
  <c r="U34" i="227"/>
  <c r="U263" i="227"/>
  <c r="U197" i="227"/>
  <c r="U162" i="227"/>
  <c r="U120" i="227"/>
  <c r="U47" i="227"/>
  <c r="B253" i="241" l="1"/>
  <c r="B254" i="241" s="1"/>
  <c r="B218" i="241"/>
  <c r="A217" i="241"/>
  <c r="B186" i="241"/>
  <c r="A185" i="241"/>
  <c r="A149" i="241"/>
  <c r="B150" i="241"/>
  <c r="B118" i="241"/>
  <c r="A117" i="241"/>
  <c r="A83" i="241"/>
  <c r="B84" i="241"/>
  <c r="A49" i="241"/>
  <c r="B50" i="241"/>
  <c r="A14" i="241"/>
  <c r="B15" i="241"/>
  <c r="B253" i="238"/>
  <c r="A252" i="238"/>
  <c r="B253" i="237"/>
  <c r="A252" i="237"/>
  <c r="A252" i="236"/>
  <c r="B253" i="236"/>
  <c r="B253" i="235"/>
  <c r="A252" i="235"/>
  <c r="B253" i="234"/>
  <c r="A252" i="234"/>
  <c r="B253" i="233"/>
  <c r="A252" i="233"/>
  <c r="A252" i="232"/>
  <c r="B253" i="232"/>
  <c r="A252" i="231"/>
  <c r="B253" i="231"/>
  <c r="B253" i="230"/>
  <c r="A252" i="230"/>
  <c r="B253" i="229"/>
  <c r="A252" i="229"/>
  <c r="B253" i="227"/>
  <c r="A252" i="227"/>
  <c r="B253" i="187"/>
  <c r="A252" i="187"/>
  <c r="B219" i="238"/>
  <c r="A218" i="238"/>
  <c r="B219" i="237"/>
  <c r="A218" i="237"/>
  <c r="A218" i="236"/>
  <c r="B219" i="236"/>
  <c r="B219" i="235"/>
  <c r="A218" i="235"/>
  <c r="B219" i="234"/>
  <c r="A218" i="234"/>
  <c r="B219" i="233"/>
  <c r="A218" i="233"/>
  <c r="B219" i="232"/>
  <c r="A218" i="232"/>
  <c r="A218" i="231"/>
  <c r="B219" i="231"/>
  <c r="B219" i="230"/>
  <c r="A218" i="230"/>
  <c r="A218" i="229"/>
  <c r="B219" i="229"/>
  <c r="B219" i="227"/>
  <c r="A218" i="227"/>
  <c r="B219" i="187"/>
  <c r="A218" i="187"/>
  <c r="B185" i="238"/>
  <c r="A184" i="238"/>
  <c r="B185" i="237"/>
  <c r="A184" i="237"/>
  <c r="B185" i="236"/>
  <c r="A184" i="236"/>
  <c r="B185" i="235"/>
  <c r="A184" i="235"/>
  <c r="A184" i="234"/>
  <c r="B185" i="234"/>
  <c r="B185" i="233"/>
  <c r="A184" i="233"/>
  <c r="B185" i="232"/>
  <c r="A184" i="232"/>
  <c r="B185" i="231"/>
  <c r="A184" i="231"/>
  <c r="B185" i="230"/>
  <c r="A184" i="230"/>
  <c r="B185" i="229"/>
  <c r="A184" i="229"/>
  <c r="B185" i="227"/>
  <c r="A184" i="227"/>
  <c r="B185" i="187"/>
  <c r="A184" i="187"/>
  <c r="B151" i="238"/>
  <c r="A150" i="238"/>
  <c r="B151" i="237"/>
  <c r="A150" i="237"/>
  <c r="B151" i="236"/>
  <c r="A150" i="236"/>
  <c r="B151" i="235"/>
  <c r="A150" i="235"/>
  <c r="B151" i="234"/>
  <c r="A150" i="234"/>
  <c r="B151" i="233"/>
  <c r="A150" i="233"/>
  <c r="B151" i="232"/>
  <c r="A150" i="232"/>
  <c r="B151" i="231"/>
  <c r="A150" i="231"/>
  <c r="A150" i="230"/>
  <c r="B151" i="230"/>
  <c r="B151" i="229"/>
  <c r="A150" i="229"/>
  <c r="B151" i="227"/>
  <c r="A150" i="227"/>
  <c r="B151" i="187"/>
  <c r="A150" i="187"/>
  <c r="B117" i="238"/>
  <c r="A116" i="238"/>
  <c r="B117" i="237"/>
  <c r="A116" i="237"/>
  <c r="B117" i="236"/>
  <c r="A116" i="236"/>
  <c r="B117" i="235"/>
  <c r="A116" i="235"/>
  <c r="B117" i="234"/>
  <c r="A116" i="234"/>
  <c r="B117" i="233"/>
  <c r="A116" i="233"/>
  <c r="B117" i="232"/>
  <c r="A116" i="232"/>
  <c r="B117" i="231"/>
  <c r="A116" i="231"/>
  <c r="B117" i="230"/>
  <c r="A116" i="230"/>
  <c r="B117" i="229"/>
  <c r="A116" i="229"/>
  <c r="B117" i="227"/>
  <c r="A116" i="227"/>
  <c r="B117" i="187"/>
  <c r="A116" i="187"/>
  <c r="B83" i="238"/>
  <c r="A82" i="238"/>
  <c r="B83" i="237"/>
  <c r="A82" i="237"/>
  <c r="B83" i="236"/>
  <c r="A82" i="236"/>
  <c r="B83" i="235"/>
  <c r="A82" i="235"/>
  <c r="B83" i="234"/>
  <c r="A82" i="234"/>
  <c r="B83" i="233"/>
  <c r="A82" i="233"/>
  <c r="A81" i="232"/>
  <c r="B82" i="232"/>
  <c r="B83" i="231"/>
  <c r="A82" i="231"/>
  <c r="B83" i="230"/>
  <c r="A82" i="230"/>
  <c r="B83" i="229"/>
  <c r="A82" i="229"/>
  <c r="B83" i="227"/>
  <c r="A82" i="227"/>
  <c r="B83" i="187"/>
  <c r="A82" i="187"/>
  <c r="B49" i="238"/>
  <c r="A48" i="238"/>
  <c r="B49" i="237"/>
  <c r="A48" i="237"/>
  <c r="B49" i="236"/>
  <c r="A48" i="236"/>
  <c r="A47" i="235"/>
  <c r="B48" i="235"/>
  <c r="B49" i="234"/>
  <c r="A48" i="234"/>
  <c r="B49" i="233"/>
  <c r="A48" i="233"/>
  <c r="B49" i="232"/>
  <c r="A48" i="232"/>
  <c r="B49" i="231"/>
  <c r="A48" i="231"/>
  <c r="B49" i="230"/>
  <c r="A48" i="230"/>
  <c r="B49" i="229"/>
  <c r="A48" i="229"/>
  <c r="B49" i="227"/>
  <c r="A48" i="227"/>
  <c r="B49" i="187"/>
  <c r="A48" i="187"/>
  <c r="A13" i="238"/>
  <c r="B14" i="238"/>
  <c r="A13" i="237"/>
  <c r="B14" i="237"/>
  <c r="A13" i="236"/>
  <c r="B14" i="236"/>
  <c r="B14" i="235"/>
  <c r="A13" i="235"/>
  <c r="A13" i="234"/>
  <c r="B14" i="234"/>
  <c r="B14" i="233"/>
  <c r="A13" i="233"/>
  <c r="A13" i="232"/>
  <c r="B14" i="232"/>
  <c r="A13" i="231"/>
  <c r="B14" i="231"/>
  <c r="B15" i="229"/>
  <c r="A15" i="229" s="1"/>
  <c r="A13" i="230"/>
  <c r="B14" i="230"/>
  <c r="A12" i="227"/>
  <c r="B13" i="227"/>
  <c r="A253" i="241" l="1"/>
  <c r="B255" i="241"/>
  <c r="A254" i="241"/>
  <c r="B219" i="241"/>
  <c r="A218" i="241"/>
  <c r="B187" i="241"/>
  <c r="A186" i="241"/>
  <c r="A150" i="241"/>
  <c r="B151" i="241"/>
  <c r="B119" i="241"/>
  <c r="A118" i="241"/>
  <c r="B85" i="241"/>
  <c r="A84" i="241"/>
  <c r="B51" i="241"/>
  <c r="A50" i="241"/>
  <c r="B16" i="241"/>
  <c r="A15" i="241"/>
  <c r="A253" i="238"/>
  <c r="B254" i="238"/>
  <c r="A253" i="237"/>
  <c r="B254" i="237"/>
  <c r="B254" i="236"/>
  <c r="A253" i="236"/>
  <c r="A253" i="235"/>
  <c r="B254" i="235"/>
  <c r="A253" i="234"/>
  <c r="B254" i="234"/>
  <c r="A253" i="233"/>
  <c r="B254" i="233"/>
  <c r="A253" i="232"/>
  <c r="B254" i="232"/>
  <c r="A253" i="231"/>
  <c r="B254" i="231"/>
  <c r="A253" i="230"/>
  <c r="B254" i="230"/>
  <c r="A253" i="229"/>
  <c r="B254" i="229"/>
  <c r="A253" i="227"/>
  <c r="B254" i="227"/>
  <c r="B254" i="187"/>
  <c r="A253" i="187"/>
  <c r="A219" i="238"/>
  <c r="B220" i="238"/>
  <c r="A219" i="237"/>
  <c r="B220" i="237"/>
  <c r="B220" i="236"/>
  <c r="A219" i="236"/>
  <c r="A219" i="235"/>
  <c r="B220" i="235"/>
  <c r="A219" i="234"/>
  <c r="B220" i="234"/>
  <c r="B220" i="233"/>
  <c r="A219" i="233"/>
  <c r="A219" i="232"/>
  <c r="B220" i="232"/>
  <c r="A219" i="231"/>
  <c r="B220" i="231"/>
  <c r="A219" i="230"/>
  <c r="B220" i="230"/>
  <c r="A219" i="229"/>
  <c r="B220" i="229"/>
  <c r="A219" i="227"/>
  <c r="B220" i="227"/>
  <c r="A219" i="187"/>
  <c r="B220" i="187"/>
  <c r="A185" i="238"/>
  <c r="B186" i="238"/>
  <c r="A185" i="237"/>
  <c r="B186" i="237"/>
  <c r="A185" i="236"/>
  <c r="B186" i="236"/>
  <c r="A185" i="235"/>
  <c r="B186" i="235"/>
  <c r="A185" i="234"/>
  <c r="B186" i="234"/>
  <c r="A185" i="233"/>
  <c r="B186" i="233"/>
  <c r="A185" i="232"/>
  <c r="B186" i="232"/>
  <c r="A185" i="231"/>
  <c r="B186" i="231"/>
  <c r="A185" i="230"/>
  <c r="B186" i="230"/>
  <c r="A185" i="229"/>
  <c r="B186" i="229"/>
  <c r="A185" i="227"/>
  <c r="B186" i="227"/>
  <c r="A185" i="187"/>
  <c r="B186" i="187"/>
  <c r="A151" i="238"/>
  <c r="B152" i="238"/>
  <c r="A151" i="237"/>
  <c r="B152" i="237"/>
  <c r="A151" i="236"/>
  <c r="B152" i="236"/>
  <c r="A151" i="235"/>
  <c r="B152" i="235"/>
  <c r="A151" i="234"/>
  <c r="B152" i="234"/>
  <c r="A151" i="233"/>
  <c r="B152" i="233"/>
  <c r="A151" i="232"/>
  <c r="B152" i="232"/>
  <c r="A151" i="231"/>
  <c r="B152" i="231"/>
  <c r="A151" i="230"/>
  <c r="B152" i="230"/>
  <c r="A151" i="229"/>
  <c r="B152" i="229"/>
  <c r="A151" i="227"/>
  <c r="B152" i="227"/>
  <c r="A151" i="187"/>
  <c r="B152" i="187"/>
  <c r="A117" i="238"/>
  <c r="B118" i="238"/>
  <c r="A117" i="237"/>
  <c r="B118" i="237"/>
  <c r="A117" i="236"/>
  <c r="B118" i="236"/>
  <c r="A117" i="235"/>
  <c r="B118" i="235"/>
  <c r="A117" i="234"/>
  <c r="B118" i="234"/>
  <c r="A117" i="233"/>
  <c r="B118" i="233"/>
  <c r="A117" i="232"/>
  <c r="B118" i="232"/>
  <c r="A117" i="231"/>
  <c r="B118" i="231"/>
  <c r="A117" i="230"/>
  <c r="B118" i="230"/>
  <c r="A117" i="229"/>
  <c r="B118" i="229"/>
  <c r="A117" i="227"/>
  <c r="B118" i="227"/>
  <c r="A117" i="187"/>
  <c r="B118" i="187"/>
  <c r="A83" i="238"/>
  <c r="B84" i="238"/>
  <c r="A83" i="237"/>
  <c r="B84" i="237"/>
  <c r="A83" i="236"/>
  <c r="B84" i="236"/>
  <c r="A83" i="235"/>
  <c r="B84" i="235"/>
  <c r="A83" i="234"/>
  <c r="B84" i="234"/>
  <c r="A83" i="233"/>
  <c r="B84" i="233"/>
  <c r="B83" i="232"/>
  <c r="A82" i="232"/>
  <c r="A83" i="231"/>
  <c r="B84" i="231"/>
  <c r="A83" i="230"/>
  <c r="B84" i="230"/>
  <c r="A83" i="229"/>
  <c r="B84" i="229"/>
  <c r="A83" i="227"/>
  <c r="B84" i="227"/>
  <c r="A83" i="187"/>
  <c r="B84" i="187"/>
  <c r="A49" i="238"/>
  <c r="B50" i="238"/>
  <c r="A49" i="237"/>
  <c r="B50" i="237"/>
  <c r="A49" i="236"/>
  <c r="B50" i="236"/>
  <c r="B49" i="235"/>
  <c r="A48" i="235"/>
  <c r="A49" i="234"/>
  <c r="B50" i="234"/>
  <c r="A49" i="233"/>
  <c r="B50" i="233"/>
  <c r="A49" i="232"/>
  <c r="B50" i="232"/>
  <c r="A49" i="231"/>
  <c r="B50" i="231"/>
  <c r="A49" i="230"/>
  <c r="B50" i="230"/>
  <c r="A49" i="229"/>
  <c r="B50" i="229"/>
  <c r="A49" i="227"/>
  <c r="B50" i="227"/>
  <c r="A49" i="187"/>
  <c r="B50" i="187"/>
  <c r="B15" i="238"/>
  <c r="A14" i="238"/>
  <c r="B15" i="237"/>
  <c r="A14" i="237"/>
  <c r="B15" i="236"/>
  <c r="A14" i="236"/>
  <c r="B15" i="235"/>
  <c r="A14" i="235"/>
  <c r="B15" i="234"/>
  <c r="A14" i="234"/>
  <c r="B15" i="233"/>
  <c r="A14" i="233"/>
  <c r="B15" i="232"/>
  <c r="A14" i="232"/>
  <c r="B16" i="229"/>
  <c r="B17" i="229" s="1"/>
  <c r="B15" i="231"/>
  <c r="A14" i="231"/>
  <c r="B15" i="230"/>
  <c r="A14" i="230"/>
  <c r="A13" i="227"/>
  <c r="B14" i="227"/>
  <c r="A255" i="241" l="1"/>
  <c r="B256" i="241"/>
  <c r="A219" i="241"/>
  <c r="B220" i="241"/>
  <c r="A187" i="241"/>
  <c r="B188" i="241"/>
  <c r="B152" i="241"/>
  <c r="A151" i="241"/>
  <c r="A119" i="241"/>
  <c r="B120" i="241"/>
  <c r="A85" i="241"/>
  <c r="B86" i="241"/>
  <c r="A51" i="241"/>
  <c r="B52" i="241"/>
  <c r="A16" i="241"/>
  <c r="B17" i="241"/>
  <c r="B255" i="238"/>
  <c r="A254" i="238"/>
  <c r="A254" i="237"/>
  <c r="B255" i="237"/>
  <c r="A254" i="236"/>
  <c r="B255" i="236"/>
  <c r="A254" i="235"/>
  <c r="B255" i="235"/>
  <c r="B255" i="234"/>
  <c r="A254" i="234"/>
  <c r="A254" i="233"/>
  <c r="B255" i="233"/>
  <c r="A254" i="232"/>
  <c r="B255" i="232"/>
  <c r="B255" i="231"/>
  <c r="A254" i="231"/>
  <c r="B255" i="230"/>
  <c r="A254" i="230"/>
  <c r="A254" i="229"/>
  <c r="B255" i="229"/>
  <c r="A254" i="227"/>
  <c r="B255" i="227"/>
  <c r="A254" i="187"/>
  <c r="B255" i="187"/>
  <c r="B221" i="238"/>
  <c r="A220" i="238"/>
  <c r="B221" i="237"/>
  <c r="A220" i="237"/>
  <c r="A220" i="236"/>
  <c r="B221" i="236"/>
  <c r="B221" i="235"/>
  <c r="A220" i="235"/>
  <c r="B221" i="234"/>
  <c r="A220" i="234"/>
  <c r="B221" i="233"/>
  <c r="A220" i="233"/>
  <c r="B221" i="232"/>
  <c r="A220" i="232"/>
  <c r="A220" i="231"/>
  <c r="B221" i="231"/>
  <c r="A220" i="230"/>
  <c r="B221" i="230"/>
  <c r="B221" i="229"/>
  <c r="A220" i="229"/>
  <c r="A220" i="227"/>
  <c r="B221" i="227"/>
  <c r="A220" i="187"/>
  <c r="B221" i="187"/>
  <c r="A186" i="238"/>
  <c r="B187" i="238"/>
  <c r="B187" i="237"/>
  <c r="A186" i="237"/>
  <c r="B187" i="236"/>
  <c r="A186" i="236"/>
  <c r="A186" i="235"/>
  <c r="B187" i="235"/>
  <c r="B187" i="234"/>
  <c r="A186" i="234"/>
  <c r="A186" i="233"/>
  <c r="B187" i="233"/>
  <c r="A186" i="232"/>
  <c r="B187" i="232"/>
  <c r="A186" i="231"/>
  <c r="B187" i="231"/>
  <c r="A186" i="230"/>
  <c r="B187" i="230"/>
  <c r="A186" i="229"/>
  <c r="B187" i="229"/>
  <c r="B187" i="227"/>
  <c r="A186" i="227"/>
  <c r="A186" i="187"/>
  <c r="B187" i="187"/>
  <c r="A152" i="238"/>
  <c r="B153" i="238"/>
  <c r="A152" i="237"/>
  <c r="B153" i="237"/>
  <c r="A152" i="236"/>
  <c r="B153" i="236"/>
  <c r="A152" i="235"/>
  <c r="B153" i="235"/>
  <c r="A152" i="234"/>
  <c r="B153" i="234"/>
  <c r="B153" i="233"/>
  <c r="A152" i="233"/>
  <c r="A152" i="232"/>
  <c r="B153" i="232"/>
  <c r="A152" i="231"/>
  <c r="B153" i="231"/>
  <c r="A152" i="230"/>
  <c r="B153" i="230"/>
  <c r="A152" i="229"/>
  <c r="B153" i="229"/>
  <c r="A152" i="227"/>
  <c r="B153" i="227"/>
  <c r="A152" i="187"/>
  <c r="B153" i="187"/>
  <c r="A118" i="238"/>
  <c r="B119" i="238"/>
  <c r="B119" i="237"/>
  <c r="A118" i="237"/>
  <c r="A118" i="236"/>
  <c r="B119" i="236"/>
  <c r="A118" i="235"/>
  <c r="B119" i="235"/>
  <c r="A118" i="234"/>
  <c r="B119" i="234"/>
  <c r="A118" i="233"/>
  <c r="B119" i="233"/>
  <c r="A118" i="232"/>
  <c r="B119" i="232"/>
  <c r="B119" i="231"/>
  <c r="A118" i="231"/>
  <c r="A118" i="230"/>
  <c r="B119" i="230"/>
  <c r="A118" i="229"/>
  <c r="B119" i="229"/>
  <c r="A118" i="227"/>
  <c r="B119" i="227"/>
  <c r="A118" i="187"/>
  <c r="B119" i="187"/>
  <c r="A84" i="238"/>
  <c r="B85" i="238"/>
  <c r="B85" i="237"/>
  <c r="A84" i="237"/>
  <c r="B85" i="236"/>
  <c r="A84" i="236"/>
  <c r="B85" i="235"/>
  <c r="A84" i="235"/>
  <c r="B85" i="234"/>
  <c r="A84" i="234"/>
  <c r="A84" i="233"/>
  <c r="B85" i="233"/>
  <c r="A83" i="232"/>
  <c r="B84" i="232"/>
  <c r="A84" i="231"/>
  <c r="B85" i="231"/>
  <c r="B85" i="230"/>
  <c r="A84" i="230"/>
  <c r="B85" i="229"/>
  <c r="A84" i="229"/>
  <c r="A84" i="227"/>
  <c r="B85" i="227"/>
  <c r="A84" i="187"/>
  <c r="B85" i="187"/>
  <c r="A50" i="238"/>
  <c r="B51" i="238"/>
  <c r="B51" i="237"/>
  <c r="A50" i="237"/>
  <c r="B51" i="236"/>
  <c r="A50" i="236"/>
  <c r="A49" i="235"/>
  <c r="B50" i="235"/>
  <c r="A50" i="234"/>
  <c r="B51" i="234"/>
  <c r="A50" i="233"/>
  <c r="B51" i="233"/>
  <c r="A50" i="232"/>
  <c r="B51" i="232"/>
  <c r="B51" i="231"/>
  <c r="A50" i="231"/>
  <c r="B51" i="230"/>
  <c r="A50" i="230"/>
  <c r="A50" i="229"/>
  <c r="B51" i="229"/>
  <c r="B51" i="227"/>
  <c r="A50" i="227"/>
  <c r="B51" i="187"/>
  <c r="A50" i="187"/>
  <c r="A15" i="238"/>
  <c r="B16" i="238"/>
  <c r="A15" i="237"/>
  <c r="B16" i="237"/>
  <c r="A15" i="236"/>
  <c r="B16" i="236"/>
  <c r="A15" i="235"/>
  <c r="B16" i="235"/>
  <c r="A15" i="234"/>
  <c r="B16" i="234"/>
  <c r="A16" i="229"/>
  <c r="A15" i="233"/>
  <c r="B16" i="233"/>
  <c r="A15" i="232"/>
  <c r="B16" i="232"/>
  <c r="A15" i="231"/>
  <c r="B16" i="231"/>
  <c r="A15" i="230"/>
  <c r="B16" i="230"/>
  <c r="A17" i="229"/>
  <c r="B18" i="229"/>
  <c r="B15" i="227"/>
  <c r="A14" i="227"/>
  <c r="B257" i="241" l="1"/>
  <c r="A256" i="241"/>
  <c r="B221" i="241"/>
  <c r="A220" i="241"/>
  <c r="A188" i="241"/>
  <c r="B189" i="241"/>
  <c r="B153" i="241"/>
  <c r="A152" i="241"/>
  <c r="A120" i="241"/>
  <c r="B121" i="241"/>
  <c r="A86" i="241"/>
  <c r="B87" i="241"/>
  <c r="A52" i="241"/>
  <c r="B53" i="241"/>
  <c r="A17" i="241"/>
  <c r="B18" i="241"/>
  <c r="A255" i="238"/>
  <c r="B256" i="238"/>
  <c r="A255" i="237"/>
  <c r="B256" i="237"/>
  <c r="A255" i="236"/>
  <c r="B256" i="236"/>
  <c r="A255" i="235"/>
  <c r="B256" i="235"/>
  <c r="A255" i="234"/>
  <c r="B256" i="234"/>
  <c r="A255" i="233"/>
  <c r="B256" i="233"/>
  <c r="A255" i="232"/>
  <c r="B256" i="232"/>
  <c r="A255" i="231"/>
  <c r="B256" i="231"/>
  <c r="A255" i="230"/>
  <c r="B256" i="230"/>
  <c r="A255" i="229"/>
  <c r="B256" i="229"/>
  <c r="A255" i="227"/>
  <c r="B256" i="227"/>
  <c r="A255" i="187"/>
  <c r="B256" i="187"/>
  <c r="B222" i="238"/>
  <c r="A221" i="238"/>
  <c r="A221" i="237"/>
  <c r="B222" i="237"/>
  <c r="A221" i="236"/>
  <c r="B222" i="236"/>
  <c r="A221" i="235"/>
  <c r="B222" i="235"/>
  <c r="A221" i="234"/>
  <c r="B222" i="234"/>
  <c r="A221" i="233"/>
  <c r="B222" i="233"/>
  <c r="A221" i="232"/>
  <c r="B222" i="232"/>
  <c r="A221" i="231"/>
  <c r="B222" i="231"/>
  <c r="A221" i="230"/>
  <c r="B222" i="230"/>
  <c r="A221" i="229"/>
  <c r="B222" i="229"/>
  <c r="A221" i="227"/>
  <c r="B222" i="227"/>
  <c r="A221" i="187"/>
  <c r="B222" i="187"/>
  <c r="A187" i="238"/>
  <c r="B188" i="238"/>
  <c r="A187" i="237"/>
  <c r="B188" i="237"/>
  <c r="A187" i="236"/>
  <c r="B188" i="236"/>
  <c r="A187" i="235"/>
  <c r="B188" i="235"/>
  <c r="A187" i="234"/>
  <c r="B188" i="234"/>
  <c r="A187" i="233"/>
  <c r="B188" i="233"/>
  <c r="A187" i="232"/>
  <c r="B188" i="232"/>
  <c r="A187" i="231"/>
  <c r="B188" i="231"/>
  <c r="A187" i="230"/>
  <c r="B188" i="230"/>
  <c r="A187" i="229"/>
  <c r="B188" i="229"/>
  <c r="A187" i="227"/>
  <c r="B188" i="227"/>
  <c r="A187" i="187"/>
  <c r="B188" i="187"/>
  <c r="A153" i="238"/>
  <c r="B154" i="238"/>
  <c r="A153" i="237"/>
  <c r="B154" i="237"/>
  <c r="A153" i="236"/>
  <c r="B154" i="236"/>
  <c r="A153" i="235"/>
  <c r="B154" i="235"/>
  <c r="A153" i="234"/>
  <c r="B154" i="234"/>
  <c r="A153" i="233"/>
  <c r="B154" i="233"/>
  <c r="A153" i="232"/>
  <c r="B154" i="232"/>
  <c r="A153" i="231"/>
  <c r="B154" i="231"/>
  <c r="A153" i="230"/>
  <c r="B154" i="230"/>
  <c r="A153" i="229"/>
  <c r="B154" i="229"/>
  <c r="A153" i="227"/>
  <c r="B154" i="227"/>
  <c r="A153" i="187"/>
  <c r="B154" i="187"/>
  <c r="A119" i="238"/>
  <c r="B120" i="238"/>
  <c r="A119" i="237"/>
  <c r="B120" i="237"/>
  <c r="A119" i="236"/>
  <c r="B120" i="236"/>
  <c r="A119" i="235"/>
  <c r="B120" i="235"/>
  <c r="A119" i="234"/>
  <c r="B120" i="234"/>
  <c r="A119" i="233"/>
  <c r="B120" i="233"/>
  <c r="A119" i="232"/>
  <c r="B120" i="232"/>
  <c r="A119" i="231"/>
  <c r="B120" i="231"/>
  <c r="A119" i="230"/>
  <c r="B120" i="230"/>
  <c r="A119" i="229"/>
  <c r="B120" i="229"/>
  <c r="A119" i="227"/>
  <c r="B120" i="227"/>
  <c r="A119" i="187"/>
  <c r="B120" i="187"/>
  <c r="A85" i="238"/>
  <c r="B86" i="238"/>
  <c r="A85" i="237"/>
  <c r="B86" i="237"/>
  <c r="A85" i="236"/>
  <c r="B86" i="236"/>
  <c r="A85" i="235"/>
  <c r="B86" i="235"/>
  <c r="A85" i="234"/>
  <c r="B86" i="234"/>
  <c r="A85" i="233"/>
  <c r="B86" i="233"/>
  <c r="A84" i="232"/>
  <c r="B85" i="232"/>
  <c r="A85" i="231"/>
  <c r="B86" i="231"/>
  <c r="A85" i="230"/>
  <c r="B86" i="230"/>
  <c r="A85" i="229"/>
  <c r="B86" i="229"/>
  <c r="A85" i="227"/>
  <c r="B86" i="227"/>
  <c r="A85" i="187"/>
  <c r="B86" i="187"/>
  <c r="A51" i="238"/>
  <c r="B52" i="238"/>
  <c r="A51" i="237"/>
  <c r="B52" i="237"/>
  <c r="A51" i="236"/>
  <c r="B52" i="236"/>
  <c r="B51" i="235"/>
  <c r="A50" i="235"/>
  <c r="A51" i="234"/>
  <c r="B52" i="234"/>
  <c r="A51" i="233"/>
  <c r="B52" i="233"/>
  <c r="A51" i="232"/>
  <c r="B52" i="232"/>
  <c r="A51" i="231"/>
  <c r="B52" i="231"/>
  <c r="A51" i="230"/>
  <c r="B52" i="230"/>
  <c r="A51" i="229"/>
  <c r="B52" i="229"/>
  <c r="A51" i="227"/>
  <c r="B52" i="227"/>
  <c r="A51" i="187"/>
  <c r="B52" i="187"/>
  <c r="A16" i="238"/>
  <c r="B17" i="238"/>
  <c r="A16" i="237"/>
  <c r="B17" i="237"/>
  <c r="A16" i="236"/>
  <c r="B17" i="236"/>
  <c r="A16" i="235"/>
  <c r="B17" i="235"/>
  <c r="B17" i="234"/>
  <c r="A16" i="234"/>
  <c r="A16" i="233"/>
  <c r="B17" i="233"/>
  <c r="A16" i="232"/>
  <c r="B17" i="232"/>
  <c r="A16" i="231"/>
  <c r="B17" i="231"/>
  <c r="A16" i="230"/>
  <c r="B17" i="230"/>
  <c r="A18" i="229"/>
  <c r="B19" i="229"/>
  <c r="A15" i="227"/>
  <c r="B16" i="227"/>
  <c r="J3" i="33"/>
  <c r="D19" i="33"/>
  <c r="C5" i="33" s="1"/>
  <c r="B258" i="241" l="1"/>
  <c r="A257" i="241"/>
  <c r="A221" i="241"/>
  <c r="B222" i="241"/>
  <c r="A189" i="241"/>
  <c r="B190" i="241"/>
  <c r="A153" i="241"/>
  <c r="B154" i="241"/>
  <c r="A121" i="241"/>
  <c r="B122" i="241"/>
  <c r="A87" i="241"/>
  <c r="B88" i="241"/>
  <c r="A53" i="241"/>
  <c r="B54" i="241"/>
  <c r="A18" i="241"/>
  <c r="B19" i="241"/>
  <c r="A256" i="238"/>
  <c r="B257" i="238"/>
  <c r="A256" i="237"/>
  <c r="B257" i="237"/>
  <c r="B257" i="236"/>
  <c r="A256" i="236"/>
  <c r="B257" i="235"/>
  <c r="A256" i="235"/>
  <c r="A256" i="234"/>
  <c r="B257" i="234"/>
  <c r="A256" i="233"/>
  <c r="B257" i="233"/>
  <c r="B257" i="232"/>
  <c r="A256" i="232"/>
  <c r="A256" i="231"/>
  <c r="B257" i="231"/>
  <c r="A256" i="230"/>
  <c r="B257" i="230"/>
  <c r="B257" i="229"/>
  <c r="A256" i="229"/>
  <c r="B257" i="227"/>
  <c r="A256" i="227"/>
  <c r="B257" i="187"/>
  <c r="A256" i="187"/>
  <c r="B223" i="238"/>
  <c r="A222" i="238"/>
  <c r="B223" i="237"/>
  <c r="A222" i="237"/>
  <c r="B223" i="236"/>
  <c r="A222" i="236"/>
  <c r="B223" i="235"/>
  <c r="A222" i="235"/>
  <c r="B223" i="234"/>
  <c r="A222" i="234"/>
  <c r="A222" i="233"/>
  <c r="B223" i="233"/>
  <c r="A222" i="232"/>
  <c r="B223" i="232"/>
  <c r="A222" i="231"/>
  <c r="B223" i="231"/>
  <c r="B223" i="230"/>
  <c r="A222" i="230"/>
  <c r="B223" i="229"/>
  <c r="A222" i="229"/>
  <c r="A222" i="227"/>
  <c r="B223" i="227"/>
  <c r="A222" i="187"/>
  <c r="B223" i="187"/>
  <c r="A188" i="238"/>
  <c r="B189" i="238"/>
  <c r="B189" i="237"/>
  <c r="A188" i="237"/>
  <c r="B189" i="236"/>
  <c r="A188" i="236"/>
  <c r="A188" i="235"/>
  <c r="B189" i="235"/>
  <c r="A188" i="234"/>
  <c r="B189" i="234"/>
  <c r="A188" i="233"/>
  <c r="B189" i="233"/>
  <c r="A188" i="232"/>
  <c r="B189" i="232"/>
  <c r="A188" i="231"/>
  <c r="B189" i="231"/>
  <c r="A188" i="230"/>
  <c r="B189" i="230"/>
  <c r="A188" i="229"/>
  <c r="B189" i="229"/>
  <c r="A188" i="227"/>
  <c r="B189" i="227"/>
  <c r="B189" i="187"/>
  <c r="A188" i="187"/>
  <c r="A154" i="238"/>
  <c r="B155" i="238"/>
  <c r="A154" i="237"/>
  <c r="B155" i="237"/>
  <c r="A154" i="236"/>
  <c r="B155" i="236"/>
  <c r="A154" i="235"/>
  <c r="B155" i="235"/>
  <c r="A154" i="234"/>
  <c r="B155" i="234"/>
  <c r="B155" i="233"/>
  <c r="A154" i="233"/>
  <c r="A154" i="232"/>
  <c r="B155" i="232"/>
  <c r="A154" i="231"/>
  <c r="B155" i="231"/>
  <c r="B155" i="230"/>
  <c r="A154" i="230"/>
  <c r="A154" i="229"/>
  <c r="B155" i="229"/>
  <c r="A154" i="227"/>
  <c r="B155" i="227"/>
  <c r="A154" i="187"/>
  <c r="B155" i="187"/>
  <c r="A120" i="238"/>
  <c r="B121" i="238"/>
  <c r="B121" i="237"/>
  <c r="A120" i="237"/>
  <c r="A120" i="236"/>
  <c r="B121" i="236"/>
  <c r="A120" i="235"/>
  <c r="B121" i="235"/>
  <c r="B121" i="234"/>
  <c r="A120" i="234"/>
  <c r="A120" i="233"/>
  <c r="B121" i="233"/>
  <c r="A120" i="232"/>
  <c r="B121" i="232"/>
  <c r="B121" i="231"/>
  <c r="A120" i="231"/>
  <c r="A120" i="230"/>
  <c r="B121" i="230"/>
  <c r="A120" i="229"/>
  <c r="B121" i="229"/>
  <c r="A120" i="227"/>
  <c r="B121" i="227"/>
  <c r="A120" i="187"/>
  <c r="B121" i="187"/>
  <c r="A86" i="238"/>
  <c r="B87" i="238"/>
  <c r="A86" i="237"/>
  <c r="B87" i="237"/>
  <c r="A86" i="236"/>
  <c r="B87" i="236"/>
  <c r="B87" i="235"/>
  <c r="A86" i="235"/>
  <c r="B87" i="234"/>
  <c r="A86" i="234"/>
  <c r="A86" i="233"/>
  <c r="B87" i="233"/>
  <c r="A85" i="232"/>
  <c r="B86" i="232"/>
  <c r="A86" i="231"/>
  <c r="B87" i="231"/>
  <c r="A86" i="230"/>
  <c r="B87" i="230"/>
  <c r="A86" i="229"/>
  <c r="B87" i="229"/>
  <c r="A86" i="227"/>
  <c r="B87" i="227"/>
  <c r="A86" i="187"/>
  <c r="B87" i="187"/>
  <c r="A52" i="238"/>
  <c r="B53" i="238"/>
  <c r="B53" i="237"/>
  <c r="A52" i="237"/>
  <c r="A52" i="236"/>
  <c r="B53" i="236"/>
  <c r="A51" i="235"/>
  <c r="B52" i="235"/>
  <c r="A52" i="234"/>
  <c r="B53" i="234"/>
  <c r="B53" i="233"/>
  <c r="A52" i="233"/>
  <c r="A52" i="232"/>
  <c r="B53" i="232"/>
  <c r="A52" i="231"/>
  <c r="B53" i="231"/>
  <c r="A52" i="230"/>
  <c r="B53" i="230"/>
  <c r="B53" i="229"/>
  <c r="A52" i="229"/>
  <c r="B53" i="227"/>
  <c r="A52" i="227"/>
  <c r="B53" i="187"/>
  <c r="A52" i="187"/>
  <c r="A17" i="238"/>
  <c r="B18" i="238"/>
  <c r="A17" i="237"/>
  <c r="B18" i="237"/>
  <c r="A17" i="236"/>
  <c r="B18" i="236"/>
  <c r="A17" i="235"/>
  <c r="B18" i="235"/>
  <c r="A17" i="234"/>
  <c r="B18" i="234"/>
  <c r="A17" i="233"/>
  <c r="B18" i="233"/>
  <c r="B18" i="232"/>
  <c r="A17" i="232"/>
  <c r="A17" i="231"/>
  <c r="B18" i="231"/>
  <c r="A17" i="230"/>
  <c r="B18" i="230"/>
  <c r="B20" i="229"/>
  <c r="A19" i="229"/>
  <c r="A16" i="227"/>
  <c r="B17" i="227"/>
  <c r="C15" i="33"/>
  <c r="E5" i="33"/>
  <c r="C7" i="33"/>
  <c r="E11" i="33"/>
  <c r="E17" i="33"/>
  <c r="C17" i="33"/>
  <c r="E7" i="33"/>
  <c r="C9" i="33"/>
  <c r="C11" i="33"/>
  <c r="E13" i="33"/>
  <c r="E9" i="33"/>
  <c r="C13" i="33"/>
  <c r="E15" i="33"/>
  <c r="A258" i="241" l="1"/>
  <c r="B259" i="241"/>
  <c r="B223" i="241"/>
  <c r="A222" i="241"/>
  <c r="A190" i="241"/>
  <c r="B191" i="241"/>
  <c r="A154" i="241"/>
  <c r="B155" i="241"/>
  <c r="A122" i="241"/>
  <c r="B123" i="241"/>
  <c r="A88" i="241"/>
  <c r="B89" i="241"/>
  <c r="A54" i="241"/>
  <c r="B55" i="241"/>
  <c r="A19" i="241"/>
  <c r="B20" i="241"/>
  <c r="A257" i="238"/>
  <c r="B258" i="238"/>
  <c r="A257" i="237"/>
  <c r="B258" i="237"/>
  <c r="A257" i="236"/>
  <c r="B258" i="236"/>
  <c r="A257" i="235"/>
  <c r="B258" i="235"/>
  <c r="A257" i="234"/>
  <c r="B258" i="234"/>
  <c r="A257" i="233"/>
  <c r="B258" i="233"/>
  <c r="A257" i="232"/>
  <c r="B258" i="232"/>
  <c r="A257" i="231"/>
  <c r="B258" i="231"/>
  <c r="A257" i="230"/>
  <c r="B258" i="230"/>
  <c r="A257" i="229"/>
  <c r="B258" i="229"/>
  <c r="A257" i="227"/>
  <c r="B258" i="227"/>
  <c r="A257" i="187"/>
  <c r="B258" i="187"/>
  <c r="A223" i="238"/>
  <c r="B224" i="238"/>
  <c r="A223" i="237"/>
  <c r="B224" i="237"/>
  <c r="A223" i="236"/>
  <c r="B224" i="236"/>
  <c r="A223" i="235"/>
  <c r="B224" i="235"/>
  <c r="A223" i="234"/>
  <c r="B224" i="234"/>
  <c r="A223" i="233"/>
  <c r="B224" i="233"/>
  <c r="A223" i="232"/>
  <c r="B224" i="232"/>
  <c r="A223" i="231"/>
  <c r="B224" i="231"/>
  <c r="A223" i="230"/>
  <c r="B224" i="230"/>
  <c r="A223" i="229"/>
  <c r="B224" i="229"/>
  <c r="A223" i="227"/>
  <c r="B224" i="227"/>
  <c r="A223" i="187"/>
  <c r="B224" i="187"/>
  <c r="A189" i="238"/>
  <c r="B190" i="238"/>
  <c r="A189" i="237"/>
  <c r="B190" i="237"/>
  <c r="A189" i="236"/>
  <c r="B190" i="236"/>
  <c r="A189" i="235"/>
  <c r="B190" i="235"/>
  <c r="A189" i="234"/>
  <c r="B190" i="234"/>
  <c r="A189" i="233"/>
  <c r="B190" i="233"/>
  <c r="A189" i="232"/>
  <c r="B190" i="232"/>
  <c r="A189" i="231"/>
  <c r="B190" i="231"/>
  <c r="A189" i="230"/>
  <c r="B190" i="230"/>
  <c r="A189" i="229"/>
  <c r="B190" i="229"/>
  <c r="A189" i="227"/>
  <c r="B190" i="227"/>
  <c r="A189" i="187"/>
  <c r="B190" i="187"/>
  <c r="A155" i="238"/>
  <c r="B156" i="238"/>
  <c r="A155" i="237"/>
  <c r="B156" i="237"/>
  <c r="A155" i="236"/>
  <c r="B156" i="236"/>
  <c r="A155" i="235"/>
  <c r="B156" i="235"/>
  <c r="A155" i="234"/>
  <c r="B156" i="234"/>
  <c r="A155" i="233"/>
  <c r="B156" i="233"/>
  <c r="A155" i="232"/>
  <c r="B156" i="232"/>
  <c r="A155" i="231"/>
  <c r="B156" i="231"/>
  <c r="A155" i="230"/>
  <c r="B156" i="230"/>
  <c r="A155" i="229"/>
  <c r="B156" i="229"/>
  <c r="A155" i="227"/>
  <c r="B156" i="227"/>
  <c r="A155" i="187"/>
  <c r="B156" i="187"/>
  <c r="A121" i="238"/>
  <c r="B122" i="238"/>
  <c r="A121" i="237"/>
  <c r="B122" i="237"/>
  <c r="A121" i="236"/>
  <c r="B122" i="236"/>
  <c r="A121" i="235"/>
  <c r="B122" i="235"/>
  <c r="A121" i="234"/>
  <c r="B122" i="234"/>
  <c r="A121" i="233"/>
  <c r="B122" i="233"/>
  <c r="A121" i="232"/>
  <c r="B122" i="232"/>
  <c r="A121" i="231"/>
  <c r="B122" i="231"/>
  <c r="A121" i="230"/>
  <c r="B122" i="230"/>
  <c r="A121" i="229"/>
  <c r="B122" i="229"/>
  <c r="A121" i="227"/>
  <c r="B122" i="227"/>
  <c r="A121" i="187"/>
  <c r="B122" i="187"/>
  <c r="A87" i="238"/>
  <c r="B88" i="238"/>
  <c r="A87" i="237"/>
  <c r="B88" i="237"/>
  <c r="A87" i="236"/>
  <c r="B88" i="236"/>
  <c r="A87" i="235"/>
  <c r="B88" i="235"/>
  <c r="A87" i="234"/>
  <c r="B88" i="234"/>
  <c r="A87" i="233"/>
  <c r="B88" i="233"/>
  <c r="A86" i="232"/>
  <c r="B87" i="232"/>
  <c r="A87" i="231"/>
  <c r="B88" i="231"/>
  <c r="A87" i="230"/>
  <c r="B88" i="230"/>
  <c r="A87" i="229"/>
  <c r="B88" i="229"/>
  <c r="A87" i="227"/>
  <c r="B88" i="227"/>
  <c r="A87" i="187"/>
  <c r="B88" i="187"/>
  <c r="A53" i="238"/>
  <c r="B54" i="238"/>
  <c r="A53" i="237"/>
  <c r="B54" i="237"/>
  <c r="A53" i="236"/>
  <c r="B54" i="236"/>
  <c r="B53" i="235"/>
  <c r="A52" i="235"/>
  <c r="A53" i="234"/>
  <c r="B54" i="234"/>
  <c r="A53" i="233"/>
  <c r="B54" i="233"/>
  <c r="A53" i="232"/>
  <c r="B54" i="232"/>
  <c r="A53" i="231"/>
  <c r="B54" i="231"/>
  <c r="A53" i="230"/>
  <c r="B54" i="230"/>
  <c r="A53" i="229"/>
  <c r="B54" i="229"/>
  <c r="A53" i="227"/>
  <c r="B54" i="227"/>
  <c r="A53" i="187"/>
  <c r="B54" i="187"/>
  <c r="A18" i="238"/>
  <c r="B19" i="238"/>
  <c r="A18" i="237"/>
  <c r="B19" i="237"/>
  <c r="A18" i="236"/>
  <c r="B19" i="236"/>
  <c r="A18" i="235"/>
  <c r="B19" i="235"/>
  <c r="B19" i="234"/>
  <c r="A18" i="234"/>
  <c r="A18" i="233"/>
  <c r="B19" i="233"/>
  <c r="A18" i="232"/>
  <c r="B19" i="232"/>
  <c r="B19" i="231"/>
  <c r="A18" i="231"/>
  <c r="A18" i="230"/>
  <c r="B19" i="230"/>
  <c r="A20" i="229"/>
  <c r="B21" i="229"/>
  <c r="A17" i="227"/>
  <c r="B18" i="227"/>
  <c r="A2" i="12"/>
  <c r="A6" i="12"/>
  <c r="A6" i="3"/>
  <c r="D2" i="110"/>
  <c r="O41" i="187"/>
  <c r="Q16" i="187"/>
  <c r="Q15" i="187"/>
  <c r="Q14" i="187"/>
  <c r="Q13" i="187"/>
  <c r="Q12" i="187"/>
  <c r="N10" i="187"/>
  <c r="O9" i="187" s="1"/>
  <c r="B9" i="187"/>
  <c r="A9" i="187" s="1"/>
  <c r="R7" i="187"/>
  <c r="R2" i="187"/>
  <c r="C1" i="187"/>
  <c r="B15" i="11"/>
  <c r="B9" i="13"/>
  <c r="A9" i="13" s="1"/>
  <c r="E3" i="144"/>
  <c r="B3" i="144" s="1"/>
  <c r="D3" i="144"/>
  <c r="C3" i="144"/>
  <c r="B1" i="144"/>
  <c r="K210" i="139"/>
  <c r="K209" i="139"/>
  <c r="K208" i="139"/>
  <c r="K207" i="139"/>
  <c r="K206" i="139"/>
  <c r="K205" i="139"/>
  <c r="K204" i="139"/>
  <c r="K203" i="139"/>
  <c r="K202" i="139"/>
  <c r="K201" i="139"/>
  <c r="K200" i="139"/>
  <c r="K199" i="139"/>
  <c r="K198" i="139"/>
  <c r="K197" i="139"/>
  <c r="K196" i="139"/>
  <c r="K195" i="139"/>
  <c r="K194" i="139"/>
  <c r="K193" i="139"/>
  <c r="K192" i="139"/>
  <c r="K191" i="139"/>
  <c r="K190" i="139"/>
  <c r="K189" i="139"/>
  <c r="K188" i="139"/>
  <c r="K187" i="139"/>
  <c r="K186" i="139"/>
  <c r="K185" i="139"/>
  <c r="K184" i="139"/>
  <c r="K183" i="139"/>
  <c r="K182" i="139"/>
  <c r="K181" i="139"/>
  <c r="K180" i="139"/>
  <c r="K179" i="139"/>
  <c r="K178" i="139"/>
  <c r="K177" i="139"/>
  <c r="K176" i="139"/>
  <c r="K175" i="139"/>
  <c r="K174" i="139"/>
  <c r="K173" i="139"/>
  <c r="K172" i="139"/>
  <c r="K171" i="139"/>
  <c r="K170" i="139"/>
  <c r="K169" i="139"/>
  <c r="K168" i="139"/>
  <c r="K167" i="139"/>
  <c r="K166" i="139"/>
  <c r="K165" i="139"/>
  <c r="K164" i="139"/>
  <c r="K163" i="139"/>
  <c r="K162" i="139"/>
  <c r="K161" i="139"/>
  <c r="K160" i="139"/>
  <c r="K159" i="139"/>
  <c r="K158" i="139"/>
  <c r="K157" i="139"/>
  <c r="K156" i="139"/>
  <c r="K155" i="139"/>
  <c r="K154" i="139"/>
  <c r="K153" i="139"/>
  <c r="K152" i="139"/>
  <c r="K151" i="139"/>
  <c r="K150" i="139"/>
  <c r="K149" i="139"/>
  <c r="K148" i="139"/>
  <c r="K147" i="139"/>
  <c r="K146" i="139"/>
  <c r="K145" i="139"/>
  <c r="K144" i="139"/>
  <c r="K143" i="139"/>
  <c r="K142" i="139"/>
  <c r="K141" i="139"/>
  <c r="K140" i="139"/>
  <c r="K139" i="139"/>
  <c r="K138" i="139"/>
  <c r="K137" i="139"/>
  <c r="K136" i="139"/>
  <c r="K135" i="139"/>
  <c r="K134" i="139"/>
  <c r="K133" i="139"/>
  <c r="K132" i="139"/>
  <c r="K131" i="139"/>
  <c r="K130" i="139"/>
  <c r="K129" i="139"/>
  <c r="K128" i="139"/>
  <c r="K127" i="139"/>
  <c r="K126" i="139"/>
  <c r="K125" i="139"/>
  <c r="K124" i="139"/>
  <c r="K123" i="139"/>
  <c r="K122" i="139"/>
  <c r="K121" i="139"/>
  <c r="K120" i="139"/>
  <c r="K119" i="139"/>
  <c r="K118" i="139"/>
  <c r="K117" i="139"/>
  <c r="K116" i="139"/>
  <c r="K115" i="139"/>
  <c r="K114" i="139"/>
  <c r="K113" i="139"/>
  <c r="K112" i="139"/>
  <c r="K111" i="139"/>
  <c r="K110" i="139"/>
  <c r="K109" i="139"/>
  <c r="K108" i="139"/>
  <c r="K107" i="139"/>
  <c r="K106" i="139"/>
  <c r="K105" i="139"/>
  <c r="K104" i="139"/>
  <c r="K103" i="139"/>
  <c r="K102" i="139"/>
  <c r="K101" i="139"/>
  <c r="K100" i="139"/>
  <c r="K99" i="139"/>
  <c r="K98" i="139"/>
  <c r="K97" i="139"/>
  <c r="K96" i="139"/>
  <c r="K95" i="139"/>
  <c r="K94" i="139"/>
  <c r="K93" i="139"/>
  <c r="K92" i="139"/>
  <c r="K91" i="139"/>
  <c r="K90" i="139"/>
  <c r="K89" i="139"/>
  <c r="K88" i="139"/>
  <c r="K87" i="139"/>
  <c r="K86" i="139"/>
  <c r="K85" i="139"/>
  <c r="K84" i="139"/>
  <c r="K83" i="139"/>
  <c r="K82" i="139"/>
  <c r="K81" i="139"/>
  <c r="K80" i="139"/>
  <c r="K79" i="139"/>
  <c r="K78" i="139"/>
  <c r="K77" i="139"/>
  <c r="K76" i="139"/>
  <c r="K75" i="139"/>
  <c r="K74" i="139"/>
  <c r="K73" i="139"/>
  <c r="K72" i="139"/>
  <c r="K71" i="139"/>
  <c r="K70" i="139"/>
  <c r="K69" i="139"/>
  <c r="K68" i="139"/>
  <c r="K67" i="139"/>
  <c r="K66" i="139"/>
  <c r="K65" i="139"/>
  <c r="K64" i="139"/>
  <c r="K63" i="139"/>
  <c r="K62" i="139"/>
  <c r="K61" i="139"/>
  <c r="K60" i="139"/>
  <c r="K59" i="139"/>
  <c r="K58" i="139"/>
  <c r="K57" i="139"/>
  <c r="K56" i="139"/>
  <c r="K55" i="139"/>
  <c r="K54" i="139"/>
  <c r="K53" i="139"/>
  <c r="K52" i="139"/>
  <c r="K51" i="139"/>
  <c r="K50" i="139"/>
  <c r="K49" i="139"/>
  <c r="K48" i="139"/>
  <c r="K47" i="139"/>
  <c r="K46" i="139"/>
  <c r="K45" i="139"/>
  <c r="K44" i="139"/>
  <c r="K43" i="139"/>
  <c r="K42" i="139"/>
  <c r="K41" i="139"/>
  <c r="K40" i="139"/>
  <c r="K39" i="139"/>
  <c r="K38" i="139"/>
  <c r="K37" i="139"/>
  <c r="K36" i="139"/>
  <c r="K35" i="139"/>
  <c r="K34" i="139"/>
  <c r="K33" i="139"/>
  <c r="K32" i="139"/>
  <c r="K31" i="139"/>
  <c r="K30" i="139"/>
  <c r="K29" i="139"/>
  <c r="K28" i="139"/>
  <c r="K27" i="139"/>
  <c r="K26" i="139"/>
  <c r="K25" i="139"/>
  <c r="K24" i="139"/>
  <c r="K23" i="139"/>
  <c r="K22" i="139"/>
  <c r="K21" i="139"/>
  <c r="K20" i="139"/>
  <c r="K19" i="139"/>
  <c r="K18" i="139"/>
  <c r="K17" i="139"/>
  <c r="K16" i="139"/>
  <c r="K15" i="139"/>
  <c r="K14" i="139"/>
  <c r="K13" i="139"/>
  <c r="K12" i="139"/>
  <c r="K11" i="139"/>
  <c r="K10" i="139"/>
  <c r="K9" i="139"/>
  <c r="K8" i="139"/>
  <c r="K7" i="139"/>
  <c r="K6" i="139"/>
  <c r="K5" i="139"/>
  <c r="K4" i="139"/>
  <c r="C2" i="110"/>
  <c r="B2" i="110"/>
  <c r="B3" i="110" s="1"/>
  <c r="M5" i="110"/>
  <c r="L5" i="110"/>
  <c r="K5" i="110"/>
  <c r="J5" i="110"/>
  <c r="I5" i="110"/>
  <c r="G6" i="3"/>
  <c r="G2" i="3"/>
  <c r="Q16" i="13"/>
  <c r="Q15" i="13"/>
  <c r="Q14" i="13"/>
  <c r="Q13" i="13"/>
  <c r="Q12" i="13"/>
  <c r="F6" i="3"/>
  <c r="F2" i="3"/>
  <c r="D5" i="12"/>
  <c r="F5" i="3"/>
  <c r="E3" i="34"/>
  <c r="B3" i="34" s="1"/>
  <c r="D3" i="34"/>
  <c r="C3" i="34"/>
  <c r="B1" i="34"/>
  <c r="B1" i="15"/>
  <c r="E3" i="15"/>
  <c r="B3" i="15" s="1"/>
  <c r="E6" i="12"/>
  <c r="E2" i="12"/>
  <c r="D6" i="12"/>
  <c r="N10" i="13"/>
  <c r="O9" i="13" s="1"/>
  <c r="R2" i="13"/>
  <c r="T2" i="13" s="1"/>
  <c r="D2" i="12"/>
  <c r="J2" i="3"/>
  <c r="Q5" i="13"/>
  <c r="Q3" i="13"/>
  <c r="G1" i="12"/>
  <c r="M4" i="12" s="1"/>
  <c r="O41" i="13"/>
  <c r="C1" i="13"/>
  <c r="C3" i="15"/>
  <c r="R7" i="13"/>
  <c r="R4" i="187"/>
  <c r="E6" i="15"/>
  <c r="W184" i="241"/>
  <c r="V187" i="241"/>
  <c r="W253" i="241"/>
  <c r="V123" i="241"/>
  <c r="V30" i="241"/>
  <c r="W49" i="241"/>
  <c r="W63" i="241"/>
  <c r="W187" i="241"/>
  <c r="W250" i="241"/>
  <c r="W70" i="241"/>
  <c r="W201" i="241"/>
  <c r="V34" i="241"/>
  <c r="W25" i="241"/>
  <c r="W229" i="241"/>
  <c r="W163" i="241"/>
  <c r="V132" i="241"/>
  <c r="W14" i="241"/>
  <c r="V63" i="241"/>
  <c r="W98" i="241"/>
  <c r="W199" i="241"/>
  <c r="V70" i="241"/>
  <c r="V197" i="241"/>
  <c r="W65" i="241"/>
  <c r="V150" i="241"/>
  <c r="V274" i="241"/>
  <c r="W150" i="241"/>
  <c r="W24" i="241"/>
  <c r="W169" i="241"/>
  <c r="V186" i="241"/>
  <c r="W68" i="241"/>
  <c r="W114" i="241"/>
  <c r="W61" i="241"/>
  <c r="V172" i="241"/>
  <c r="V263" i="241"/>
  <c r="V203" i="241"/>
  <c r="V135" i="241"/>
  <c r="V195" i="241"/>
  <c r="V265" i="241"/>
  <c r="W60" i="241"/>
  <c r="V272" i="241"/>
  <c r="V162" i="241"/>
  <c r="W183" i="241"/>
  <c r="Z49" i="241"/>
  <c r="AA250" i="241"/>
  <c r="AA67" i="241"/>
  <c r="Z222" i="241"/>
  <c r="AA80" i="241"/>
  <c r="Z154" i="241"/>
  <c r="Z252" i="241"/>
  <c r="AA259" i="241"/>
  <c r="AA172" i="241"/>
  <c r="AA252" i="241"/>
  <c r="AA253" i="241"/>
  <c r="Z123" i="241"/>
  <c r="Z168" i="241"/>
  <c r="Z50" i="241"/>
  <c r="AA156" i="241"/>
  <c r="AA97" i="241"/>
  <c r="AA163" i="241"/>
  <c r="Z238" i="241"/>
  <c r="AA81" i="241"/>
  <c r="E6" i="34"/>
  <c r="E6" i="144"/>
  <c r="W27" i="241"/>
  <c r="W270" i="241"/>
  <c r="V97" i="241"/>
  <c r="W238" i="241"/>
  <c r="V156" i="241"/>
  <c r="V60" i="241"/>
  <c r="W189" i="241"/>
  <c r="W218" i="241"/>
  <c r="V160" i="241"/>
  <c r="W100" i="241"/>
  <c r="V216" i="241"/>
  <c r="V93" i="241"/>
  <c r="W222" i="241"/>
  <c r="W48" i="241"/>
  <c r="V194" i="241"/>
  <c r="V252" i="241"/>
  <c r="V88" i="241"/>
  <c r="W116" i="241"/>
  <c r="V134" i="241"/>
  <c r="W20" i="241"/>
  <c r="V136" i="241"/>
  <c r="V257" i="241"/>
  <c r="W50" i="241"/>
  <c r="W29" i="241"/>
  <c r="W152" i="241"/>
  <c r="V89" i="241"/>
  <c r="W84" i="241"/>
  <c r="V200" i="241"/>
  <c r="W86" i="241"/>
  <c r="W221" i="241"/>
  <c r="W99" i="241"/>
  <c r="V199" i="241"/>
  <c r="V238" i="241"/>
  <c r="W51" i="241"/>
  <c r="V168" i="241"/>
  <c r="V86" i="241"/>
  <c r="W134" i="241"/>
  <c r="V24" i="241"/>
  <c r="W120" i="241"/>
  <c r="V31" i="241"/>
  <c r="V50" i="241"/>
  <c r="V129" i="241"/>
  <c r="AA129" i="241"/>
  <c r="AA228" i="241"/>
  <c r="AA222" i="241"/>
  <c r="Z55" i="241"/>
  <c r="Z148" i="241"/>
  <c r="Z265" i="241"/>
  <c r="AA29" i="241"/>
  <c r="Z268" i="241"/>
  <c r="AA18" i="241"/>
  <c r="Z100" i="241"/>
  <c r="Z119" i="241"/>
  <c r="Z269" i="241"/>
  <c r="AA47" i="241"/>
  <c r="Z86" i="241"/>
  <c r="AA269" i="241"/>
  <c r="AA127" i="241"/>
  <c r="Z15" i="241"/>
  <c r="AA131" i="241"/>
  <c r="AA93" i="241"/>
  <c r="Z163" i="241"/>
  <c r="AA25" i="241"/>
  <c r="Z134" i="241"/>
  <c r="Z14" i="241"/>
  <c r="AA133" i="241"/>
  <c r="Z254" i="241"/>
  <c r="AA135" i="241"/>
  <c r="Z257" i="241"/>
  <c r="Z24" i="241"/>
  <c r="AA68" i="241"/>
  <c r="Z53" i="241"/>
  <c r="Z64" i="241"/>
  <c r="AA58" i="241"/>
  <c r="Z186" i="241"/>
  <c r="AA185" i="241"/>
  <c r="AA236" i="241"/>
  <c r="Z264" i="241"/>
  <c r="AA154" i="241"/>
  <c r="AA19" i="241"/>
  <c r="Z60" i="241"/>
  <c r="AA24" i="241"/>
  <c r="Z131" i="241"/>
  <c r="R4" i="13"/>
  <c r="A2" i="13"/>
  <c r="W251" i="241"/>
  <c r="V170" i="241"/>
  <c r="W64" i="241"/>
  <c r="W123" i="241"/>
  <c r="W12" i="241"/>
  <c r="V33" i="241"/>
  <c r="W36" i="241"/>
  <c r="W167" i="241"/>
  <c r="W160" i="241"/>
  <c r="V131" i="241"/>
  <c r="V59" i="241"/>
  <c r="V240" i="241"/>
  <c r="W162" i="241"/>
  <c r="W102" i="241"/>
  <c r="W259" i="241"/>
  <c r="V234" i="241"/>
  <c r="W122" i="241"/>
  <c r="V92" i="241"/>
  <c r="V80" i="241"/>
  <c r="V51" i="241"/>
  <c r="V230" i="241"/>
  <c r="V255" i="241"/>
  <c r="V32" i="241"/>
  <c r="W231" i="241"/>
  <c r="W92" i="241"/>
  <c r="W258" i="241"/>
  <c r="V115" i="241"/>
  <c r="W233" i="241"/>
  <c r="W16" i="241"/>
  <c r="W21" i="241"/>
  <c r="V256" i="241"/>
  <c r="W138" i="241"/>
  <c r="V27" i="241"/>
  <c r="V118" i="241"/>
  <c r="W19" i="241"/>
  <c r="V99" i="241"/>
  <c r="W80" i="241"/>
  <c r="W89" i="241"/>
  <c r="V151" i="241"/>
  <c r="V61" i="241"/>
  <c r="V189" i="241"/>
  <c r="W165" i="241"/>
  <c r="Z89" i="241"/>
  <c r="Z132" i="241"/>
  <c r="Z27" i="241"/>
  <c r="AA26" i="241"/>
  <c r="Z172" i="241"/>
  <c r="Z138" i="241"/>
  <c r="AA50" i="241"/>
  <c r="AA191" i="241"/>
  <c r="AA254" i="241"/>
  <c r="AA32" i="241"/>
  <c r="AA170" i="241"/>
  <c r="Z25" i="241"/>
  <c r="Z191" i="241"/>
  <c r="AA219" i="241"/>
  <c r="AA118" i="241"/>
  <c r="AA13" i="241"/>
  <c r="AA160" i="241"/>
  <c r="Z218" i="241"/>
  <c r="AA123" i="241"/>
  <c r="R3" i="13"/>
  <c r="B9" i="11"/>
  <c r="V119" i="241"/>
  <c r="W186" i="241"/>
  <c r="V222" i="241"/>
  <c r="W94" i="241"/>
  <c r="V127" i="241"/>
  <c r="V269" i="241"/>
  <c r="W156" i="241"/>
  <c r="W119" i="241"/>
  <c r="V251" i="241"/>
  <c r="V161" i="241"/>
  <c r="V191" i="241"/>
  <c r="W224" i="241"/>
  <c r="V253" i="241"/>
  <c r="V133" i="241"/>
  <c r="W18" i="241"/>
  <c r="V65" i="241"/>
  <c r="W127" i="241"/>
  <c r="V53" i="241"/>
  <c r="V217" i="241"/>
  <c r="W166" i="241"/>
  <c r="W263" i="241"/>
  <c r="W191" i="241"/>
  <c r="W32" i="241"/>
  <c r="V55" i="241"/>
  <c r="W257" i="241"/>
  <c r="W17" i="241"/>
  <c r="V169" i="241"/>
  <c r="V25" i="241"/>
  <c r="W88" i="241"/>
  <c r="V254" i="241"/>
  <c r="V190" i="241"/>
  <c r="W262" i="241"/>
  <c r="V87" i="241"/>
  <c r="V236" i="241"/>
  <c r="V117" i="241"/>
  <c r="V26" i="241"/>
  <c r="V19" i="241"/>
  <c r="V120" i="241"/>
  <c r="V54" i="241"/>
  <c r="V121" i="241"/>
  <c r="W34" i="241"/>
  <c r="W161" i="241"/>
  <c r="Z240" i="241"/>
  <c r="AA128" i="241"/>
  <c r="AA148" i="241"/>
  <c r="AA60" i="241"/>
  <c r="Z94" i="241"/>
  <c r="AA88" i="241"/>
  <c r="Z235" i="241"/>
  <c r="AA217" i="241"/>
  <c r="Z262" i="241"/>
  <c r="Z199" i="241"/>
  <c r="Z30" i="241"/>
  <c r="Z85" i="241"/>
  <c r="AA65" i="241"/>
  <c r="AA258" i="241"/>
  <c r="AA15" i="241"/>
  <c r="Z88" i="241"/>
  <c r="AA220" i="241"/>
  <c r="Z92" i="241"/>
  <c r="Z270" i="241"/>
  <c r="AA64" i="241"/>
  <c r="Z166" i="241"/>
  <c r="Z17" i="241"/>
  <c r="AA231" i="241"/>
  <c r="AA255" i="241"/>
  <c r="Z67" i="241"/>
  <c r="Z202" i="241"/>
  <c r="Z162" i="241"/>
  <c r="Z46" i="241"/>
  <c r="Z33" i="241"/>
  <c r="Z93" i="241"/>
  <c r="AA162" i="241"/>
  <c r="Z203" i="241"/>
  <c r="AA63" i="241"/>
  <c r="AA240" i="241"/>
  <c r="AA53" i="241"/>
  <c r="V183" i="241"/>
  <c r="W268" i="241"/>
  <c r="W155" i="241"/>
  <c r="W154" i="241"/>
  <c r="V228" i="241"/>
  <c r="W190" i="241"/>
  <c r="V165" i="241"/>
  <c r="V163" i="241"/>
  <c r="W216" i="241"/>
  <c r="W129" i="241"/>
  <c r="W196" i="241"/>
  <c r="W26" i="241"/>
  <c r="W31" i="241"/>
  <c r="V84" i="241"/>
  <c r="W54" i="241"/>
  <c r="V122" i="241"/>
  <c r="V20" i="241"/>
  <c r="W269" i="241"/>
  <c r="W131" i="241"/>
  <c r="V184" i="241"/>
  <c r="W182" i="241"/>
  <c r="Z204" i="241"/>
  <c r="Z233" i="241"/>
  <c r="AA92" i="241"/>
  <c r="AA126" i="241"/>
  <c r="AA229" i="241"/>
  <c r="Z217" i="241"/>
  <c r="AA200" i="241"/>
  <c r="Z83" i="241"/>
  <c r="AA234" i="241"/>
  <c r="Z237" i="241"/>
  <c r="AA102" i="241"/>
  <c r="Z104" i="241"/>
  <c r="AA87" i="241"/>
  <c r="Z95" i="241"/>
  <c r="Z157" i="241"/>
  <c r="AA263" i="241"/>
  <c r="Z19" i="241"/>
  <c r="AA184" i="241"/>
  <c r="Z128" i="241"/>
  <c r="Z187" i="241"/>
  <c r="AA152" i="241"/>
  <c r="Z61" i="241"/>
  <c r="AA115" i="241"/>
  <c r="Z16" i="241"/>
  <c r="AA101" i="241"/>
  <c r="AA235" i="241"/>
  <c r="Z259" i="241"/>
  <c r="AA49" i="241"/>
  <c r="AD16" i="241"/>
  <c r="AE152" i="241"/>
  <c r="AE121" i="241"/>
  <c r="AE97" i="241"/>
  <c r="AE46" i="241"/>
  <c r="AD19" i="241"/>
  <c r="AD235" i="241"/>
  <c r="AE254" i="241"/>
  <c r="AE163" i="241"/>
  <c r="AE82" i="241"/>
  <c r="AD32" i="241"/>
  <c r="AD201" i="241"/>
  <c r="AD93" i="241"/>
  <c r="AE86" i="241"/>
  <c r="AE66" i="241"/>
  <c r="AD65" i="241"/>
  <c r="AE170" i="241"/>
  <c r="AD61" i="241"/>
  <c r="AE59" i="241"/>
  <c r="AD66" i="241"/>
  <c r="AE222" i="241"/>
  <c r="AD133" i="241"/>
  <c r="AE29" i="241"/>
  <c r="AE258" i="241"/>
  <c r="AD255" i="241"/>
  <c r="AE202" i="241"/>
  <c r="AE257" i="241"/>
  <c r="AE55" i="241"/>
  <c r="AE25" i="241"/>
  <c r="AD82" i="241"/>
  <c r="AD269" i="241"/>
  <c r="AE49" i="241"/>
  <c r="AD116" i="241"/>
  <c r="AD203" i="241"/>
  <c r="AD12" i="241"/>
  <c r="AD15" i="241"/>
  <c r="AE114" i="241"/>
  <c r="AE122" i="241"/>
  <c r="AD86" i="241"/>
  <c r="AD254" i="241"/>
  <c r="AD119" i="241"/>
  <c r="AE161" i="241"/>
  <c r="AH129" i="241"/>
  <c r="AI184" i="241"/>
  <c r="AH65" i="241"/>
  <c r="AI50" i="241"/>
  <c r="AH25" i="241"/>
  <c r="AH70" i="241"/>
  <c r="AI82" i="241"/>
  <c r="AI165" i="241"/>
  <c r="AI98" i="241"/>
  <c r="AH195" i="241"/>
  <c r="AH240" i="241"/>
  <c r="AH200" i="241"/>
  <c r="AH202" i="241"/>
  <c r="AH170" i="241"/>
  <c r="AI203" i="241"/>
  <c r="AH182" i="241"/>
  <c r="AI13" i="241"/>
  <c r="AH253" i="241"/>
  <c r="AI154" i="241"/>
  <c r="AI167" i="241"/>
  <c r="AH102" i="241"/>
  <c r="AH132" i="241"/>
  <c r="AI121" i="241"/>
  <c r="AI258" i="241"/>
  <c r="AH259" i="241"/>
  <c r="AI100" i="241"/>
  <c r="AI224" i="241"/>
  <c r="AI12" i="241"/>
  <c r="AI118" i="241"/>
  <c r="AH255" i="241"/>
  <c r="AH206" i="241"/>
  <c r="AI183" i="241"/>
  <c r="AH274" i="241"/>
  <c r="AH154" i="241"/>
  <c r="AI152" i="241"/>
  <c r="AH51" i="241"/>
  <c r="AI218" i="241"/>
  <c r="AH162" i="241"/>
  <c r="AH63" i="241"/>
  <c r="AH80" i="241"/>
  <c r="AI172" i="241"/>
  <c r="AH194" i="241"/>
  <c r="AM264" i="241"/>
  <c r="AL196" i="241"/>
  <c r="AM68" i="241"/>
  <c r="AM61" i="241"/>
  <c r="AL128" i="241"/>
  <c r="AM219" i="241"/>
  <c r="AM95" i="241"/>
  <c r="AL64" i="241"/>
  <c r="AL167" i="241"/>
  <c r="AL155" i="241"/>
  <c r="AM168" i="241"/>
  <c r="AL274" i="241"/>
  <c r="AM117" i="241"/>
  <c r="AM115" i="241"/>
  <c r="AL187" i="241"/>
  <c r="AL59" i="241"/>
  <c r="AL14" i="241"/>
  <c r="AM220" i="241"/>
  <c r="AL116" i="241"/>
  <c r="AM235" i="241"/>
  <c r="AL223" i="241"/>
  <c r="AL168" i="241"/>
  <c r="AL119" i="241"/>
  <c r="AL231" i="241"/>
  <c r="AM46" i="241"/>
  <c r="AL238" i="241"/>
  <c r="AM122" i="241"/>
  <c r="AM127" i="241"/>
  <c r="AM240" i="241"/>
  <c r="AM165" i="241"/>
  <c r="AL206" i="241"/>
  <c r="AM236" i="241"/>
  <c r="AM152" i="241"/>
  <c r="AM52" i="241"/>
  <c r="AL202" i="241"/>
  <c r="AM17" i="241"/>
  <c r="AM272" i="241"/>
  <c r="AL152" i="241"/>
  <c r="AL26" i="241"/>
  <c r="AM151" i="241"/>
  <c r="AL169" i="241"/>
  <c r="AL16" i="241"/>
  <c r="AP80" i="241"/>
  <c r="AP268" i="241"/>
  <c r="AQ165" i="241"/>
  <c r="AQ186" i="241"/>
  <c r="AP27" i="241"/>
  <c r="AQ135" i="241"/>
  <c r="AQ120" i="241"/>
  <c r="AP257" i="241"/>
  <c r="AQ238" i="241"/>
  <c r="AP58" i="241"/>
  <c r="AQ274" i="241"/>
  <c r="AQ220" i="241"/>
  <c r="AP31" i="241"/>
  <c r="AP89" i="241"/>
  <c r="AP264" i="241"/>
  <c r="AQ149" i="241"/>
  <c r="AQ81" i="241"/>
  <c r="AP52" i="241"/>
  <c r="AP256" i="241"/>
  <c r="AQ268" i="241"/>
  <c r="AQ48" i="241"/>
  <c r="AQ97" i="241"/>
  <c r="AP237" i="241"/>
  <c r="AP29" i="241"/>
  <c r="AP236" i="241"/>
  <c r="AQ50" i="241"/>
  <c r="AQ188" i="241"/>
  <c r="AQ58" i="241"/>
  <c r="AP120" i="241"/>
  <c r="AQ133" i="241"/>
  <c r="AQ218" i="241"/>
  <c r="AQ21" i="241"/>
  <c r="AP222" i="241"/>
  <c r="AP114" i="241"/>
  <c r="AP156" i="241"/>
  <c r="AQ251" i="241"/>
  <c r="AP152" i="241"/>
  <c r="AP115" i="241"/>
  <c r="AP230" i="241"/>
  <c r="AQ190" i="241"/>
  <c r="AP34" i="241"/>
  <c r="AQ157" i="241"/>
  <c r="AT27" i="241"/>
  <c r="W255" i="241"/>
  <c r="V58" i="241"/>
  <c r="W219" i="241"/>
  <c r="V52" i="241"/>
  <c r="W170" i="241"/>
  <c r="V221" i="241"/>
  <c r="W104" i="241"/>
  <c r="V223" i="241"/>
  <c r="W59" i="241"/>
  <c r="V15" i="241"/>
  <c r="W256" i="241"/>
  <c r="V270" i="241"/>
  <c r="W274" i="241"/>
  <c r="V202" i="241"/>
  <c r="V85" i="241"/>
  <c r="V155" i="241"/>
  <c r="W53" i="241"/>
  <c r="W58" i="241"/>
  <c r="V268" i="241"/>
  <c r="W217" i="241"/>
  <c r="W206" i="241"/>
  <c r="AA262" i="241"/>
  <c r="Z59" i="241"/>
  <c r="Z153" i="241"/>
  <c r="Z120" i="241"/>
  <c r="Z12" i="241"/>
  <c r="AA83" i="241"/>
  <c r="Z32" i="241"/>
  <c r="Z236" i="241"/>
  <c r="AA264" i="241"/>
  <c r="AA51" i="241"/>
  <c r="Z223" i="241"/>
  <c r="Z47" i="241"/>
  <c r="Z82" i="241"/>
  <c r="AA216" i="241"/>
  <c r="AA218" i="241"/>
  <c r="Z167" i="241"/>
  <c r="AA165" i="241"/>
  <c r="AA238" i="241"/>
  <c r="AA95" i="241"/>
  <c r="Z149" i="241"/>
  <c r="Z29" i="241"/>
  <c r="Z121" i="241"/>
  <c r="AA121" i="241"/>
  <c r="AA16" i="241"/>
  <c r="Z190" i="241"/>
  <c r="AA204" i="241"/>
  <c r="AA46" i="241"/>
  <c r="Z200" i="241"/>
  <c r="AD221" i="241"/>
  <c r="AE233" i="241"/>
  <c r="AE63" i="241"/>
  <c r="AE67" i="241"/>
  <c r="AE133" i="241"/>
  <c r="AE117" i="241"/>
  <c r="AD170" i="241"/>
  <c r="AE183" i="241"/>
  <c r="AE85" i="241"/>
  <c r="AE136" i="241"/>
  <c r="AD194" i="241"/>
  <c r="AE101" i="241"/>
  <c r="AE126" i="241"/>
  <c r="AD98" i="241"/>
  <c r="AD127" i="241"/>
  <c r="AD237" i="241"/>
  <c r="AD262" i="241"/>
  <c r="AD121" i="241"/>
  <c r="AD135" i="241"/>
  <c r="AE16" i="241"/>
  <c r="AD268" i="241"/>
  <c r="AD163" i="241"/>
  <c r="AE13" i="241"/>
  <c r="AD84" i="241"/>
  <c r="AE116" i="241"/>
  <c r="AD263" i="241"/>
  <c r="AE165" i="241"/>
  <c r="AE231" i="241"/>
  <c r="AD224" i="241"/>
  <c r="AE162" i="241"/>
  <c r="AD25" i="241"/>
  <c r="AD122" i="241"/>
  <c r="AE201" i="241"/>
  <c r="AD156" i="241"/>
  <c r="AD138" i="241"/>
  <c r="AE160" i="241"/>
  <c r="AD148" i="241"/>
  <c r="AD128" i="241"/>
  <c r="AE219" i="241"/>
  <c r="AD13" i="241"/>
  <c r="AD234" i="241"/>
  <c r="AE252" i="241"/>
  <c r="AH29" i="241"/>
  <c r="AI115" i="241"/>
  <c r="AH84" i="241"/>
  <c r="AH92" i="241"/>
  <c r="AH19" i="241"/>
  <c r="AH167" i="241"/>
  <c r="AI53" i="241"/>
  <c r="AH204" i="241"/>
  <c r="AH47" i="241"/>
  <c r="AI55" i="241"/>
  <c r="AI83" i="241"/>
  <c r="AI54" i="241"/>
  <c r="AI265" i="241"/>
  <c r="AH168" i="241"/>
  <c r="AI228" i="241"/>
  <c r="AH31" i="241"/>
  <c r="AI240" i="241"/>
  <c r="AI271" i="241"/>
  <c r="AI80" i="241"/>
  <c r="AH98" i="241"/>
  <c r="AI127" i="241"/>
  <c r="AI252" i="241"/>
  <c r="AH17" i="241"/>
  <c r="AI189" i="241"/>
  <c r="AI33" i="241"/>
  <c r="AH131" i="241"/>
  <c r="AI67" i="241"/>
  <c r="AI66" i="241"/>
  <c r="AI14" i="241"/>
  <c r="AH53" i="241"/>
  <c r="AH272" i="241"/>
  <c r="AI114" i="241"/>
  <c r="AI99" i="241"/>
  <c r="AI251" i="241"/>
  <c r="AH122" i="241"/>
  <c r="AI166" i="241"/>
  <c r="AI272" i="241"/>
  <c r="AH138" i="241"/>
  <c r="AI122" i="241"/>
  <c r="AH258" i="241"/>
  <c r="AI202" i="241"/>
  <c r="AI259" i="241"/>
  <c r="AM271" i="241"/>
  <c r="AL272" i="241"/>
  <c r="AM172" i="241"/>
  <c r="AM50" i="241"/>
  <c r="AL32" i="241"/>
  <c r="AM120" i="241"/>
  <c r="AL86" i="241"/>
  <c r="AM99" i="241"/>
  <c r="AM87" i="241"/>
  <c r="AL233" i="241"/>
  <c r="AM268" i="241"/>
  <c r="AM86" i="241"/>
  <c r="AL98" i="241"/>
  <c r="AL165" i="241"/>
  <c r="AL31" i="241"/>
  <c r="AM101" i="241"/>
  <c r="AM231" i="241"/>
  <c r="AM64" i="241"/>
  <c r="AM83" i="241"/>
  <c r="AL136" i="241"/>
  <c r="AL13" i="241"/>
  <c r="AM104" i="241"/>
  <c r="AM132" i="241"/>
  <c r="AM223" i="241"/>
  <c r="AM70" i="241"/>
  <c r="AM16" i="241"/>
  <c r="AL100" i="241"/>
  <c r="AM203" i="241"/>
  <c r="AL269" i="241"/>
  <c r="AL237" i="241"/>
  <c r="AM253" i="241"/>
  <c r="AM195" i="241"/>
  <c r="AL166" i="241"/>
  <c r="AM133" i="241"/>
  <c r="AL66" i="241"/>
  <c r="AL102" i="241"/>
  <c r="AM252" i="241"/>
  <c r="AL204" i="241"/>
  <c r="AL68" i="241"/>
  <c r="AL189" i="241"/>
  <c r="AL259" i="241"/>
  <c r="AM59" i="241"/>
  <c r="AP200" i="241"/>
  <c r="AP60" i="241"/>
  <c r="AQ30" i="241"/>
  <c r="AP262" i="241"/>
  <c r="AQ169" i="241"/>
  <c r="AP16" i="241"/>
  <c r="AP219" i="241"/>
  <c r="AP160" i="241"/>
  <c r="AP206" i="241"/>
  <c r="AQ118" i="241"/>
  <c r="AP166" i="241"/>
  <c r="AP251" i="241"/>
  <c r="AP61" i="241"/>
  <c r="AQ34" i="241"/>
  <c r="AQ52" i="241"/>
  <c r="AP172" i="241"/>
  <c r="AP33" i="241"/>
  <c r="AP216" i="241"/>
  <c r="AP203" i="241"/>
  <c r="AQ61" i="241"/>
  <c r="AQ102" i="241"/>
  <c r="AP190" i="241"/>
  <c r="AQ129" i="241"/>
  <c r="AP199" i="241"/>
  <c r="AQ82" i="241"/>
  <c r="AQ184" i="241"/>
  <c r="AQ168" i="241"/>
  <c r="AQ195" i="241"/>
  <c r="AQ20" i="241"/>
  <c r="AQ163" i="241"/>
  <c r="AQ272" i="241"/>
  <c r="AP148" i="241"/>
  <c r="AQ252" i="241"/>
  <c r="AQ31" i="241"/>
  <c r="AQ270" i="241"/>
  <c r="AP149" i="241"/>
  <c r="AP274" i="241"/>
  <c r="AP169" i="241"/>
  <c r="AQ263" i="241"/>
  <c r="AP221" i="241"/>
  <c r="AQ221" i="241"/>
  <c r="AP68" i="241"/>
  <c r="AU148" i="241"/>
  <c r="AT120" i="241"/>
  <c r="AU172" i="241"/>
  <c r="AU169" i="241"/>
  <c r="AU51" i="241"/>
  <c r="AU13" i="241"/>
  <c r="AT188" i="241"/>
  <c r="AU233" i="241"/>
  <c r="AT80" i="241"/>
  <c r="W93" i="241"/>
  <c r="V114" i="241"/>
  <c r="V250" i="241"/>
  <c r="W195" i="241"/>
  <c r="W157" i="241"/>
  <c r="V204" i="241"/>
  <c r="V152" i="241"/>
  <c r="V100" i="241"/>
  <c r="W237" i="241"/>
  <c r="W220" i="241"/>
  <c r="W15" i="241"/>
  <c r="V83" i="241"/>
  <c r="W225" i="241"/>
  <c r="W235" i="241"/>
  <c r="W200" i="241"/>
  <c r="W149" i="241"/>
  <c r="W117" i="241"/>
  <c r="W118" i="241"/>
  <c r="W168" i="241"/>
  <c r="W271" i="241"/>
  <c r="W236" i="241"/>
  <c r="Z26" i="241"/>
  <c r="AA114" i="241"/>
  <c r="AA223" i="241"/>
  <c r="Z136" i="241"/>
  <c r="AA21" i="241"/>
  <c r="Z229" i="241"/>
  <c r="Z220" i="241"/>
  <c r="AA36" i="241"/>
  <c r="AA89" i="241"/>
  <c r="Z58" i="241"/>
  <c r="Z185" i="241"/>
  <c r="Z256" i="241"/>
  <c r="AA132" i="241"/>
  <c r="AA20" i="241"/>
  <c r="AA272" i="241"/>
  <c r="Z197" i="241"/>
  <c r="AA183" i="241"/>
  <c r="AA54" i="241"/>
  <c r="Z114" i="241"/>
  <c r="AA155" i="241"/>
  <c r="Z165" i="241"/>
  <c r="AA182" i="241"/>
  <c r="AA203" i="241"/>
  <c r="AA187" i="241"/>
  <c r="Z63" i="241"/>
  <c r="Z18" i="241"/>
  <c r="AA70" i="241"/>
  <c r="Z54" i="241"/>
  <c r="AD204" i="241"/>
  <c r="AE168" i="241"/>
  <c r="AD206" i="241"/>
  <c r="AD64" i="241"/>
  <c r="AE234" i="241"/>
  <c r="AD231" i="241"/>
  <c r="AD228" i="241"/>
  <c r="AD126" i="241"/>
  <c r="AE93" i="241"/>
  <c r="AD197" i="241"/>
  <c r="AD229" i="241"/>
  <c r="AD60" i="241"/>
  <c r="AD83" i="241"/>
  <c r="AE225" i="241"/>
  <c r="AD187" i="241"/>
  <c r="AE129" i="241"/>
  <c r="AD68" i="241"/>
  <c r="AE182" i="241"/>
  <c r="AE31" i="241"/>
  <c r="AE119" i="241"/>
  <c r="AD132" i="241"/>
  <c r="AD223" i="241"/>
  <c r="AD202" i="241"/>
  <c r="AD155" i="241"/>
  <c r="AE81" i="241"/>
  <c r="AE18" i="241"/>
  <c r="AE134" i="241"/>
  <c r="AE30" i="241"/>
  <c r="AD117" i="241"/>
  <c r="AD250" i="241"/>
  <c r="AD85" i="241"/>
  <c r="AD58" i="241"/>
  <c r="AE253" i="241"/>
  <c r="AE189" i="241"/>
  <c r="AD200" i="241"/>
  <c r="AE220" i="241"/>
  <c r="AD252" i="241"/>
  <c r="AD196" i="241"/>
  <c r="AE262" i="241"/>
  <c r="AD67" i="241"/>
  <c r="AE14" i="241"/>
  <c r="AD134" i="241"/>
  <c r="AH235" i="241"/>
  <c r="AI200" i="241"/>
  <c r="AI86" i="241"/>
  <c r="AI129" i="241"/>
  <c r="AH116" i="241"/>
  <c r="AI29" i="241"/>
  <c r="AH237" i="241"/>
  <c r="AH265" i="241"/>
  <c r="AI149" i="241"/>
  <c r="AH184" i="241"/>
  <c r="AI201" i="241"/>
  <c r="AI89" i="241"/>
  <c r="AI36" i="241"/>
  <c r="AI185" i="241"/>
  <c r="AI250" i="241"/>
  <c r="AI182" i="241"/>
  <c r="AH99" i="241"/>
  <c r="AH133" i="241"/>
  <c r="AI126" i="241"/>
  <c r="AI104" i="241"/>
  <c r="AH13" i="241"/>
  <c r="AI95" i="241"/>
  <c r="AH68" i="241"/>
  <c r="AI253" i="241"/>
  <c r="AH64" i="241"/>
  <c r="AH161" i="241"/>
  <c r="AH188" i="241"/>
  <c r="AH127" i="241"/>
  <c r="AH34" i="241"/>
  <c r="AH189" i="241"/>
  <c r="AH61" i="241"/>
  <c r="AH134" i="241"/>
  <c r="AI217" i="241"/>
  <c r="AI64" i="241"/>
  <c r="AI26" i="241"/>
  <c r="AI256" i="241"/>
  <c r="AH89" i="241"/>
  <c r="AH50" i="241"/>
  <c r="AI197" i="241"/>
  <c r="AI262" i="241"/>
  <c r="AH233" i="241"/>
  <c r="AI18" i="241"/>
  <c r="AL85" i="241"/>
  <c r="AL89" i="241"/>
  <c r="AL21" i="241"/>
  <c r="AM167" i="241"/>
  <c r="AL250" i="241"/>
  <c r="AL53" i="241"/>
  <c r="AM34" i="241"/>
  <c r="AM27" i="241"/>
  <c r="AL235" i="241"/>
  <c r="AM82" i="241"/>
  <c r="AM199" i="241"/>
  <c r="AL33" i="241"/>
  <c r="AM149" i="241"/>
  <c r="AL52" i="241"/>
  <c r="AM206" i="241"/>
  <c r="AM189" i="241"/>
  <c r="AM128" i="241"/>
  <c r="AL185" i="241"/>
  <c r="AM31" i="241"/>
  <c r="AL18" i="241"/>
  <c r="AL67" i="241"/>
  <c r="AL58" i="241"/>
  <c r="AL219" i="241"/>
  <c r="AL265" i="241"/>
  <c r="AM100" i="241"/>
  <c r="AL20" i="241"/>
  <c r="AM131" i="241"/>
  <c r="AM183" i="241"/>
  <c r="AL149" i="241"/>
  <c r="AM13" i="241"/>
  <c r="AM36" i="241"/>
  <c r="AL138" i="241"/>
  <c r="AL46" i="241"/>
  <c r="AM216" i="241"/>
  <c r="AL222" i="241"/>
  <c r="AM197" i="241"/>
  <c r="AL258" i="241"/>
  <c r="AL148" i="241"/>
  <c r="AL120" i="241"/>
  <c r="AM228" i="241"/>
  <c r="AM18" i="241"/>
  <c r="AL36" i="241"/>
  <c r="AP47" i="241"/>
  <c r="AP87" i="241"/>
  <c r="AP235" i="241"/>
  <c r="AP55" i="241"/>
  <c r="AQ29" i="241"/>
  <c r="AP233" i="241"/>
  <c r="AQ80" i="241"/>
  <c r="AQ119" i="241"/>
  <c r="AQ152" i="241"/>
  <c r="AQ150" i="241"/>
  <c r="AP20" i="241"/>
  <c r="AQ265" i="241"/>
  <c r="AP121" i="241"/>
  <c r="AQ267" i="241"/>
  <c r="AP14" i="241"/>
  <c r="AQ269" i="241"/>
  <c r="AP123" i="241"/>
  <c r="AP271" i="241"/>
  <c r="AP95" i="241"/>
  <c r="AQ16" i="241"/>
  <c r="AP133" i="241"/>
  <c r="AQ223" i="241"/>
  <c r="AQ85" i="241"/>
  <c r="AQ117" i="241"/>
  <c r="AP197" i="241"/>
  <c r="AP269" i="241"/>
  <c r="AP153" i="241"/>
  <c r="AQ59" i="241"/>
  <c r="AP51" i="241"/>
  <c r="AP194" i="241"/>
  <c r="AP231" i="241"/>
  <c r="AQ49" i="241"/>
  <c r="AQ51" i="241"/>
  <c r="AQ95" i="241"/>
  <c r="AQ162" i="241"/>
  <c r="AP255" i="241"/>
  <c r="AQ219" i="241"/>
  <c r="AP259" i="241"/>
  <c r="AQ229" i="241"/>
  <c r="AQ224" i="241"/>
  <c r="AP240" i="241"/>
  <c r="AP265" i="241"/>
  <c r="AT263" i="241"/>
  <c r="AT169" i="241"/>
  <c r="AU269" i="241"/>
  <c r="AT25" i="241"/>
  <c r="AT149" i="241"/>
  <c r="AU26" i="241"/>
  <c r="AU267" i="241"/>
  <c r="AT85" i="241"/>
  <c r="V220" i="241"/>
  <c r="V271" i="241"/>
  <c r="V98" i="241"/>
  <c r="W188" i="241"/>
  <c r="V229" i="241"/>
  <c r="V138" i="241"/>
  <c r="W85" i="241"/>
  <c r="W133" i="241"/>
  <c r="V14" i="241"/>
  <c r="V219" i="241"/>
  <c r="V46" i="241"/>
  <c r="W228" i="241"/>
  <c r="W223" i="241"/>
  <c r="W265" i="241"/>
  <c r="W230" i="241"/>
  <c r="V231" i="241"/>
  <c r="V148" i="241"/>
  <c r="V149" i="241"/>
  <c r="V66" i="241"/>
  <c r="W30" i="241"/>
  <c r="V267" i="241"/>
  <c r="Z189" i="241"/>
  <c r="AA120" i="241"/>
  <c r="Z87" i="241"/>
  <c r="AA270" i="241"/>
  <c r="AA201" i="241"/>
  <c r="Z101" i="241"/>
  <c r="Z150" i="241"/>
  <c r="Z97" i="241"/>
  <c r="Z274" i="241"/>
  <c r="Z271" i="241"/>
  <c r="AA168" i="241"/>
  <c r="Z184" i="241"/>
  <c r="AA55" i="241"/>
  <c r="Z51" i="241"/>
  <c r="Z80" i="241"/>
  <c r="AA59" i="241"/>
  <c r="AA98" i="241"/>
  <c r="AA230" i="241"/>
  <c r="Z34" i="241"/>
  <c r="Z258" i="241"/>
  <c r="AA116" i="241"/>
  <c r="Z98" i="241"/>
  <c r="Z52" i="241"/>
  <c r="Z183" i="241"/>
  <c r="Z81" i="241"/>
  <c r="Z99" i="241"/>
  <c r="AA100" i="241"/>
  <c r="Z234" i="241"/>
  <c r="AD161" i="241"/>
  <c r="AE157" i="241"/>
  <c r="AD54" i="241"/>
  <c r="AE89" i="241"/>
  <c r="AE240" i="241"/>
  <c r="AE268" i="241"/>
  <c r="AE172" i="241"/>
  <c r="AE52" i="241"/>
  <c r="AD14" i="241"/>
  <c r="AD257" i="241"/>
  <c r="AD160" i="241"/>
  <c r="AE235" i="241"/>
  <c r="AD104" i="241"/>
  <c r="AE128" i="241"/>
  <c r="AE58" i="241"/>
  <c r="AD70" i="241"/>
  <c r="AD120" i="241"/>
  <c r="AE236" i="241"/>
  <c r="AE15" i="241"/>
  <c r="AE191" i="241"/>
  <c r="AD30" i="241"/>
  <c r="AE251" i="241"/>
  <c r="AD100" i="241"/>
  <c r="AE237" i="241"/>
  <c r="AD52" i="241"/>
  <c r="AE68" i="241"/>
  <c r="AD225" i="241"/>
  <c r="AD151" i="241"/>
  <c r="AD47" i="241"/>
  <c r="AE17" i="241"/>
  <c r="AE200" i="241"/>
  <c r="AE223" i="241"/>
  <c r="AE36" i="241"/>
  <c r="AE95" i="241"/>
  <c r="AD80" i="241"/>
  <c r="AD31" i="241"/>
  <c r="AE224" i="241"/>
  <c r="AD238" i="241"/>
  <c r="AE20" i="241"/>
  <c r="AD157" i="241"/>
  <c r="AD190" i="241"/>
  <c r="AE88" i="241"/>
  <c r="AI60" i="241"/>
  <c r="AI191" i="241"/>
  <c r="AH219" i="241"/>
  <c r="AH21" i="241"/>
  <c r="AI219" i="241"/>
  <c r="AI264" i="241"/>
  <c r="AH135" i="241"/>
  <c r="AH136" i="241"/>
  <c r="AH148" i="241"/>
  <c r="AI238" i="241"/>
  <c r="AH231" i="241"/>
  <c r="AH88" i="241"/>
  <c r="AH97" i="241"/>
  <c r="AH55" i="241"/>
  <c r="AH238" i="241"/>
  <c r="AI206" i="241"/>
  <c r="AH12" i="241"/>
  <c r="AH160" i="241"/>
  <c r="AI155" i="241"/>
  <c r="AH222" i="241"/>
  <c r="AH67" i="241"/>
  <c r="AI61" i="241"/>
  <c r="AI131" i="241"/>
  <c r="AI93" i="241"/>
  <c r="AI97" i="241"/>
  <c r="AI190" i="241"/>
  <c r="AI161" i="241"/>
  <c r="AH187" i="241"/>
  <c r="AI221" i="241"/>
  <c r="AI274" i="241"/>
  <c r="AH121" i="241"/>
  <c r="AI128" i="241"/>
  <c r="AI48" i="241"/>
  <c r="AH185" i="241"/>
  <c r="AI257" i="241"/>
  <c r="AH166" i="241"/>
  <c r="AI101" i="241"/>
  <c r="AI81" i="241"/>
  <c r="AH26" i="241"/>
  <c r="AI225" i="241"/>
  <c r="AH263" i="241"/>
  <c r="AH49" i="241"/>
  <c r="AM263" i="241"/>
  <c r="AM259" i="241"/>
  <c r="AM136" i="241"/>
  <c r="AL117" i="241"/>
  <c r="AM188" i="241"/>
  <c r="AM114" i="241"/>
  <c r="AL151" i="241"/>
  <c r="AL191" i="241"/>
  <c r="AM202" i="241"/>
  <c r="AL257" i="241"/>
  <c r="AM25" i="241"/>
  <c r="AL123" i="241"/>
  <c r="AM155" i="241"/>
  <c r="AL228" i="241"/>
  <c r="AL267" i="241"/>
  <c r="AL230" i="241"/>
  <c r="AM14" i="241"/>
  <c r="AL220" i="241"/>
  <c r="AM88" i="241"/>
  <c r="AL99" i="241"/>
  <c r="AM15" i="241"/>
  <c r="AM119" i="241"/>
  <c r="AM21" i="241"/>
  <c r="AM20" i="241"/>
  <c r="AL131" i="241"/>
  <c r="AL47" i="241"/>
  <c r="AM267" i="241"/>
  <c r="AM98" i="241"/>
  <c r="AL203" i="241"/>
  <c r="AL63" i="241"/>
  <c r="AL97" i="241"/>
  <c r="AM187" i="241"/>
  <c r="AL172" i="241"/>
  <c r="AL256" i="241"/>
  <c r="AL170" i="241"/>
  <c r="AL17" i="241"/>
  <c r="AM224" i="241"/>
  <c r="AM19" i="241"/>
  <c r="AM250" i="241"/>
  <c r="AM270" i="241"/>
  <c r="AL49" i="241"/>
  <c r="AM85" i="241"/>
  <c r="AQ233" i="241"/>
  <c r="AQ202" i="241"/>
  <c r="AQ250" i="241"/>
  <c r="AP82" i="241"/>
  <c r="AP86" i="241"/>
  <c r="AQ115" i="241"/>
  <c r="AP93" i="241"/>
  <c r="AQ101" i="241"/>
  <c r="AQ114" i="241"/>
  <c r="AQ104" i="241"/>
  <c r="AQ237" i="241"/>
  <c r="AP94" i="241"/>
  <c r="AQ182" i="241"/>
  <c r="AP150" i="241"/>
  <c r="AQ153" i="241"/>
  <c r="AP167" i="241"/>
  <c r="AP54" i="241"/>
  <c r="AP98" i="241"/>
  <c r="AQ14" i="241"/>
  <c r="AQ231" i="241"/>
  <c r="AP163" i="241"/>
  <c r="AQ271" i="241"/>
  <c r="AP195" i="241"/>
  <c r="AP258" i="241"/>
  <c r="AQ68" i="241"/>
  <c r="AQ87" i="241"/>
  <c r="AQ121" i="241"/>
  <c r="AQ203" i="241"/>
  <c r="AQ166" i="241"/>
  <c r="AQ259" i="241"/>
  <c r="AQ25" i="241"/>
  <c r="AP217" i="241"/>
  <c r="AP238" i="241"/>
  <c r="AQ253" i="241"/>
  <c r="AP225" i="241"/>
  <c r="AP50" i="241"/>
  <c r="AQ161" i="241"/>
  <c r="AQ225" i="241"/>
  <c r="AQ46" i="241"/>
  <c r="AP170" i="241"/>
  <c r="AP36" i="241"/>
  <c r="AQ17" i="241"/>
  <c r="AT118" i="241"/>
  <c r="AT18" i="241"/>
  <c r="AU118" i="241"/>
  <c r="AT88" i="241"/>
  <c r="AT165" i="241"/>
  <c r="AT60" i="241"/>
  <c r="AT17" i="241"/>
  <c r="AU200" i="241"/>
  <c r="AU63" i="241"/>
  <c r="B10" i="11"/>
  <c r="W128" i="241"/>
  <c r="V16" i="241"/>
  <c r="V154" i="241"/>
  <c r="V218" i="241"/>
  <c r="W33" i="241"/>
  <c r="W47" i="241"/>
  <c r="V12" i="241"/>
  <c r="V49" i="241"/>
  <c r="V13" i="241"/>
  <c r="V48" i="241"/>
  <c r="V21" i="241"/>
  <c r="W185" i="241"/>
  <c r="V128" i="241"/>
  <c r="V259" i="241"/>
  <c r="W234" i="241"/>
  <c r="W267" i="241"/>
  <c r="W148" i="241"/>
  <c r="V29" i="241"/>
  <c r="V116" i="241"/>
  <c r="W87" i="241"/>
  <c r="V101" i="241"/>
  <c r="AA202" i="241"/>
  <c r="Z263" i="241"/>
  <c r="Z68" i="241"/>
  <c r="Z231" i="241"/>
  <c r="Z21" i="241"/>
  <c r="Z216" i="241"/>
  <c r="AA134" i="241"/>
  <c r="Z225" i="241"/>
  <c r="Z31" i="241"/>
  <c r="AA188" i="241"/>
  <c r="AA85" i="241"/>
  <c r="Z196" i="241"/>
  <c r="AA274" i="241"/>
  <c r="AA166" i="241"/>
  <c r="AA117" i="241"/>
  <c r="AA268" i="241"/>
  <c r="AA167" i="241"/>
  <c r="AA61" i="241"/>
  <c r="AA34" i="241"/>
  <c r="Z156" i="241"/>
  <c r="Z48" i="241"/>
  <c r="AA169" i="241"/>
  <c r="Z228" i="241"/>
  <c r="AA267" i="241"/>
  <c r="Z219" i="241"/>
  <c r="Z182" i="241"/>
  <c r="Z161" i="241"/>
  <c r="AA233" i="241"/>
  <c r="AD118" i="241"/>
  <c r="AE188" i="241"/>
  <c r="AD150" i="241"/>
  <c r="AE84" i="241"/>
  <c r="AD182" i="241"/>
  <c r="AD131" i="241"/>
  <c r="AD233" i="241"/>
  <c r="AD270" i="241"/>
  <c r="AE271" i="241"/>
  <c r="AE34" i="241"/>
  <c r="AD220" i="241"/>
  <c r="AD123" i="241"/>
  <c r="AD230" i="241"/>
  <c r="AE204" i="241"/>
  <c r="AE118" i="241"/>
  <c r="AD258" i="241"/>
  <c r="AE250" i="241"/>
  <c r="AD183" i="241"/>
  <c r="AE264" i="241"/>
  <c r="AD17" i="241"/>
  <c r="AE167" i="241"/>
  <c r="AE64" i="241"/>
  <c r="AD265" i="241"/>
  <c r="AD101" i="241"/>
  <c r="AE274" i="241"/>
  <c r="AD165" i="241"/>
  <c r="AE99" i="241"/>
  <c r="AD21" i="241"/>
  <c r="AD153" i="241"/>
  <c r="AD102" i="241"/>
  <c r="AD29" i="241"/>
  <c r="AE149" i="241"/>
  <c r="AD97" i="241"/>
  <c r="AD129" i="241"/>
  <c r="AE51" i="241"/>
  <c r="AE206" i="241"/>
  <c r="AD88" i="241"/>
  <c r="AE98" i="241"/>
  <c r="AD51" i="241"/>
  <c r="AE218" i="241"/>
  <c r="AD217" i="241"/>
  <c r="AD53" i="241"/>
  <c r="AH230" i="241"/>
  <c r="AH66" i="241"/>
  <c r="AH165" i="241"/>
  <c r="AH257" i="241"/>
  <c r="AI204" i="241"/>
  <c r="AH16" i="241"/>
  <c r="AI135" i="241"/>
  <c r="AH20" i="241"/>
  <c r="AI120" i="241"/>
  <c r="AI169" i="241"/>
  <c r="AI199" i="241"/>
  <c r="AI49" i="241"/>
  <c r="AI156" i="241"/>
  <c r="AH155" i="241"/>
  <c r="R3" i="187"/>
  <c r="V224" i="241"/>
  <c r="V104" i="241"/>
  <c r="V68" i="241"/>
  <c r="V185" i="241"/>
  <c r="V64" i="241"/>
  <c r="V126" i="241"/>
  <c r="V36" i="241"/>
  <c r="W194" i="241"/>
  <c r="V157" i="241"/>
  <c r="W81" i="241"/>
  <c r="W82" i="241"/>
  <c r="V153" i="241"/>
  <c r="W67" i="241"/>
  <c r="V18" i="241"/>
  <c r="W83" i="241"/>
  <c r="V201" i="241"/>
  <c r="W172" i="241"/>
  <c r="V95" i="241"/>
  <c r="W264" i="241"/>
  <c r="W151" i="241"/>
  <c r="V262" i="241"/>
  <c r="Z122" i="241"/>
  <c r="AA194" i="241"/>
  <c r="Z65" i="241"/>
  <c r="AA151" i="241"/>
  <c r="AA82" i="241"/>
  <c r="AA150" i="241"/>
  <c r="AA157" i="241"/>
  <c r="Z118" i="241"/>
  <c r="AA206" i="241"/>
  <c r="Z129" i="241"/>
  <c r="AA195" i="241"/>
  <c r="Z70" i="241"/>
  <c r="Z201" i="241"/>
  <c r="AA196" i="241"/>
  <c r="AA27" i="241"/>
  <c r="AA237" i="241"/>
  <c r="Z255" i="241"/>
  <c r="AA99" i="241"/>
  <c r="E1" i="34"/>
  <c r="V235" i="241"/>
  <c r="W126" i="241"/>
  <c r="V225" i="241"/>
  <c r="V47" i="241"/>
  <c r="W97" i="241"/>
  <c r="W203" i="241"/>
  <c r="V102" i="241"/>
  <c r="W254" i="241"/>
  <c r="W272" i="241"/>
  <c r="W135" i="241"/>
  <c r="W136" i="241"/>
  <c r="V94" i="241"/>
  <c r="W13" i="241"/>
  <c r="V82" i="241"/>
  <c r="V81" i="241"/>
  <c r="V188" i="241"/>
  <c r="W202" i="241"/>
  <c r="W240" i="241"/>
  <c r="W132" i="241"/>
  <c r="V182" i="241"/>
  <c r="W101" i="241"/>
  <c r="Z160" i="241"/>
  <c r="Z253" i="241"/>
  <c r="AA122" i="241"/>
  <c r="AA30" i="241"/>
  <c r="AA136" i="241"/>
  <c r="Z117" i="241"/>
  <c r="AA33" i="241"/>
  <c r="Z126" i="241"/>
  <c r="Z267" i="241"/>
  <c r="Z206" i="241"/>
  <c r="Z84" i="241"/>
  <c r="AA221" i="241"/>
  <c r="AA14" i="241"/>
  <c r="AA256" i="241"/>
  <c r="Z195" i="241"/>
  <c r="Z116" i="241"/>
  <c r="Z250" i="241"/>
  <c r="AA104" i="241"/>
  <c r="AA66" i="241"/>
  <c r="V258" i="241"/>
  <c r="W115" i="241"/>
  <c r="AA189" i="241"/>
  <c r="Z66" i="241"/>
  <c r="Z155" i="241"/>
  <c r="Z251" i="241"/>
  <c r="AA199" i="241"/>
  <c r="Z169" i="241"/>
  <c r="AD18" i="241"/>
  <c r="AE216" i="241"/>
  <c r="AD154" i="241"/>
  <c r="AE120" i="241"/>
  <c r="AE238" i="241"/>
  <c r="AE12" i="241"/>
  <c r="AD251" i="241"/>
  <c r="AD55" i="241"/>
  <c r="AD185" i="241"/>
  <c r="AD87" i="241"/>
  <c r="AD167" i="241"/>
  <c r="AE184" i="241"/>
  <c r="AE269" i="241"/>
  <c r="AD267" i="241"/>
  <c r="AD34" i="241"/>
  <c r="AE270" i="241"/>
  <c r="AH262" i="241"/>
  <c r="AH123" i="241"/>
  <c r="AH85" i="241"/>
  <c r="AH24" i="241"/>
  <c r="AH217" i="241"/>
  <c r="AI160" i="241"/>
  <c r="AH59" i="241"/>
  <c r="AH252" i="241"/>
  <c r="AI138" i="241"/>
  <c r="AI168" i="241"/>
  <c r="AI223" i="241"/>
  <c r="AH271" i="241"/>
  <c r="AI31" i="241"/>
  <c r="AH224" i="241"/>
  <c r="AH163" i="241"/>
  <c r="AI63" i="241"/>
  <c r="AH81" i="241"/>
  <c r="AI47" i="241"/>
  <c r="AH100" i="241"/>
  <c r="AL194" i="241"/>
  <c r="AM134" i="241"/>
  <c r="AM92" i="241"/>
  <c r="AL84" i="241"/>
  <c r="AM126" i="241"/>
  <c r="AM170" i="241"/>
  <c r="AM121" i="241"/>
  <c r="AL162" i="241"/>
  <c r="AM255" i="241"/>
  <c r="AL132" i="241"/>
  <c r="AL225" i="241"/>
  <c r="AL240" i="241"/>
  <c r="AM190" i="241"/>
  <c r="AL190" i="241"/>
  <c r="AM138" i="241"/>
  <c r="AL61" i="241"/>
  <c r="AM55" i="241"/>
  <c r="AM32" i="241"/>
  <c r="AM97" i="241"/>
  <c r="AM162" i="241"/>
  <c r="AM254" i="241"/>
  <c r="AP18" i="241"/>
  <c r="AP65" i="241"/>
  <c r="AP116" i="241"/>
  <c r="AP118" i="241"/>
  <c r="AP26" i="241"/>
  <c r="AQ131" i="241"/>
  <c r="AQ236" i="241"/>
  <c r="AQ128" i="241"/>
  <c r="AP85" i="241"/>
  <c r="AP17" i="241"/>
  <c r="AQ199" i="241"/>
  <c r="AQ26" i="241"/>
  <c r="AQ234" i="241"/>
  <c r="AQ66" i="241"/>
  <c r="AQ256" i="241"/>
  <c r="AQ134" i="241"/>
  <c r="AP24" i="241"/>
  <c r="AQ36" i="241"/>
  <c r="AQ65" i="241"/>
  <c r="AQ100" i="241"/>
  <c r="AP63" i="241"/>
  <c r="AT203" i="241"/>
  <c r="AU262" i="241"/>
  <c r="AU153" i="241"/>
  <c r="V196" i="241"/>
  <c r="W55" i="241"/>
  <c r="AA186" i="241"/>
  <c r="AA48" i="241"/>
  <c r="AA257" i="241"/>
  <c r="Z272" i="241"/>
  <c r="Z135" i="241"/>
  <c r="AA190" i="241"/>
  <c r="AE70" i="241"/>
  <c r="AD168" i="241"/>
  <c r="AE259" i="241"/>
  <c r="AE263" i="241"/>
  <c r="AE54" i="241"/>
  <c r="AE151" i="241"/>
  <c r="AD272" i="241"/>
  <c r="AD94" i="241"/>
  <c r="AD172" i="241"/>
  <c r="AE148" i="241"/>
  <c r="AE195" i="241"/>
  <c r="AE50" i="241"/>
  <c r="AD149" i="241"/>
  <c r="AD189" i="241"/>
  <c r="AE166" i="241"/>
  <c r="AD92" i="241"/>
  <c r="AI15" i="241"/>
  <c r="AH196" i="241"/>
  <c r="AI119" i="241"/>
  <c r="AH60" i="241"/>
  <c r="AI269" i="241"/>
  <c r="AI220" i="241"/>
  <c r="AH250" i="241"/>
  <c r="AI132" i="241"/>
  <c r="AI65" i="241"/>
  <c r="AH199" i="241"/>
  <c r="AI46" i="241"/>
  <c r="AH156" i="241"/>
  <c r="AH270" i="241"/>
  <c r="AH216" i="241"/>
  <c r="AH223" i="241"/>
  <c r="AH225" i="241"/>
  <c r="AH95" i="241"/>
  <c r="AI134" i="241"/>
  <c r="AI133" i="241"/>
  <c r="AM148" i="241"/>
  <c r="AL82" i="241"/>
  <c r="AM153" i="241"/>
  <c r="AL199" i="241"/>
  <c r="AL30" i="241"/>
  <c r="AL48" i="241"/>
  <c r="AL50" i="241"/>
  <c r="AM47" i="241"/>
  <c r="AL15" i="241"/>
  <c r="AM123" i="241"/>
  <c r="AL150" i="241"/>
  <c r="AM33" i="241"/>
  <c r="AL221" i="241"/>
  <c r="AM93" i="241"/>
  <c r="AL188" i="241"/>
  <c r="AL121" i="241"/>
  <c r="AM274" i="241"/>
  <c r="AL217" i="241"/>
  <c r="AL19" i="241"/>
  <c r="AM26" i="241"/>
  <c r="AL29" i="241"/>
  <c r="AP228" i="241"/>
  <c r="AQ194" i="241"/>
  <c r="AQ235" i="241"/>
  <c r="AP21" i="241"/>
  <c r="AQ12" i="241"/>
  <c r="AP15" i="241"/>
  <c r="AP267" i="241"/>
  <c r="AQ204" i="241"/>
  <c r="AQ230" i="241"/>
  <c r="AP184" i="241"/>
  <c r="AQ33" i="241"/>
  <c r="AP132" i="241"/>
  <c r="AQ67" i="241"/>
  <c r="AP187" i="241"/>
  <c r="AQ217" i="241"/>
  <c r="AQ47" i="241"/>
  <c r="AP162" i="241"/>
  <c r="AP127" i="241"/>
  <c r="AQ24" i="241"/>
  <c r="AP131" i="241"/>
  <c r="AQ63" i="241"/>
  <c r="AT162" i="241"/>
  <c r="AT63" i="241"/>
  <c r="AT87" i="241"/>
  <c r="AT233" i="241"/>
  <c r="AU115" i="241"/>
  <c r="AU204" i="241"/>
  <c r="AT104" i="241"/>
  <c r="AU64" i="241"/>
  <c r="V264" i="241"/>
  <c r="W121" i="241"/>
  <c r="AA119" i="241"/>
  <c r="Z230" i="241"/>
  <c r="AA12" i="241"/>
  <c r="AA138" i="241"/>
  <c r="Z224" i="241"/>
  <c r="Z221" i="241"/>
  <c r="AD169" i="241"/>
  <c r="AD115" i="241"/>
  <c r="AD49" i="241"/>
  <c r="AD95" i="241"/>
  <c r="AE230" i="241"/>
  <c r="AE138" i="241"/>
  <c r="AE169" i="241"/>
  <c r="AD136" i="241"/>
  <c r="AE127" i="241"/>
  <c r="AE267" i="241"/>
  <c r="AD24" i="241"/>
  <c r="AD81" i="241"/>
  <c r="AE53" i="241"/>
  <c r="AD46" i="241"/>
  <c r="AE196" i="241"/>
  <c r="AE80" i="241"/>
  <c r="AI263" i="241"/>
  <c r="AI30" i="241"/>
  <c r="AI195" i="241"/>
  <c r="AI68" i="241"/>
  <c r="AH149" i="241"/>
  <c r="AH54" i="241"/>
  <c r="AI222" i="241"/>
  <c r="AI21" i="241"/>
  <c r="AH119" i="241"/>
  <c r="AH229" i="241"/>
  <c r="AI70" i="241"/>
  <c r="AI235" i="241"/>
  <c r="AH93" i="241"/>
  <c r="AI234" i="241"/>
  <c r="AI27" i="241"/>
  <c r="AH172" i="241"/>
  <c r="AH126" i="241"/>
  <c r="AH32" i="241"/>
  <c r="AI163" i="241"/>
  <c r="AL92" i="241"/>
  <c r="AL236" i="241"/>
  <c r="AL114" i="241"/>
  <c r="AL254" i="241"/>
  <c r="AL216" i="241"/>
  <c r="AL94" i="241"/>
  <c r="AL81" i="241"/>
  <c r="AM186" i="241"/>
  <c r="AM160" i="241"/>
  <c r="AL60" i="241"/>
  <c r="AL234" i="241"/>
  <c r="AM150" i="241"/>
  <c r="AM29" i="241"/>
  <c r="AL186" i="241"/>
  <c r="AM191" i="241"/>
  <c r="AM182" i="241"/>
  <c r="AM204" i="241"/>
  <c r="AL24" i="241"/>
  <c r="AL101" i="241"/>
  <c r="AL65" i="241"/>
  <c r="AM53" i="241"/>
  <c r="AP191" i="241"/>
  <c r="AP119" i="241"/>
  <c r="AQ183" i="241"/>
  <c r="AQ136" i="241"/>
  <c r="AQ156" i="241"/>
  <c r="AQ160" i="241"/>
  <c r="AQ189" i="241"/>
  <c r="AQ216" i="241"/>
  <c r="AQ99" i="241"/>
  <c r="AP128" i="241"/>
  <c r="AP64" i="241"/>
  <c r="AP122" i="241"/>
  <c r="AQ255" i="241"/>
  <c r="AP218" i="241"/>
  <c r="AP100" i="241"/>
  <c r="AQ167" i="241"/>
  <c r="AP253" i="241"/>
  <c r="AQ123" i="241"/>
  <c r="AQ84" i="241"/>
  <c r="AP161" i="241"/>
  <c r="AP229" i="241"/>
  <c r="AU25" i="241"/>
  <c r="AU132" i="241"/>
  <c r="AU202" i="241"/>
  <c r="AU58" i="241"/>
  <c r="AT168" i="241"/>
  <c r="AU120" i="241"/>
  <c r="AT68" i="241"/>
  <c r="AT185" i="241"/>
  <c r="AT229" i="241"/>
  <c r="AU66" i="241"/>
  <c r="AT254" i="241"/>
  <c r="AU83" i="241"/>
  <c r="AT86" i="241"/>
  <c r="AT65" i="241"/>
  <c r="AT206" i="241"/>
  <c r="AU168" i="241"/>
  <c r="AT264" i="241"/>
  <c r="AT166" i="241"/>
  <c r="AT64" i="241"/>
  <c r="AT161" i="241"/>
  <c r="AT81" i="241"/>
  <c r="AU152" i="241"/>
  <c r="AT151" i="241"/>
  <c r="AT128" i="241"/>
  <c r="AU29" i="241"/>
  <c r="AU235" i="241"/>
  <c r="AT100" i="241"/>
  <c r="AU254" i="241"/>
  <c r="AT99" i="241"/>
  <c r="AU188" i="241"/>
  <c r="AU253" i="241"/>
  <c r="AU99" i="241"/>
  <c r="AT134" i="241"/>
  <c r="AT148" i="241"/>
  <c r="AU256" i="241"/>
  <c r="AU82" i="241"/>
  <c r="AU59" i="241"/>
  <c r="AU92" i="241"/>
  <c r="AY222" i="241"/>
  <c r="AY36" i="241"/>
  <c r="AX55" i="241"/>
  <c r="W66" i="241"/>
  <c r="W52" i="241"/>
  <c r="V233" i="241"/>
  <c r="Z151" i="241"/>
  <c r="Z152" i="241"/>
  <c r="Z127" i="241"/>
  <c r="AA153" i="241"/>
  <c r="AA17" i="241"/>
  <c r="Z20" i="241"/>
  <c r="AE100" i="241"/>
  <c r="AE153" i="241"/>
  <c r="AE194" i="241"/>
  <c r="AD63" i="241"/>
  <c r="AE199" i="241"/>
  <c r="AD114" i="241"/>
  <c r="AE221" i="241"/>
  <c r="AD216" i="241"/>
  <c r="AD186" i="241"/>
  <c r="AE217" i="241"/>
  <c r="AE155" i="241"/>
  <c r="AE47" i="241"/>
  <c r="AD218" i="241"/>
  <c r="AD50" i="241"/>
  <c r="AE256" i="241"/>
  <c r="AI85" i="241"/>
  <c r="AI268" i="241"/>
  <c r="AH151" i="241"/>
  <c r="AI88" i="241"/>
  <c r="AH33" i="241"/>
  <c r="AH203" i="241"/>
  <c r="AH267" i="241"/>
  <c r="AH58" i="241"/>
  <c r="AI117" i="241"/>
  <c r="AH36" i="241"/>
  <c r="AI24" i="241"/>
  <c r="AH221" i="241"/>
  <c r="AI51" i="241"/>
  <c r="AH251" i="241"/>
  <c r="AH48" i="241"/>
  <c r="AH101" i="241"/>
  <c r="AH94" i="241"/>
  <c r="AH52" i="241"/>
  <c r="AH256" i="241"/>
  <c r="AI194" i="241"/>
  <c r="AM30" i="241"/>
  <c r="AL87" i="241"/>
  <c r="AL27" i="241"/>
  <c r="AM234" i="241"/>
  <c r="AL253" i="241"/>
  <c r="AM184" i="241"/>
  <c r="AM251" i="241"/>
  <c r="AL104" i="241"/>
  <c r="AL183" i="241"/>
  <c r="AL182" i="241"/>
  <c r="AM262" i="241"/>
  <c r="AL51" i="241"/>
  <c r="AM233" i="241"/>
  <c r="AM258" i="241"/>
  <c r="AM269" i="241"/>
  <c r="AM169" i="241"/>
  <c r="AL251" i="241"/>
  <c r="AM222" i="241"/>
  <c r="AL184" i="241"/>
  <c r="AM265" i="241"/>
  <c r="AM49" i="241"/>
  <c r="AP12" i="241"/>
  <c r="AQ18" i="241"/>
  <c r="AP49" i="241"/>
  <c r="AP138" i="241"/>
  <c r="AQ197" i="241"/>
  <c r="AQ127" i="241"/>
  <c r="AP99" i="241"/>
  <c r="AP165" i="241"/>
  <c r="AQ89" i="241"/>
  <c r="AQ170" i="241"/>
  <c r="AQ64" i="241"/>
  <c r="AQ222" i="241"/>
  <c r="AP182" i="241"/>
  <c r="AQ122" i="241"/>
  <c r="AP220" i="241"/>
  <c r="AQ132" i="241"/>
  <c r="AQ151" i="241"/>
  <c r="AQ191" i="241"/>
  <c r="AQ15" i="241"/>
  <c r="AQ19" i="241"/>
  <c r="AP59" i="241"/>
  <c r="AT253" i="241"/>
  <c r="AT24" i="241"/>
  <c r="AT184" i="241"/>
  <c r="AT191" i="241"/>
  <c r="AT135" i="241"/>
  <c r="AU151" i="241"/>
  <c r="AU274" i="241"/>
  <c r="AT219" i="241"/>
  <c r="AT12" i="241"/>
  <c r="AT97" i="241"/>
  <c r="AT13" i="241"/>
  <c r="AT101" i="241"/>
  <c r="AU34" i="241"/>
  <c r="AU49" i="241"/>
  <c r="AT61" i="241"/>
  <c r="AT53" i="241"/>
  <c r="AT224" i="241"/>
  <c r="AU199" i="241"/>
  <c r="AU97" i="241"/>
  <c r="AU190" i="241"/>
  <c r="AU240" i="241"/>
  <c r="AT240" i="241"/>
  <c r="AT54" i="241"/>
  <c r="AT201" i="241"/>
  <c r="AU55" i="241"/>
  <c r="AU265" i="241"/>
  <c r="AU133" i="241"/>
  <c r="AU191" i="241"/>
  <c r="AT262" i="241"/>
  <c r="AU68" i="241"/>
  <c r="AU60" i="241"/>
  <c r="AT271" i="241"/>
  <c r="AU237" i="241"/>
  <c r="AT172" i="241"/>
  <c r="AU15" i="241"/>
  <c r="AU136" i="241"/>
  <c r="AT83" i="241"/>
  <c r="AU32" i="241"/>
  <c r="AX102" i="241"/>
  <c r="W153" i="241"/>
  <c r="V166" i="241"/>
  <c r="W95" i="241"/>
  <c r="AA149" i="241"/>
  <c r="AA52" i="241"/>
  <c r="AA161" i="241"/>
  <c r="AA31" i="241"/>
  <c r="Z102" i="241"/>
  <c r="AA225" i="241"/>
  <c r="AE203" i="241"/>
  <c r="AE150" i="241"/>
  <c r="AD20" i="241"/>
  <c r="AD59" i="241"/>
  <c r="AD236" i="241"/>
  <c r="AD271" i="241"/>
  <c r="AE83" i="241"/>
  <c r="AE48" i="241"/>
  <c r="AD36" i="241"/>
  <c r="AE104" i="241"/>
  <c r="AE32" i="241"/>
  <c r="AE27" i="241"/>
  <c r="AE19" i="241"/>
  <c r="AD253" i="241"/>
  <c r="AE272" i="241"/>
  <c r="AI216" i="241"/>
  <c r="AH18" i="241"/>
  <c r="AH234" i="241"/>
  <c r="AI230" i="241"/>
  <c r="AH269" i="241"/>
  <c r="AH128" i="241"/>
  <c r="AH150" i="241"/>
  <c r="AI123" i="241"/>
  <c r="AH220" i="241"/>
  <c r="AH117" i="241"/>
  <c r="AI84" i="241"/>
  <c r="AI150" i="241"/>
  <c r="AH118" i="241"/>
  <c r="AI153" i="241"/>
  <c r="AH86" i="241"/>
  <c r="AI170" i="241"/>
  <c r="AI187" i="241"/>
  <c r="AH186" i="241"/>
  <c r="AH27" i="241"/>
  <c r="AI254" i="241"/>
  <c r="AL88" i="241"/>
  <c r="AL126" i="241"/>
  <c r="AL263" i="241"/>
  <c r="AL83" i="241"/>
  <c r="AM230" i="241"/>
  <c r="AM238" i="241"/>
  <c r="AM12" i="241"/>
  <c r="AM229" i="241"/>
  <c r="AM225" i="241"/>
  <c r="AM48" i="241"/>
  <c r="AL12" i="241"/>
  <c r="AM166" i="241"/>
  <c r="AL268" i="241"/>
  <c r="AM89" i="241"/>
  <c r="AL270" i="241"/>
  <c r="AL252" i="241"/>
  <c r="AM94" i="241"/>
  <c r="AL133" i="241"/>
  <c r="AM63" i="241"/>
  <c r="AM24" i="241"/>
  <c r="AL262" i="241"/>
  <c r="AQ13" i="241"/>
  <c r="AQ254" i="241"/>
  <c r="AP117" i="241"/>
  <c r="AP134" i="241"/>
  <c r="AQ138" i="241"/>
  <c r="AQ187" i="241"/>
  <c r="AQ53" i="241"/>
  <c r="AP183" i="241"/>
  <c r="AP97" i="241"/>
  <c r="AP126" i="241"/>
  <c r="AQ94" i="241"/>
  <c r="AQ240" i="241"/>
  <c r="AQ54" i="241"/>
  <c r="AQ262" i="241"/>
  <c r="AP13" i="241"/>
  <c r="AP53" i="241"/>
  <c r="AP25" i="241"/>
  <c r="AP204" i="241"/>
  <c r="AP46" i="241"/>
  <c r="AQ185" i="241"/>
  <c r="AP48" i="241"/>
  <c r="AU230" i="241"/>
  <c r="AU271" i="241"/>
  <c r="AT115" i="241"/>
  <c r="AT268" i="241"/>
  <c r="AU19" i="241"/>
  <c r="AT272" i="241"/>
  <c r="AU129" i="241"/>
  <c r="AU131" i="241"/>
  <c r="AT36" i="241"/>
  <c r="AT127" i="241"/>
  <c r="AT67" i="241"/>
  <c r="AT255" i="241"/>
  <c r="AT252" i="241"/>
  <c r="AT14" i="241"/>
  <c r="AU182" i="241"/>
  <c r="AT66" i="241"/>
  <c r="AT29" i="241"/>
  <c r="AT225" i="241"/>
  <c r="AT190" i="241"/>
  <c r="AT221" i="241"/>
  <c r="AT170" i="241"/>
  <c r="AU203" i="241"/>
  <c r="AT182" i="241"/>
  <c r="AU222" i="241"/>
  <c r="AT129" i="241"/>
  <c r="AT235" i="241"/>
  <c r="AU163" i="241"/>
  <c r="AT126" i="241"/>
  <c r="AT258" i="241"/>
  <c r="AU101" i="241"/>
  <c r="AU236" i="241"/>
  <c r="AT123" i="241"/>
  <c r="AT274" i="241"/>
  <c r="AT238" i="241"/>
  <c r="AT46" i="241"/>
  <c r="AT167" i="241"/>
  <c r="AU224" i="241"/>
  <c r="AT59" i="241"/>
  <c r="AY127" i="241"/>
  <c r="AX250" i="241"/>
  <c r="AY253" i="241"/>
  <c r="AX256" i="241"/>
  <c r="AX135" i="241"/>
  <c r="AX50" i="241"/>
  <c r="AY225" i="241"/>
  <c r="AY187" i="241"/>
  <c r="AY12" i="241"/>
  <c r="AY116" i="241"/>
  <c r="AY128" i="241"/>
  <c r="AY97" i="241"/>
  <c r="AY229" i="241"/>
  <c r="AX68" i="241"/>
  <c r="AX166" i="241"/>
  <c r="AY136" i="241"/>
  <c r="AY59" i="241"/>
  <c r="AY61" i="241"/>
  <c r="AY235" i="241"/>
  <c r="AX82" i="241"/>
  <c r="AY200" i="241"/>
  <c r="AX83" i="241"/>
  <c r="AY92" i="241"/>
  <c r="AX148" i="241"/>
  <c r="AX233" i="241"/>
  <c r="AX149" i="241"/>
  <c r="AY88" i="241"/>
  <c r="AX194" i="241"/>
  <c r="AX217" i="241"/>
  <c r="AX21" i="241"/>
  <c r="AX201" i="241"/>
  <c r="AX24" i="241"/>
  <c r="AY120" i="241"/>
  <c r="AX31" i="241"/>
  <c r="AY101" i="241"/>
  <c r="AY14" i="241"/>
  <c r="AY254" i="241"/>
  <c r="AX19" i="241"/>
  <c r="AY93" i="241"/>
  <c r="AY27" i="241"/>
  <c r="AY154" i="241"/>
  <c r="AX101" i="241"/>
  <c r="BB234" i="241"/>
  <c r="BC172" i="241"/>
  <c r="BB231" i="241"/>
  <c r="BC29" i="241"/>
  <c r="BC148" i="241"/>
  <c r="W197" i="241"/>
  <c r="V67" i="241"/>
  <c r="V206" i="241"/>
  <c r="Z170" i="241"/>
  <c r="Z188" i="241"/>
  <c r="AA271" i="241"/>
  <c r="AA251" i="241"/>
  <c r="AA84" i="241"/>
  <c r="AE24" i="241"/>
  <c r="AD152" i="241"/>
  <c r="AE229" i="241"/>
  <c r="AE115" i="241"/>
  <c r="AD222" i="241"/>
  <c r="AE21" i="241"/>
  <c r="AD89" i="241"/>
  <c r="AE131" i="241"/>
  <c r="AE94" i="241"/>
  <c r="AE61" i="241"/>
  <c r="AD162" i="241"/>
  <c r="AE197" i="241"/>
  <c r="AE255" i="241"/>
  <c r="AD219" i="241"/>
  <c r="AD274" i="241"/>
  <c r="AE228" i="241"/>
  <c r="AH264" i="241"/>
  <c r="AH30" i="241"/>
  <c r="AI229" i="241"/>
  <c r="AI136" i="241"/>
  <c r="AI237" i="241"/>
  <c r="AH153" i="241"/>
  <c r="AH183" i="241"/>
  <c r="AI94" i="241"/>
  <c r="AI196" i="241"/>
  <c r="AI16" i="241"/>
  <c r="AH169" i="241"/>
  <c r="AI32" i="241"/>
  <c r="AI58" i="241"/>
  <c r="AI151" i="241"/>
  <c r="AI270" i="241"/>
  <c r="AH152" i="241"/>
  <c r="AH157" i="241"/>
  <c r="AI17" i="241"/>
  <c r="AI148" i="241"/>
  <c r="AL34" i="241"/>
  <c r="AL154" i="241"/>
  <c r="AM221" i="241"/>
  <c r="AM257" i="241"/>
  <c r="AL25" i="241"/>
  <c r="AM80" i="241"/>
  <c r="AM118" i="241"/>
  <c r="AL127" i="241"/>
  <c r="AM116" i="241"/>
  <c r="AM237" i="241"/>
  <c r="AL163" i="241"/>
  <c r="AL153" i="241"/>
  <c r="AM256" i="241"/>
  <c r="AL93" i="241"/>
  <c r="AM163" i="241"/>
  <c r="AL129" i="241"/>
  <c r="AL264" i="241"/>
  <c r="AL156" i="241"/>
  <c r="AM218" i="241"/>
  <c r="AL134" i="241"/>
  <c r="AL115" i="241"/>
  <c r="AP263" i="241"/>
  <c r="AQ148" i="241"/>
  <c r="AQ32" i="241"/>
  <c r="AQ201" i="241"/>
  <c r="AQ126" i="241"/>
  <c r="AQ88" i="241"/>
  <c r="AP202" i="241"/>
  <c r="AQ257" i="241"/>
  <c r="AQ83" i="241"/>
  <c r="AP154" i="241"/>
  <c r="AP30" i="241"/>
  <c r="AP185" i="241"/>
  <c r="AQ228" i="241"/>
  <c r="AP201" i="241"/>
  <c r="AQ55" i="241"/>
  <c r="AP157" i="241"/>
  <c r="AQ264" i="241"/>
  <c r="AP19" i="241"/>
  <c r="AP196" i="241"/>
  <c r="AP136" i="241"/>
  <c r="AP84" i="241"/>
  <c r="AT220" i="241"/>
  <c r="AT195" i="241"/>
  <c r="AU67" i="241"/>
  <c r="AT200" i="241"/>
  <c r="AU217" i="241"/>
  <c r="AU21" i="241"/>
  <c r="AT267" i="241"/>
  <c r="AU184" i="241"/>
  <c r="AU157" i="241"/>
  <c r="AT196" i="241"/>
  <c r="AT187" i="241"/>
  <c r="AU218" i="241"/>
  <c r="AT55" i="241"/>
  <c r="AU31" i="241"/>
  <c r="AT30" i="241"/>
  <c r="AU255" i="241"/>
  <c r="AT33" i="241"/>
  <c r="AU219" i="241"/>
  <c r="AU160" i="241"/>
  <c r="AU46" i="241"/>
  <c r="AT155" i="241"/>
  <c r="AT47" i="241"/>
  <c r="AT98" i="241"/>
  <c r="AU206" i="241"/>
  <c r="AT217" i="241"/>
  <c r="AT89" i="241"/>
  <c r="AU102" i="241"/>
  <c r="AU259" i="241"/>
  <c r="AU88" i="241"/>
  <c r="AU52" i="241"/>
  <c r="AT26" i="241"/>
  <c r="AT16" i="241"/>
  <c r="AU251" i="241"/>
  <c r="AU138" i="241"/>
  <c r="AU20" i="241"/>
  <c r="AT136" i="241"/>
  <c r="AT257" i="241"/>
  <c r="AT34" i="241"/>
  <c r="AT270" i="241"/>
  <c r="W46" i="241"/>
  <c r="W204" i="241"/>
  <c r="W252" i="241"/>
  <c r="AA224" i="241"/>
  <c r="AA265" i="241"/>
  <c r="AA86" i="241"/>
  <c r="AA94" i="241"/>
  <c r="Z115" i="241"/>
  <c r="AE190" i="241"/>
  <c r="AD48" i="241"/>
  <c r="AE65" i="241"/>
  <c r="AE60" i="241"/>
  <c r="AE123" i="241"/>
  <c r="AD240" i="241"/>
  <c r="AD256" i="241"/>
  <c r="AD264" i="241"/>
  <c r="AE154" i="241"/>
  <c r="AD27" i="241"/>
  <c r="AE33" i="241"/>
  <c r="AD33" i="241"/>
  <c r="AE156" i="241"/>
  <c r="AD26" i="241"/>
  <c r="AE135" i="241"/>
  <c r="AD199" i="241"/>
  <c r="AI267" i="241"/>
  <c r="AH104" i="241"/>
  <c r="AI233" i="241"/>
  <c r="AI19" i="241"/>
  <c r="AH268" i="241"/>
  <c r="AH15" i="241"/>
  <c r="AH228" i="241"/>
  <c r="AI162" i="241"/>
  <c r="AH114" i="241"/>
  <c r="AI255" i="241"/>
  <c r="AH190" i="241"/>
  <c r="AI186" i="241"/>
  <c r="AH201" i="241"/>
  <c r="AI236" i="241"/>
  <c r="AI102" i="241"/>
  <c r="AH14" i="241"/>
  <c r="AI34" i="241"/>
  <c r="AI157" i="241"/>
  <c r="AH120" i="241"/>
  <c r="AL255" i="241"/>
  <c r="AL70" i="241"/>
  <c r="AM54" i="241"/>
  <c r="AL54" i="241"/>
  <c r="A2" i="187"/>
  <c r="Z36" i="241"/>
  <c r="AD191" i="241"/>
  <c r="AE132" i="241"/>
  <c r="AI116" i="241"/>
  <c r="AI87" i="241"/>
  <c r="AL218" i="241"/>
  <c r="AM66" i="241"/>
  <c r="AM217" i="241"/>
  <c r="AL201" i="241"/>
  <c r="AL229" i="241"/>
  <c r="AP234" i="241"/>
  <c r="AP254" i="241"/>
  <c r="AP81" i="241"/>
  <c r="AP101" i="241"/>
  <c r="AP188" i="241"/>
  <c r="AT114" i="241"/>
  <c r="AU24" i="241"/>
  <c r="AT256" i="241"/>
  <c r="AU229" i="241"/>
  <c r="AU272" i="241"/>
  <c r="AU128" i="241"/>
  <c r="AU183" i="241"/>
  <c r="AT48" i="241"/>
  <c r="AU70" i="241"/>
  <c r="AT19" i="241"/>
  <c r="AU155" i="241"/>
  <c r="AU17" i="241"/>
  <c r="AU18" i="241"/>
  <c r="AU116" i="241"/>
  <c r="AU16" i="241"/>
  <c r="AT20" i="241"/>
  <c r="AT230" i="241"/>
  <c r="AU170" i="241"/>
  <c r="AY160" i="241"/>
  <c r="AY157" i="241"/>
  <c r="AX271" i="241"/>
  <c r="AX155" i="241"/>
  <c r="AY25" i="241"/>
  <c r="AY52" i="241"/>
  <c r="AX119" i="241"/>
  <c r="AY131" i="241"/>
  <c r="AX13" i="241"/>
  <c r="AX15" i="241"/>
  <c r="AX129" i="241"/>
  <c r="AX153" i="241"/>
  <c r="AY196" i="241"/>
  <c r="AY191" i="241"/>
  <c r="AX219" i="241"/>
  <c r="AY17" i="241"/>
  <c r="AX259" i="241"/>
  <c r="AX85" i="241"/>
  <c r="AY228" i="241"/>
  <c r="AX199" i="241"/>
  <c r="AX27" i="241"/>
  <c r="AX236" i="241"/>
  <c r="AX34" i="241"/>
  <c r="AY102" i="241"/>
  <c r="AY67" i="241"/>
  <c r="AX167" i="241"/>
  <c r="AX104" i="241"/>
  <c r="AX184" i="241"/>
  <c r="AY151" i="241"/>
  <c r="AY236" i="241"/>
  <c r="AY240" i="241"/>
  <c r="AX49" i="241"/>
  <c r="AX224" i="241"/>
  <c r="AX220" i="241"/>
  <c r="AX154" i="241"/>
  <c r="AX258" i="241"/>
  <c r="AX81" i="241"/>
  <c r="BC161" i="241"/>
  <c r="BB201" i="241"/>
  <c r="BB20" i="241"/>
  <c r="BB86" i="241"/>
  <c r="BC258" i="241"/>
  <c r="BC30" i="241"/>
  <c r="BB189" i="241"/>
  <c r="BC231" i="241"/>
  <c r="BB60" i="241"/>
  <c r="BB269" i="241"/>
  <c r="BC94" i="241"/>
  <c r="BB222" i="241"/>
  <c r="BB61" i="241"/>
  <c r="BC126" i="241"/>
  <c r="BC47" i="241"/>
  <c r="BC270" i="241"/>
  <c r="BC66" i="241"/>
  <c r="BB254" i="241"/>
  <c r="BB253" i="241"/>
  <c r="BC234" i="241"/>
  <c r="BC32" i="241"/>
  <c r="BB160" i="241"/>
  <c r="BB64" i="241"/>
  <c r="BB161" i="241"/>
  <c r="BC89" i="241"/>
  <c r="BC201" i="241"/>
  <c r="BB101" i="241"/>
  <c r="BC48" i="241"/>
  <c r="BB194" i="241"/>
  <c r="BB152" i="241"/>
  <c r="BC19" i="241"/>
  <c r="BC80" i="241"/>
  <c r="BC81" i="241"/>
  <c r="BC256" i="241"/>
  <c r="BC82" i="241"/>
  <c r="S122" i="241"/>
  <c r="Z133" i="241"/>
  <c r="AD188" i="241"/>
  <c r="AE187" i="241"/>
  <c r="AH191" i="241"/>
  <c r="AI92" i="241"/>
  <c r="AL80" i="241"/>
  <c r="AM135" i="241"/>
  <c r="AM201" i="241"/>
  <c r="AM156" i="241"/>
  <c r="AM51" i="241"/>
  <c r="AP151" i="241"/>
  <c r="AQ206" i="241"/>
  <c r="AP223" i="241"/>
  <c r="AQ196" i="241"/>
  <c r="AQ116" i="241"/>
  <c r="AU186" i="241"/>
  <c r="AT259" i="241"/>
  <c r="AU27" i="241"/>
  <c r="AU12" i="241"/>
  <c r="AT204" i="241"/>
  <c r="AT222" i="241"/>
  <c r="AT32" i="241"/>
  <c r="AU81" i="241"/>
  <c r="AU100" i="241"/>
  <c r="AU195" i="241"/>
  <c r="AT119" i="241"/>
  <c r="AT84" i="241"/>
  <c r="AT49" i="241"/>
  <c r="AT231" i="241"/>
  <c r="AT117" i="241"/>
  <c r="AU53" i="241"/>
  <c r="AU263" i="241"/>
  <c r="AU122" i="241"/>
  <c r="AX228" i="241"/>
  <c r="AY33" i="241"/>
  <c r="AX160" i="241"/>
  <c r="AX80" i="241"/>
  <c r="AY129" i="241"/>
  <c r="AY188" i="241"/>
  <c r="AY170" i="241"/>
  <c r="AY270" i="241"/>
  <c r="AX47" i="241"/>
  <c r="AX251" i="241"/>
  <c r="AX163" i="241"/>
  <c r="AY224" i="241"/>
  <c r="AY15" i="241"/>
  <c r="AX126" i="241"/>
  <c r="AY98" i="241"/>
  <c r="AX84" i="241"/>
  <c r="AX18" i="241"/>
  <c r="AY230" i="241"/>
  <c r="AY65" i="241"/>
  <c r="AY138" i="241"/>
  <c r="AX87" i="241"/>
  <c r="AY269" i="241"/>
  <c r="AY197" i="241"/>
  <c r="AX100" i="241"/>
  <c r="AY81" i="241"/>
  <c r="AX255" i="241"/>
  <c r="AY49" i="241"/>
  <c r="AY217" i="241"/>
  <c r="AX182" i="241"/>
  <c r="AX267" i="241"/>
  <c r="AY95" i="241"/>
  <c r="AX132" i="241"/>
  <c r="AX98" i="241"/>
  <c r="AX33" i="241"/>
  <c r="AX218" i="241"/>
  <c r="AX88" i="241"/>
  <c r="BB118" i="241"/>
  <c r="BB258" i="241"/>
  <c r="BB233" i="241"/>
  <c r="BB186" i="241"/>
  <c r="BB104" i="241"/>
  <c r="BC219" i="241"/>
  <c r="BB151" i="241"/>
  <c r="BB99" i="241"/>
  <c r="BB153" i="241"/>
  <c r="BC93" i="241"/>
  <c r="BC27" i="241"/>
  <c r="BC154" i="241"/>
  <c r="BC149" i="241"/>
  <c r="BB121" i="241"/>
  <c r="BB50" i="241"/>
  <c r="BB252" i="241"/>
  <c r="BB30" i="241"/>
  <c r="BB97" i="241"/>
  <c r="BB13" i="241"/>
  <c r="BB168" i="241"/>
  <c r="BB150" i="241"/>
  <c r="BC98" i="241"/>
  <c r="BC225" i="241"/>
  <c r="BC97" i="241"/>
  <c r="BC190" i="241"/>
  <c r="BC120" i="241"/>
  <c r="BB34" i="241"/>
  <c r="BB191" i="241"/>
  <c r="BC102" i="241"/>
  <c r="BC259" i="241"/>
  <c r="BC31" i="241"/>
  <c r="BB126" i="241"/>
  <c r="BC104" i="241"/>
  <c r="BC135" i="241"/>
  <c r="BC15" i="241"/>
  <c r="BC136" i="241"/>
  <c r="R231" i="241"/>
  <c r="AA197" i="241"/>
  <c r="AD195" i="241"/>
  <c r="AE87" i="241"/>
  <c r="AH218" i="241"/>
  <c r="AI25" i="241"/>
  <c r="AM60" i="241"/>
  <c r="AL271" i="241"/>
  <c r="AM196" i="241"/>
  <c r="AL122" i="241"/>
  <c r="AM84" i="241"/>
  <c r="AP104" i="241"/>
  <c r="AP252" i="241"/>
  <c r="AQ154" i="241"/>
  <c r="AP67" i="241"/>
  <c r="AP70" i="241"/>
  <c r="AU84" i="241"/>
  <c r="AU47" i="241"/>
  <c r="AT154" i="241"/>
  <c r="AU36" i="241"/>
  <c r="AT138" i="241"/>
  <c r="AU264" i="241"/>
  <c r="AT237" i="241"/>
  <c r="AU135" i="241"/>
  <c r="AT131" i="241"/>
  <c r="AU61" i="241"/>
  <c r="AU216" i="241"/>
  <c r="AT202" i="241"/>
  <c r="AU194" i="241"/>
  <c r="AT92" i="241"/>
  <c r="AU114" i="241"/>
  <c r="AU117" i="241"/>
  <c r="AT21" i="241"/>
  <c r="AU270" i="241"/>
  <c r="AX93" i="241"/>
  <c r="AX66" i="241"/>
  <c r="AY220" i="241"/>
  <c r="AX30" i="241"/>
  <c r="AY66" i="241"/>
  <c r="AX152" i="241"/>
  <c r="AX92" i="241"/>
  <c r="AX99" i="241"/>
  <c r="AX231" i="241"/>
  <c r="AY223" i="241"/>
  <c r="AY133" i="241"/>
  <c r="AX165" i="241"/>
  <c r="AX70" i="241"/>
  <c r="AY167" i="241"/>
  <c r="AX188" i="241"/>
  <c r="AX202" i="241"/>
  <c r="AY115" i="241"/>
  <c r="AX186" i="241"/>
  <c r="AY195" i="241"/>
  <c r="AY262" i="241"/>
  <c r="AY148" i="241"/>
  <c r="AY58" i="241"/>
  <c r="AY16" i="241"/>
  <c r="AY18" i="241"/>
  <c r="AY199" i="241"/>
  <c r="AY55" i="241"/>
  <c r="AY264" i="241"/>
  <c r="AY271" i="241"/>
  <c r="AX206" i="241"/>
  <c r="AX162" i="241"/>
  <c r="AY183" i="241"/>
  <c r="AX117" i="241"/>
  <c r="AY255" i="241"/>
  <c r="AX123" i="241"/>
  <c r="AY251" i="241"/>
  <c r="AX216" i="241"/>
  <c r="BC267" i="241"/>
  <c r="BC268" i="241"/>
  <c r="BB271" i="241"/>
  <c r="BC85" i="241"/>
  <c r="BC170" i="241"/>
  <c r="BB59" i="241"/>
  <c r="BC87" i="241"/>
  <c r="BB14" i="241"/>
  <c r="BC197" i="241"/>
  <c r="BC153" i="241"/>
  <c r="BB58" i="241"/>
  <c r="BB185" i="241"/>
  <c r="BC21" i="241"/>
  <c r="BC206" i="241"/>
  <c r="BC155" i="241"/>
  <c r="BC34" i="241"/>
  <c r="BC63" i="241"/>
  <c r="BB127" i="241"/>
  <c r="BB67" i="241"/>
  <c r="BC68" i="241"/>
  <c r="BC67" i="241"/>
  <c r="BC128" i="241"/>
  <c r="BB256" i="241"/>
  <c r="BB190" i="241"/>
  <c r="BB221" i="241"/>
  <c r="BB225" i="241"/>
  <c r="BB116" i="241"/>
  <c r="BC252" i="241"/>
  <c r="BB133" i="241"/>
  <c r="BC18" i="241"/>
  <c r="BC162" i="241"/>
  <c r="BC49" i="241"/>
  <c r="BC134" i="241"/>
  <c r="BB166" i="241"/>
  <c r="BB46" i="241"/>
  <c r="BB167" i="241"/>
  <c r="BC60" i="241"/>
  <c r="BB17" i="241"/>
  <c r="BC17" i="241"/>
  <c r="BB169" i="241"/>
  <c r="BB25" i="241"/>
  <c r="BB129" i="241"/>
  <c r="BG187" i="241"/>
  <c r="BG229" i="241"/>
  <c r="BF183" i="241"/>
  <c r="BF50" i="241"/>
  <c r="BG206" i="241"/>
  <c r="BF94" i="241"/>
  <c r="BG225" i="241"/>
  <c r="BG204" i="241"/>
  <c r="BF29" i="241"/>
  <c r="BF114" i="241"/>
  <c r="BG58" i="241"/>
  <c r="BF127" i="241"/>
  <c r="BG17" i="241"/>
  <c r="BF55" i="241"/>
  <c r="BG165" i="241"/>
  <c r="BF25" i="241"/>
  <c r="BG184" i="241"/>
  <c r="V237" i="241"/>
  <c r="AE265" i="241"/>
  <c r="AE102" i="241"/>
  <c r="AH197" i="241"/>
  <c r="AI20" i="241"/>
  <c r="AH254" i="241"/>
  <c r="AL197" i="241"/>
  <c r="AL95" i="241"/>
  <c r="AL161" i="241"/>
  <c r="AL55" i="241"/>
  <c r="AM194" i="241"/>
  <c r="AP88" i="241"/>
  <c r="AP32" i="241"/>
  <c r="AQ86" i="241"/>
  <c r="AP189" i="241"/>
  <c r="AQ70" i="241"/>
  <c r="AU126" i="241"/>
  <c r="AU221" i="241"/>
  <c r="AT216" i="241"/>
  <c r="AU156" i="241"/>
  <c r="AU185" i="241"/>
  <c r="AU86" i="241"/>
  <c r="AU225" i="241"/>
  <c r="AT15" i="241"/>
  <c r="AT132" i="241"/>
  <c r="AT189" i="241"/>
  <c r="AT160" i="241"/>
  <c r="AU48" i="241"/>
  <c r="AU65" i="241"/>
  <c r="AU149" i="241"/>
  <c r="AU123" i="241"/>
  <c r="AU250" i="241"/>
  <c r="AT197" i="241"/>
  <c r="AU134" i="241"/>
  <c r="AX53" i="241"/>
  <c r="AY272" i="241"/>
  <c r="AX64" i="241"/>
  <c r="AY156" i="241"/>
  <c r="AY68" i="241"/>
  <c r="AX253" i="241"/>
  <c r="AX235" i="241"/>
  <c r="AY218" i="241"/>
  <c r="AY85" i="241"/>
  <c r="AY70" i="241"/>
  <c r="AY259" i="241"/>
  <c r="AY257" i="241"/>
  <c r="AX136" i="241"/>
  <c r="AX65" i="241"/>
  <c r="AY121" i="241"/>
  <c r="AY265" i="241"/>
  <c r="AY169" i="241"/>
  <c r="AY119" i="241"/>
  <c r="AY252" i="241"/>
  <c r="AX20" i="241"/>
  <c r="AY172" i="241"/>
  <c r="AY118" i="241"/>
  <c r="AY234" i="241"/>
  <c r="AY194" i="241"/>
  <c r="AX51" i="241"/>
  <c r="AX268" i="241"/>
  <c r="AY132" i="241"/>
  <c r="AY30" i="241"/>
  <c r="AX272" i="241"/>
  <c r="AY231" i="241"/>
  <c r="AY50" i="241"/>
  <c r="AX59" i="241"/>
  <c r="AY186" i="241"/>
  <c r="AY184" i="241"/>
  <c r="AY64" i="241"/>
  <c r="AY34" i="241"/>
  <c r="BB238" i="241"/>
  <c r="BC53" i="241"/>
  <c r="BB170" i="241"/>
  <c r="BC117" i="241"/>
  <c r="BB148" i="241"/>
  <c r="BC264" i="241"/>
  <c r="BB182" i="241"/>
  <c r="BC262" i="241"/>
  <c r="BB240" i="241"/>
  <c r="BB220" i="241"/>
  <c r="BC123" i="241"/>
  <c r="BC221" i="241"/>
  <c r="BB119" i="241"/>
  <c r="BB229" i="241"/>
  <c r="BB80" i="241"/>
  <c r="BB65" i="241"/>
  <c r="BB156" i="241"/>
  <c r="BC156" i="241"/>
  <c r="BB157" i="241"/>
  <c r="BB235" i="241"/>
  <c r="BC195" i="241"/>
  <c r="BC188" i="241"/>
  <c r="BB15" i="241"/>
  <c r="BC223" i="241"/>
  <c r="BB199" i="241"/>
  <c r="BB135" i="241"/>
  <c r="BC25" i="241"/>
  <c r="BB12" i="241"/>
  <c r="BB163" i="241"/>
  <c r="BB49" i="241"/>
  <c r="BB270" i="241"/>
  <c r="BC14" i="241"/>
  <c r="BB165" i="241"/>
  <c r="BC199" i="241"/>
  <c r="BB70" i="241"/>
  <c r="BB197" i="241"/>
  <c r="BB204" i="241"/>
  <c r="BB93" i="241"/>
  <c r="BB84" i="241"/>
  <c r="BB259" i="241"/>
  <c r="BC54" i="241"/>
  <c r="BB228" i="241"/>
  <c r="BG127" i="241"/>
  <c r="BG199" i="241"/>
  <c r="BG152" i="241"/>
  <c r="BG101" i="241"/>
  <c r="BG182" i="241"/>
  <c r="BF64" i="241"/>
  <c r="BF196" i="241"/>
  <c r="BG255" i="241"/>
  <c r="BF270" i="241"/>
  <c r="BF162" i="241"/>
  <c r="BG269" i="241"/>
  <c r="BF97" i="241"/>
  <c r="BG262" i="241"/>
  <c r="BG267" i="241"/>
  <c r="BF63" i="241"/>
  <c r="BG233" i="241"/>
  <c r="BF123" i="241"/>
  <c r="V167" i="241"/>
  <c r="AD259" i="241"/>
  <c r="AE26" i="241"/>
  <c r="AI59" i="241"/>
  <c r="AI188" i="241"/>
  <c r="AI52" i="241"/>
  <c r="AM67" i="241"/>
  <c r="AL195" i="241"/>
  <c r="AM200" i="241"/>
  <c r="AM154" i="241"/>
  <c r="AQ155" i="241"/>
  <c r="AP83" i="241"/>
  <c r="AQ93" i="241"/>
  <c r="AP168" i="241"/>
  <c r="AQ258" i="241"/>
  <c r="AP129" i="241"/>
  <c r="AT82" i="241"/>
  <c r="AT156" i="241"/>
  <c r="AT122" i="241"/>
  <c r="AT94" i="241"/>
  <c r="AU50" i="241"/>
  <c r="AU189" i="241"/>
  <c r="AT269" i="241"/>
  <c r="AU220" i="241"/>
  <c r="AT95" i="241"/>
  <c r="AT183" i="241"/>
  <c r="AU238" i="241"/>
  <c r="AT133" i="241"/>
  <c r="AT234" i="241"/>
  <c r="AT153" i="241"/>
  <c r="AU94" i="241"/>
  <c r="AT51" i="241"/>
  <c r="AU257" i="241"/>
  <c r="AU121" i="241"/>
  <c r="AX26" i="241"/>
  <c r="AX63" i="241"/>
  <c r="AX190" i="241"/>
  <c r="AX254" i="241"/>
  <c r="AY162" i="241"/>
  <c r="AX156" i="241"/>
  <c r="AY274" i="241"/>
  <c r="AX221" i="241"/>
  <c r="AX229" i="241"/>
  <c r="AY190" i="241"/>
  <c r="AX264" i="241"/>
  <c r="AX128" i="241"/>
  <c r="AX230" i="241"/>
  <c r="AY216" i="241"/>
  <c r="AY204" i="241"/>
  <c r="AY24" i="241"/>
  <c r="AX200" i="241"/>
  <c r="AX86" i="241"/>
  <c r="AX32" i="241"/>
  <c r="AY53" i="241"/>
  <c r="AY202" i="241"/>
  <c r="AX203" i="241"/>
  <c r="AY83" i="241"/>
  <c r="AY161" i="241"/>
  <c r="AY166" i="241"/>
  <c r="AX240" i="241"/>
  <c r="AX17" i="241"/>
  <c r="AY60" i="241"/>
  <c r="AX61" i="241"/>
  <c r="AX52" i="241"/>
  <c r="AY48" i="241"/>
  <c r="AX225" i="241"/>
  <c r="AY126" i="241"/>
  <c r="AY238" i="241"/>
  <c r="AY94" i="241"/>
  <c r="AX262" i="241"/>
  <c r="BC202" i="241"/>
  <c r="BB27" i="241"/>
  <c r="BC116" i="241"/>
  <c r="BB87" i="241"/>
  <c r="BC58" i="241"/>
  <c r="BB24" i="241"/>
  <c r="BB31" i="241"/>
  <c r="BC13" i="241"/>
  <c r="BC92" i="241"/>
  <c r="BB33" i="241"/>
  <c r="BB154" i="241"/>
  <c r="BC138" i="241"/>
  <c r="BB54" i="241"/>
  <c r="BC250" i="241"/>
  <c r="BC222" i="241"/>
  <c r="BB95" i="241"/>
  <c r="BC189" i="241"/>
  <c r="BB187" i="241"/>
  <c r="BC218" i="241"/>
  <c r="BB188" i="241"/>
  <c r="BB224" i="241"/>
  <c r="BB219" i="241"/>
  <c r="BC160" i="241"/>
  <c r="BC46" i="241"/>
  <c r="BB122" i="241"/>
  <c r="BC59" i="241"/>
  <c r="BC150" i="241"/>
  <c r="BB36" i="241"/>
  <c r="BB223" i="241"/>
  <c r="BC194" i="241"/>
  <c r="BC271" i="241"/>
  <c r="BB26" i="241"/>
  <c r="BB195" i="241"/>
  <c r="BC20" i="241"/>
  <c r="BB136" i="241"/>
  <c r="BB257" i="241"/>
  <c r="BC119" i="241"/>
  <c r="BC83" i="241"/>
  <c r="BB202" i="241"/>
  <c r="BB18" i="241"/>
  <c r="BB85" i="241"/>
  <c r="BF185" i="241"/>
  <c r="BG97" i="241"/>
  <c r="BF84" i="241"/>
  <c r="BG92" i="241"/>
  <c r="BG155" i="241"/>
  <c r="BF121" i="241"/>
  <c r="BG33" i="241"/>
  <c r="BF166" i="241"/>
  <c r="BG195" i="241"/>
  <c r="BF240" i="241"/>
  <c r="BF53" i="241"/>
  <c r="BF236" i="241"/>
  <c r="BG66" i="241"/>
  <c r="BF222" i="241"/>
  <c r="BF152" i="241"/>
  <c r="BF117" i="241"/>
  <c r="BF118" i="241"/>
  <c r="BF33" i="241"/>
  <c r="BF199" i="241"/>
  <c r="BF234" i="241"/>
  <c r="BF122" i="241"/>
  <c r="BG136" i="241"/>
  <c r="BF54" i="241"/>
  <c r="BF66" i="241"/>
  <c r="BF165" i="241"/>
  <c r="BG49" i="241"/>
  <c r="BG254" i="241"/>
  <c r="BF263" i="241"/>
  <c r="BF184" i="241"/>
  <c r="BG183" i="241"/>
  <c r="BG197" i="241"/>
  <c r="BG86" i="241"/>
  <c r="BG46" i="241"/>
  <c r="BF115" i="241"/>
  <c r="BF30" i="241"/>
  <c r="BG98" i="241"/>
  <c r="BF138" i="241"/>
  <c r="BF13" i="241"/>
  <c r="BG196" i="241"/>
  <c r="BF271" i="241"/>
  <c r="BG216" i="241"/>
  <c r="BF128" i="241"/>
  <c r="BJ224" i="241"/>
  <c r="BK254" i="241"/>
  <c r="BJ29" i="241"/>
  <c r="BK194" i="241"/>
  <c r="BK133" i="241"/>
  <c r="BJ52" i="241"/>
  <c r="BJ83" i="241"/>
  <c r="BJ259" i="241"/>
  <c r="BJ95" i="241"/>
  <c r="BJ148" i="241"/>
  <c r="BK95" i="241"/>
  <c r="BK98" i="241"/>
  <c r="BK89" i="241"/>
  <c r="BK238" i="241"/>
  <c r="Z194" i="241"/>
  <c r="AE186" i="241"/>
  <c r="AD166" i="241"/>
  <c r="AH46" i="241"/>
  <c r="AH83" i="241"/>
  <c r="AM65" i="241"/>
  <c r="AM58" i="241"/>
  <c r="AM102" i="241"/>
  <c r="AM185" i="241"/>
  <c r="AL157" i="241"/>
  <c r="AP92" i="241"/>
  <c r="AQ98" i="241"/>
  <c r="AQ27" i="241"/>
  <c r="AQ200" i="241"/>
  <c r="AP155" i="241"/>
  <c r="AU93" i="241"/>
  <c r="AU258" i="241"/>
  <c r="AU197" i="241"/>
  <c r="AU162" i="241"/>
  <c r="AU187" i="241"/>
  <c r="AT152" i="241"/>
  <c r="AU87" i="241"/>
  <c r="AU234" i="241"/>
  <c r="AU33" i="241"/>
  <c r="AU80" i="241"/>
  <c r="AU30" i="241"/>
  <c r="AT218" i="241"/>
  <c r="AT223" i="241"/>
  <c r="AU104" i="241"/>
  <c r="AT250" i="241"/>
  <c r="AT116" i="241"/>
  <c r="AU196" i="241"/>
  <c r="AU119" i="241"/>
  <c r="AT93" i="241"/>
  <c r="AX138" i="241"/>
  <c r="AX134" i="241"/>
  <c r="AX161" i="241"/>
  <c r="AY31" i="241"/>
  <c r="AY63" i="241"/>
  <c r="AX157" i="241"/>
  <c r="AX94" i="241"/>
  <c r="AX36" i="241"/>
  <c r="AY99" i="241"/>
  <c r="AY149" i="241"/>
  <c r="AX234" i="241"/>
  <c r="AY135" i="241"/>
  <c r="AX197" i="241"/>
  <c r="AY13" i="241"/>
  <c r="AX89" i="241"/>
  <c r="AX115" i="241"/>
  <c r="AX25" i="241"/>
  <c r="AY185" i="241"/>
  <c r="AY152" i="241"/>
  <c r="AX172" i="241"/>
  <c r="AY51" i="241"/>
  <c r="AX114" i="241"/>
  <c r="AX122" i="241"/>
  <c r="AY122" i="241"/>
  <c r="AX46" i="241"/>
  <c r="AY267" i="241"/>
  <c r="AY89" i="241"/>
  <c r="AX54" i="241"/>
  <c r="AY182" i="241"/>
  <c r="AX29" i="241"/>
  <c r="AX223" i="241"/>
  <c r="AY134" i="241"/>
  <c r="AX60" i="241"/>
  <c r="AX58" i="241"/>
  <c r="AX222" i="241"/>
  <c r="AY32" i="241"/>
  <c r="BC26" i="241"/>
  <c r="BB236" i="241"/>
  <c r="BB114" i="241"/>
  <c r="BC204" i="241"/>
  <c r="BB68" i="241"/>
  <c r="BB184" i="241"/>
  <c r="BC236" i="241"/>
  <c r="BC86" i="241"/>
  <c r="BB183" i="241"/>
  <c r="BC184" i="241"/>
  <c r="BC251" i="241"/>
  <c r="BB92" i="241"/>
  <c r="BB206" i="241"/>
  <c r="BB81" i="241"/>
  <c r="BC55" i="241"/>
  <c r="BC216" i="241"/>
  <c r="BC12" i="241"/>
  <c r="BC127" i="241"/>
  <c r="BC131" i="241"/>
  <c r="BB63" i="241"/>
  <c r="BB216" i="241"/>
  <c r="BC99" i="241"/>
  <c r="BB251" i="241"/>
  <c r="BC100" i="241"/>
  <c r="BB162" i="241"/>
  <c r="BC186" i="241"/>
  <c r="BC16" i="241"/>
  <c r="BB196" i="241"/>
  <c r="BC133" i="241"/>
  <c r="BC114" i="241"/>
  <c r="BC50" i="241"/>
  <c r="BC101" i="241"/>
  <c r="BB255" i="241"/>
  <c r="BC166" i="241"/>
  <c r="BC263" i="241"/>
  <c r="BC183" i="241"/>
  <c r="BC165" i="241"/>
  <c r="BB264" i="241"/>
  <c r="BC265" i="241"/>
  <c r="BC115" i="241"/>
  <c r="BC230" i="241"/>
  <c r="BG94" i="241"/>
  <c r="BF163" i="241"/>
  <c r="BF24" i="241"/>
  <c r="BG157" i="241"/>
  <c r="BF99" i="241"/>
  <c r="BF31" i="241"/>
  <c r="BG220" i="241"/>
  <c r="BG81" i="241"/>
  <c r="BG234" i="241"/>
  <c r="BG185" i="241"/>
  <c r="BG150" i="241"/>
  <c r="BF182" i="241"/>
  <c r="BG12" i="241"/>
  <c r="BF231" i="241"/>
  <c r="BG25" i="241"/>
  <c r="BG230" i="241"/>
  <c r="BF58" i="241"/>
  <c r="BG189" i="241"/>
  <c r="BF250" i="241"/>
  <c r="Z13" i="241"/>
  <c r="AE92" i="241"/>
  <c r="AD184" i="241"/>
  <c r="AH82" i="241"/>
  <c r="AH236" i="241"/>
  <c r="AL160" i="241"/>
  <c r="AM129" i="241"/>
  <c r="AL200" i="241"/>
  <c r="AL118" i="241"/>
  <c r="AM161" i="241"/>
  <c r="AQ172" i="241"/>
  <c r="AP186" i="241"/>
  <c r="AP270" i="241"/>
  <c r="AP250" i="241"/>
  <c r="AP135" i="241"/>
  <c r="AT236" i="241"/>
  <c r="AU89" i="241"/>
  <c r="AU85" i="241"/>
  <c r="AT102" i="241"/>
  <c r="AT157" i="241"/>
  <c r="AU165" i="241"/>
  <c r="AT228" i="241"/>
  <c r="AU98" i="241"/>
  <c r="AU223" i="241"/>
  <c r="AU201" i="241"/>
  <c r="AT31" i="241"/>
  <c r="AU150" i="241"/>
  <c r="AT194" i="241"/>
  <c r="AU14" i="241"/>
  <c r="AU95" i="241"/>
  <c r="AT199" i="241"/>
  <c r="AT70" i="241"/>
  <c r="AU161" i="241"/>
  <c r="AX150" i="241"/>
  <c r="AX237" i="241"/>
  <c r="AY114" i="241"/>
  <c r="AY86" i="241"/>
  <c r="AY100" i="241"/>
  <c r="AX131" i="241"/>
  <c r="AY26" i="241"/>
  <c r="AX67" i="241"/>
  <c r="AX187" i="241"/>
  <c r="AY189" i="241"/>
  <c r="AY29" i="241"/>
  <c r="AY47" i="241"/>
  <c r="AY20" i="241"/>
  <c r="AX257" i="241"/>
  <c r="AX16" i="241"/>
  <c r="AY258" i="241"/>
  <c r="AX169" i="241"/>
  <c r="AY54" i="241"/>
  <c r="AX270" i="241"/>
  <c r="AX116" i="241"/>
  <c r="AX238" i="241"/>
  <c r="AX118" i="241"/>
  <c r="AY201" i="241"/>
  <c r="AY237" i="241"/>
  <c r="AY104" i="241"/>
  <c r="AY263" i="241"/>
  <c r="AX170" i="241"/>
  <c r="AX120" i="241"/>
  <c r="AY87" i="241"/>
  <c r="AY206" i="241"/>
  <c r="AX95" i="241"/>
  <c r="AY163" i="241"/>
  <c r="AY80" i="241"/>
  <c r="AY153" i="241"/>
  <c r="AY123" i="241"/>
  <c r="AY155" i="241"/>
  <c r="AY219" i="241"/>
  <c r="BB55" i="241"/>
  <c r="BB203" i="241"/>
  <c r="BB172" i="241"/>
  <c r="BC118" i="241"/>
  <c r="BB98" i="241"/>
  <c r="BC217" i="241"/>
  <c r="BB267" i="241"/>
  <c r="BC121" i="241"/>
  <c r="BB237" i="241"/>
  <c r="BC238" i="241"/>
  <c r="BC64" i="241"/>
  <c r="BC167" i="241"/>
  <c r="BB272" i="241"/>
  <c r="BC203" i="241"/>
  <c r="BB132" i="241"/>
  <c r="BC240" i="241"/>
  <c r="BC36" i="241"/>
  <c r="BC187" i="241"/>
  <c r="BB53" i="241"/>
  <c r="BB29" i="241"/>
  <c r="BC122" i="241"/>
  <c r="BC129" i="241"/>
  <c r="BC33" i="241"/>
  <c r="BB131" i="241"/>
  <c r="BC88" i="241"/>
  <c r="BB134" i="241"/>
  <c r="BB47" i="241"/>
  <c r="BC229" i="241"/>
  <c r="BC163" i="241"/>
  <c r="BB32" i="241"/>
  <c r="BB262" i="241"/>
  <c r="BB19" i="241"/>
  <c r="BB48" i="241"/>
  <c r="BC196" i="241"/>
  <c r="BB21" i="241"/>
  <c r="BB138" i="241"/>
  <c r="BB88" i="241"/>
  <c r="BC52" i="241"/>
  <c r="BC24" i="241"/>
  <c r="BC169" i="241"/>
  <c r="BC255" i="241"/>
  <c r="BG64" i="241"/>
  <c r="BF133" i="241"/>
  <c r="BG268" i="241"/>
  <c r="BF92" i="241"/>
  <c r="BG138" i="241"/>
  <c r="BF272" i="241"/>
  <c r="BG160" i="241"/>
  <c r="BF20" i="241"/>
  <c r="BF119" i="241"/>
  <c r="BG121" i="241"/>
  <c r="BF203" i="241"/>
  <c r="BG151" i="241"/>
  <c r="BG253" i="241"/>
  <c r="BF201" i="241"/>
  <c r="BF14" i="241"/>
  <c r="BG200" i="241"/>
  <c r="AH87" i="241"/>
  <c r="AQ92" i="241"/>
  <c r="AU268" i="241"/>
  <c r="AT50" i="241"/>
  <c r="AY221" i="241"/>
  <c r="AX48" i="241"/>
  <c r="AY117" i="241"/>
  <c r="AX151" i="241"/>
  <c r="AX14" i="241"/>
  <c r="BB217" i="241"/>
  <c r="BB155" i="241"/>
  <c r="BC70" i="241"/>
  <c r="BC191" i="241"/>
  <c r="BB117" i="241"/>
  <c r="BB82" i="241"/>
  <c r="BF218" i="241"/>
  <c r="BG61" i="241"/>
  <c r="BF251" i="241"/>
  <c r="BF59" i="241"/>
  <c r="BF187" i="241"/>
  <c r="BG85" i="241"/>
  <c r="BF269" i="241"/>
  <c r="BF274" i="241"/>
  <c r="BF116" i="241"/>
  <c r="BG162" i="241"/>
  <c r="BF200" i="241"/>
  <c r="BG217" i="241"/>
  <c r="BF195" i="241"/>
  <c r="BF26" i="241"/>
  <c r="BF49" i="241"/>
  <c r="BG172" i="241"/>
  <c r="BF253" i="241"/>
  <c r="BG16" i="241"/>
  <c r="BF132" i="241"/>
  <c r="BG70" i="241"/>
  <c r="BG84" i="241"/>
  <c r="BG250" i="241"/>
  <c r="BF98" i="241"/>
  <c r="BG272" i="241"/>
  <c r="BF46" i="241"/>
  <c r="BF148" i="241"/>
  <c r="BG240" i="241"/>
  <c r="BF34" i="241"/>
  <c r="BJ166" i="241"/>
  <c r="BJ265" i="241"/>
  <c r="BJ49" i="241"/>
  <c r="BJ89" i="241"/>
  <c r="BK188" i="241"/>
  <c r="BK155" i="241"/>
  <c r="BJ194" i="241"/>
  <c r="BJ16" i="241"/>
  <c r="BJ186" i="241"/>
  <c r="BK83" i="241"/>
  <c r="BJ217" i="241"/>
  <c r="BJ123" i="241"/>
  <c r="BK231" i="241"/>
  <c r="BJ63" i="241"/>
  <c r="BJ129" i="241"/>
  <c r="BK87" i="241"/>
  <c r="BK122" i="241"/>
  <c r="BJ253" i="241"/>
  <c r="BJ219" i="241"/>
  <c r="BJ163" i="241"/>
  <c r="BJ170" i="241"/>
  <c r="BK196" i="241"/>
  <c r="BK60" i="241"/>
  <c r="BK268" i="241"/>
  <c r="BK156" i="241"/>
  <c r="BJ134" i="241"/>
  <c r="BK258" i="241"/>
  <c r="AM81" i="241"/>
  <c r="AP224" i="241"/>
  <c r="AU154" i="241"/>
  <c r="AT150" i="241"/>
  <c r="AY250" i="241"/>
  <c r="AY82" i="241"/>
  <c r="AX263" i="241"/>
  <c r="AX121" i="241"/>
  <c r="BB149" i="241"/>
  <c r="BC152" i="241"/>
  <c r="BC253" i="241"/>
  <c r="BC61" i="241"/>
  <c r="BC224" i="241"/>
  <c r="BC185" i="241"/>
  <c r="BB200" i="241"/>
  <c r="BF223" i="241"/>
  <c r="BG31" i="241"/>
  <c r="BF15" i="241"/>
  <c r="BF216" i="241"/>
  <c r="BG156" i="241"/>
  <c r="BG59" i="241"/>
  <c r="BG238" i="241"/>
  <c r="BG219" i="241"/>
  <c r="BF52" i="241"/>
  <c r="BF257" i="241"/>
  <c r="BG169" i="241"/>
  <c r="BF156" i="241"/>
  <c r="BG134" i="241"/>
  <c r="BF68" i="241"/>
  <c r="BG18" i="241"/>
  <c r="BG148" i="241"/>
  <c r="BG222" i="241"/>
  <c r="BG257" i="241"/>
  <c r="BF17" i="241"/>
  <c r="BG223" i="241"/>
  <c r="BG24" i="241"/>
  <c r="BF189" i="241"/>
  <c r="BG67" i="241"/>
  <c r="BG218" i="241"/>
  <c r="BG15" i="241"/>
  <c r="BG117" i="241"/>
  <c r="BF155" i="241"/>
  <c r="BG47" i="241"/>
  <c r="BJ255" i="241"/>
  <c r="BK259" i="241"/>
  <c r="BK49" i="241"/>
  <c r="BK204" i="241"/>
  <c r="BK197" i="241"/>
  <c r="BK170" i="241"/>
  <c r="BJ104" i="241"/>
  <c r="BJ237" i="241"/>
  <c r="BJ82" i="241"/>
  <c r="BJ270" i="241"/>
  <c r="BJ271" i="241"/>
  <c r="BK184" i="241"/>
  <c r="BK58" i="241"/>
  <c r="BJ27" i="241"/>
  <c r="BJ20" i="241"/>
  <c r="BK16" i="241"/>
  <c r="BJ189" i="241"/>
  <c r="BK36" i="241"/>
  <c r="BK151" i="241"/>
  <c r="BJ223" i="241"/>
  <c r="BJ102" i="241"/>
  <c r="BJ119" i="241"/>
  <c r="BJ185" i="241"/>
  <c r="BK54" i="241"/>
  <c r="AM157" i="241"/>
  <c r="AP66" i="241"/>
  <c r="AT251" i="241"/>
  <c r="AU166" i="241"/>
  <c r="AX97" i="241"/>
  <c r="AY165" i="241"/>
  <c r="AX168" i="241"/>
  <c r="AY203" i="241"/>
  <c r="BB263" i="241"/>
  <c r="BB123" i="241"/>
  <c r="BB94" i="241"/>
  <c r="BB274" i="241"/>
  <c r="BB51" i="241"/>
  <c r="BB52" i="241"/>
  <c r="BC233" i="241"/>
  <c r="BG102" i="241"/>
  <c r="BG50" i="241"/>
  <c r="BF256" i="241"/>
  <c r="BF88" i="241"/>
  <c r="BG36" i="241"/>
  <c r="BG119" i="241"/>
  <c r="BF220" i="241"/>
  <c r="BG228" i="241"/>
  <c r="BG21" i="241"/>
  <c r="BF197" i="241"/>
  <c r="BG115" i="241"/>
  <c r="BF36" i="241"/>
  <c r="BG104" i="241"/>
  <c r="BF126" i="241"/>
  <c r="BG259" i="241"/>
  <c r="BF87" i="241"/>
  <c r="BF268" i="241"/>
  <c r="BF228" i="241"/>
  <c r="BF129" i="241"/>
  <c r="BF194" i="241"/>
  <c r="BG265" i="241"/>
  <c r="BF204" i="241"/>
  <c r="BG13" i="241"/>
  <c r="BF157" i="241"/>
  <c r="BG256" i="241"/>
  <c r="BF217" i="241"/>
  <c r="BF95" i="241"/>
  <c r="BG95" i="241"/>
  <c r="BJ98" i="241"/>
  <c r="BK183" i="241"/>
  <c r="BK262" i="241"/>
  <c r="BK17" i="241"/>
  <c r="BK195" i="241"/>
  <c r="BJ47" i="241"/>
  <c r="BK265" i="241"/>
  <c r="BK88" i="241"/>
  <c r="BJ200" i="241"/>
  <c r="BK61" i="241"/>
  <c r="BJ24" i="241"/>
  <c r="BJ269" i="241"/>
  <c r="BK118" i="241"/>
  <c r="BK202" i="241"/>
  <c r="BJ172" i="241"/>
  <c r="BK257" i="241"/>
  <c r="BK250" i="241"/>
  <c r="BK66" i="241"/>
  <c r="BJ182" i="241"/>
  <c r="BK206" i="241"/>
  <c r="BJ168" i="241"/>
  <c r="BJ151" i="241"/>
  <c r="BK85" i="241"/>
  <c r="BJ59" i="241"/>
  <c r="BJ30" i="241"/>
  <c r="BJ251" i="241"/>
  <c r="BK64" i="241"/>
  <c r="BK15" i="241"/>
  <c r="BJ188" i="241"/>
  <c r="BJ135" i="241"/>
  <c r="BK225" i="241"/>
  <c r="BJ122" i="241"/>
  <c r="BJ157" i="241"/>
  <c r="BJ233" i="241"/>
  <c r="BK117" i="241"/>
  <c r="BJ216" i="241"/>
  <c r="BK168" i="241"/>
  <c r="BJ196" i="241"/>
  <c r="BK33" i="241"/>
  <c r="BJ131" i="241"/>
  <c r="BJ64" i="241"/>
  <c r="AX196" i="241"/>
  <c r="BC237" i="241"/>
  <c r="BB89" i="241"/>
  <c r="BB16" i="241"/>
  <c r="BF235" i="241"/>
  <c r="BG54" i="241"/>
  <c r="BF168" i="241"/>
  <c r="BF186" i="241"/>
  <c r="BG51" i="241"/>
  <c r="BF161" i="241"/>
  <c r="BG128" i="241"/>
  <c r="BG20" i="241"/>
  <c r="BK18" i="241"/>
  <c r="BJ128" i="241"/>
  <c r="BK163" i="241"/>
  <c r="BJ263" i="241"/>
  <c r="BK119" i="241"/>
  <c r="BK104" i="241"/>
  <c r="BK93" i="241"/>
  <c r="BK189" i="241"/>
  <c r="BK127" i="241"/>
  <c r="BJ221" i="241"/>
  <c r="V17" i="241"/>
  <c r="AL135" i="241"/>
  <c r="AU54" i="241"/>
  <c r="AT52" i="241"/>
  <c r="AT186" i="241"/>
  <c r="AX127" i="241"/>
  <c r="AY150" i="241"/>
  <c r="AX252" i="241"/>
  <c r="AX133" i="241"/>
  <c r="BC269" i="241"/>
  <c r="BB218" i="241"/>
  <c r="BC272" i="241"/>
  <c r="BC257" i="241"/>
  <c r="BB230" i="241"/>
  <c r="BB83" i="241"/>
  <c r="BC200" i="241"/>
  <c r="BG48" i="241"/>
  <c r="BF267" i="241"/>
  <c r="BG135" i="241"/>
  <c r="BG55" i="241"/>
  <c r="BF102" i="241"/>
  <c r="BF153" i="241"/>
  <c r="BF160" i="241"/>
  <c r="BF83" i="241"/>
  <c r="BG19" i="241"/>
  <c r="BF167" i="241"/>
  <c r="BF151" i="241"/>
  <c r="BF12" i="241"/>
  <c r="BG80" i="241"/>
  <c r="BG14" i="241"/>
  <c r="BF136" i="241"/>
  <c r="BF27" i="241"/>
  <c r="BG237" i="241"/>
  <c r="BG167" i="241"/>
  <c r="BF221" i="241"/>
  <c r="BG163" i="241"/>
  <c r="BG235" i="241"/>
  <c r="BF219" i="241"/>
  <c r="BF32" i="241"/>
  <c r="BF67" i="241"/>
  <c r="BG166" i="241"/>
  <c r="BG186" i="241"/>
  <c r="BF65" i="241"/>
  <c r="BF150" i="241"/>
  <c r="BK219" i="241"/>
  <c r="BK157" i="241"/>
  <c r="BK135" i="241"/>
  <c r="BJ86" i="241"/>
  <c r="BJ117" i="241"/>
  <c r="BK185" i="241"/>
  <c r="BJ87" i="241"/>
  <c r="BK32" i="241"/>
  <c r="BK200" i="241"/>
  <c r="BK224" i="241"/>
  <c r="BJ120" i="241"/>
  <c r="BJ204" i="241"/>
  <c r="BJ149" i="241"/>
  <c r="BJ70" i="241"/>
  <c r="BK120" i="241"/>
  <c r="BK52" i="241"/>
  <c r="BK274" i="241"/>
  <c r="BJ97" i="241"/>
  <c r="BJ206" i="241"/>
  <c r="BK236" i="241"/>
  <c r="BJ136" i="241"/>
  <c r="BJ18" i="241"/>
  <c r="BK270" i="241"/>
  <c r="BJ150" i="241"/>
  <c r="BK63" i="241"/>
  <c r="BK27" i="241"/>
  <c r="BK94" i="241"/>
  <c r="BK263" i="241"/>
  <c r="BJ228" i="241"/>
  <c r="BJ225" i="241"/>
  <c r="BJ256" i="241"/>
  <c r="BK255" i="241"/>
  <c r="BK218" i="241"/>
  <c r="BJ46" i="241"/>
  <c r="BJ258" i="241"/>
  <c r="BJ14" i="241"/>
  <c r="BJ199" i="241"/>
  <c r="BK229" i="241"/>
  <c r="BJ161" i="241"/>
  <c r="AY233" i="241"/>
  <c r="BB100" i="241"/>
  <c r="BF258" i="241"/>
  <c r="BF149" i="241"/>
  <c r="BG99" i="241"/>
  <c r="BF21" i="241"/>
  <c r="BF170" i="241"/>
  <c r="BG153" i="241"/>
  <c r="BF18" i="241"/>
  <c r="BG26" i="241"/>
  <c r="BG231" i="241"/>
  <c r="BK86" i="241"/>
  <c r="BK216" i="241"/>
  <c r="BJ235" i="241"/>
  <c r="BK53" i="241"/>
  <c r="BK217" i="241"/>
  <c r="BK149" i="241"/>
  <c r="BJ250" i="241"/>
  <c r="BK132" i="241"/>
  <c r="BK48" i="241"/>
  <c r="BK20" i="241"/>
  <c r="AE185" i="241"/>
  <c r="AL224" i="241"/>
  <c r="AT121" i="241"/>
  <c r="AT265" i="241"/>
  <c r="AU252" i="241"/>
  <c r="AY168" i="241"/>
  <c r="AY84" i="241"/>
  <c r="AX191" i="241"/>
  <c r="AX195" i="241"/>
  <c r="BC51" i="241"/>
  <c r="BB265" i="241"/>
  <c r="BC95" i="241"/>
  <c r="BB102" i="241"/>
  <c r="BB268" i="241"/>
  <c r="BC228" i="241"/>
  <c r="BC168" i="241"/>
  <c r="BG53" i="241"/>
  <c r="BG236" i="241"/>
  <c r="BF265" i="241"/>
  <c r="BG114" i="241"/>
  <c r="BF48" i="241"/>
  <c r="BF85" i="241"/>
  <c r="BG129" i="241"/>
  <c r="BG52" i="241"/>
  <c r="BG65" i="241"/>
  <c r="BG82" i="241"/>
  <c r="BG120" i="241"/>
  <c r="BF225" i="241"/>
  <c r="BF19" i="241"/>
  <c r="BF81" i="241"/>
  <c r="BF82" i="241"/>
  <c r="BF238" i="241"/>
  <c r="BG252" i="241"/>
  <c r="BF134" i="241"/>
  <c r="BG190" i="241"/>
  <c r="BG133" i="241"/>
  <c r="BF120" i="241"/>
  <c r="BG188" i="241"/>
  <c r="BF86" i="241"/>
  <c r="BF254" i="241"/>
  <c r="BF51" i="241"/>
  <c r="BF262" i="241"/>
  <c r="BG34" i="241"/>
  <c r="BG32" i="241"/>
  <c r="BK199" i="241"/>
  <c r="BK152" i="241"/>
  <c r="BJ115" i="241"/>
  <c r="BK228" i="241"/>
  <c r="BJ48" i="241"/>
  <c r="BJ222" i="241"/>
  <c r="BK172" i="241"/>
  <c r="BJ153" i="241"/>
  <c r="BK230" i="241"/>
  <c r="BK21" i="241"/>
  <c r="BJ184" i="241"/>
  <c r="BK51" i="241"/>
  <c r="BJ203" i="241"/>
  <c r="BJ167" i="241"/>
  <c r="BK169" i="241"/>
  <c r="BK67" i="241"/>
  <c r="BJ60" i="241"/>
  <c r="BJ127" i="241"/>
  <c r="BJ272" i="241"/>
  <c r="BJ267" i="241"/>
  <c r="BJ21" i="241"/>
  <c r="BK233" i="241"/>
  <c r="BJ155" i="241"/>
  <c r="BJ17" i="241"/>
  <c r="BJ156" i="241"/>
  <c r="BJ58" i="241"/>
  <c r="BK154" i="241"/>
  <c r="BK136" i="241"/>
  <c r="BJ183" i="241"/>
  <c r="BJ138" i="241"/>
  <c r="BJ132" i="241"/>
  <c r="BJ94" i="241"/>
  <c r="BK272" i="241"/>
  <c r="BJ230" i="241"/>
  <c r="BK115" i="241"/>
  <c r="BJ165" i="241"/>
  <c r="BJ229" i="241"/>
  <c r="BK201" i="241"/>
  <c r="BK97" i="241"/>
  <c r="BK190" i="241"/>
  <c r="AD99" i="241"/>
  <c r="AQ60" i="241"/>
  <c r="AU228" i="241"/>
  <c r="AT58" i="241"/>
  <c r="AX12" i="241"/>
  <c r="AY256" i="241"/>
  <c r="AY268" i="241"/>
  <c r="BC151" i="241"/>
  <c r="BC65" i="241"/>
  <c r="BC235" i="241"/>
  <c r="BF61" i="241"/>
  <c r="BG191" i="241"/>
  <c r="BF264" i="241"/>
  <c r="BG60" i="241"/>
  <c r="BG126" i="241"/>
  <c r="BF191" i="241"/>
  <c r="BF16" i="241"/>
  <c r="BG89" i="241"/>
  <c r="BF190" i="241"/>
  <c r="BF252" i="241"/>
  <c r="BF93" i="241"/>
  <c r="BJ55" i="241"/>
  <c r="BJ118" i="241"/>
  <c r="BJ25" i="241"/>
  <c r="BK14" i="241"/>
  <c r="BJ197" i="241"/>
  <c r="BK123" i="241"/>
  <c r="BK252" i="241"/>
  <c r="BJ190" i="241"/>
  <c r="AI231" i="241"/>
  <c r="AP102" i="241"/>
  <c r="AU127" i="241"/>
  <c r="AT163" i="241"/>
  <c r="AX183" i="241"/>
  <c r="AX204" i="241"/>
  <c r="AY21" i="241"/>
  <c r="AX189" i="241"/>
  <c r="AX269" i="241"/>
  <c r="BB120" i="241"/>
  <c r="BC157" i="241"/>
  <c r="BB66" i="241"/>
  <c r="BC254" i="241"/>
  <c r="BC274" i="241"/>
  <c r="BC84" i="241"/>
  <c r="BG154" i="241"/>
  <c r="BF237" i="241"/>
  <c r="BF154" i="241"/>
  <c r="BG264" i="241"/>
  <c r="BG118" i="241"/>
  <c r="BG170" i="241"/>
  <c r="BG87" i="241"/>
  <c r="BG258" i="241"/>
  <c r="BG203" i="241"/>
  <c r="BG68" i="241"/>
  <c r="BG263" i="241"/>
  <c r="BG30" i="241"/>
  <c r="BF255" i="241"/>
  <c r="BF104" i="241"/>
  <c r="BG168" i="241"/>
  <c r="BF233" i="241"/>
  <c r="BG93" i="241"/>
  <c r="BF101" i="241"/>
  <c r="BG29" i="241"/>
  <c r="BF131" i="241"/>
  <c r="BF259" i="241"/>
  <c r="BF60" i="241"/>
  <c r="BF224" i="241"/>
  <c r="BF89" i="241"/>
  <c r="BF100" i="241"/>
  <c r="BF202" i="241"/>
  <c r="BG201" i="241"/>
  <c r="BG221" i="241"/>
  <c r="BF135" i="241"/>
  <c r="BK26" i="241"/>
  <c r="BJ169" i="241"/>
  <c r="BK134" i="241"/>
  <c r="BK84" i="241"/>
  <c r="BJ19" i="241"/>
  <c r="BK81" i="241"/>
  <c r="BK82" i="241"/>
  <c r="BJ238" i="241"/>
  <c r="BJ101" i="241"/>
  <c r="BK126" i="241"/>
  <c r="BK271" i="241"/>
  <c r="BJ236" i="241"/>
  <c r="BK65" i="241"/>
  <c r="BK167" i="241"/>
  <c r="BK55" i="241"/>
  <c r="BK68" i="241"/>
  <c r="BK153" i="241"/>
  <c r="BJ187" i="241"/>
  <c r="BJ31" i="241"/>
  <c r="BJ26" i="241"/>
  <c r="BJ257" i="241"/>
  <c r="BJ264" i="241"/>
  <c r="BK31" i="241"/>
  <c r="BK162" i="241"/>
  <c r="BK253" i="241"/>
  <c r="BJ154" i="241"/>
  <c r="BJ191" i="241"/>
  <c r="BJ32" i="241"/>
  <c r="BJ50" i="241"/>
  <c r="BJ66" i="241"/>
  <c r="BK102" i="241"/>
  <c r="BK187" i="241"/>
  <c r="BK131" i="241"/>
  <c r="BK92" i="241"/>
  <c r="BK203" i="241"/>
  <c r="BK121" i="241"/>
  <c r="BK165" i="241"/>
  <c r="BJ51" i="241"/>
  <c r="BK223" i="241"/>
  <c r="BK34" i="241"/>
  <c r="BK267" i="241"/>
  <c r="BK251" i="241"/>
  <c r="BK50" i="241"/>
  <c r="BJ13" i="241"/>
  <c r="BJ93" i="241"/>
  <c r="BJ36" i="241"/>
  <c r="BJ65" i="241"/>
  <c r="BK182" i="241"/>
  <c r="BJ34" i="241"/>
  <c r="BJ126" i="241"/>
  <c r="BJ268" i="241"/>
  <c r="BK101" i="241"/>
  <c r="BJ160" i="241"/>
  <c r="BJ202" i="241"/>
  <c r="BK138" i="241"/>
  <c r="BK100" i="241"/>
  <c r="BJ240" i="241"/>
  <c r="BJ274" i="241"/>
  <c r="BK59" i="241"/>
  <c r="AH115" i="241"/>
  <c r="AP272" i="241"/>
  <c r="AU231" i="241"/>
  <c r="AU167" i="241"/>
  <c r="AY46" i="241"/>
  <c r="AY19" i="241"/>
  <c r="AX274" i="241"/>
  <c r="AX265" i="241"/>
  <c r="AX185" i="241"/>
  <c r="BC182" i="241"/>
  <c r="BC132" i="241"/>
  <c r="BC220" i="241"/>
  <c r="BB128" i="241"/>
  <c r="BB250" i="241"/>
  <c r="BB115" i="241"/>
  <c r="BG251" i="241"/>
  <c r="BF188" i="241"/>
  <c r="BG123" i="241"/>
  <c r="BG88" i="241"/>
  <c r="BF206" i="241"/>
  <c r="BG116" i="241"/>
  <c r="BG27" i="241"/>
  <c r="BF229" i="241"/>
  <c r="BG149" i="241"/>
  <c r="BG122" i="241"/>
  <c r="BF230" i="241"/>
  <c r="BG271" i="241"/>
  <c r="BG224" i="241"/>
  <c r="BF80" i="241"/>
  <c r="BG194" i="241"/>
  <c r="BG202" i="241"/>
  <c r="BG63" i="241"/>
  <c r="BF47" i="241"/>
  <c r="BG83" i="241"/>
  <c r="BG100" i="241"/>
  <c r="BF169" i="241"/>
  <c r="BG274" i="241"/>
  <c r="BG131" i="241"/>
  <c r="BG132" i="241"/>
  <c r="BF70" i="241"/>
  <c r="BF172" i="241"/>
  <c r="BG270" i="241"/>
  <c r="BG161" i="241"/>
  <c r="BJ114" i="241"/>
  <c r="BK150" i="241"/>
  <c r="BJ100" i="241"/>
  <c r="BK19" i="241"/>
  <c r="BK191" i="241"/>
  <c r="BJ92" i="241"/>
  <c r="BK24" i="241"/>
  <c r="BJ116" i="241"/>
  <c r="BK30" i="241"/>
  <c r="BK25" i="241"/>
  <c r="BK186" i="241"/>
  <c r="BJ33" i="241"/>
  <c r="BK269" i="241"/>
  <c r="BK161" i="241"/>
  <c r="BK13" i="241"/>
  <c r="BK128" i="241"/>
  <c r="BJ99" i="241"/>
  <c r="BJ220" i="241"/>
  <c r="BJ54" i="241"/>
  <c r="BJ61" i="241"/>
  <c r="BJ234" i="241"/>
  <c r="BJ68" i="241"/>
  <c r="BJ231" i="241"/>
  <c r="BJ195" i="241"/>
  <c r="BK222" i="241"/>
  <c r="BJ15" i="241"/>
  <c r="BJ218" i="241"/>
  <c r="BJ80" i="241"/>
  <c r="BK29" i="241"/>
  <c r="BJ162" i="241"/>
  <c r="BK99" i="241"/>
  <c r="BJ133" i="241"/>
  <c r="BJ254" i="241"/>
  <c r="BK264" i="241"/>
  <c r="BJ262" i="241"/>
  <c r="BJ201" i="241"/>
  <c r="BJ53" i="241"/>
  <c r="BJ12" i="241"/>
  <c r="BK166" i="241"/>
  <c r="BK46" i="241"/>
  <c r="BJ252" i="241"/>
  <c r="BK234" i="241"/>
  <c r="BK47" i="241"/>
  <c r="BK12" i="241"/>
  <c r="BJ121" i="241"/>
  <c r="BK235" i="241"/>
  <c r="BK116" i="241"/>
  <c r="BK160" i="241"/>
  <c r="BJ88" i="241"/>
  <c r="BK129" i="241"/>
  <c r="BJ84" i="241"/>
  <c r="BK114" i="241"/>
  <c r="BK70" i="241"/>
  <c r="BK148" i="241"/>
  <c r="BJ152" i="241"/>
  <c r="BK220" i="241"/>
  <c r="BK237" i="241"/>
  <c r="BJ81" i="241"/>
  <c r="BJ67" i="241"/>
  <c r="BK240" i="241"/>
  <c r="BK256" i="241"/>
  <c r="BJ85" i="241"/>
  <c r="BK221" i="241"/>
  <c r="BK80" i="241"/>
  <c r="R265" i="241"/>
  <c r="S172" i="241"/>
  <c r="S51" i="241"/>
  <c r="R256" i="241"/>
  <c r="R151" i="241"/>
  <c r="S53" i="241"/>
  <c r="R221" i="241"/>
  <c r="R117" i="241"/>
  <c r="S228" i="241"/>
  <c r="S131" i="241"/>
  <c r="S33" i="241"/>
  <c r="S194" i="241"/>
  <c r="S82" i="241"/>
  <c r="S24" i="241"/>
  <c r="R203" i="241"/>
  <c r="S94" i="241"/>
  <c r="S14" i="241"/>
  <c r="S201" i="241"/>
  <c r="S99" i="241"/>
  <c r="R33" i="241"/>
  <c r="R24" i="241"/>
  <c r="R14" i="241"/>
  <c r="R269" i="241"/>
  <c r="S264" i="241"/>
  <c r="S223" i="241"/>
  <c r="S218" i="241"/>
  <c r="S221" i="241"/>
  <c r="S185" i="241"/>
  <c r="R187" i="241"/>
  <c r="R200" i="241"/>
  <c r="R163" i="241"/>
  <c r="S150" i="241"/>
  <c r="S123" i="241"/>
  <c r="S128" i="241"/>
  <c r="R123" i="241"/>
  <c r="S95" i="241"/>
  <c r="R95" i="241"/>
  <c r="S63" i="241"/>
  <c r="R61" i="241"/>
  <c r="R66" i="241"/>
  <c r="S32" i="241"/>
  <c r="S21" i="241"/>
  <c r="S13" i="241"/>
  <c r="R251" i="241"/>
  <c r="R254" i="241"/>
  <c r="S216" i="241"/>
  <c r="S219" i="241"/>
  <c r="R233" i="241"/>
  <c r="R197" i="241"/>
  <c r="R201" i="241"/>
  <c r="S197" i="241"/>
  <c r="R165" i="241"/>
  <c r="R168" i="241"/>
  <c r="R135" i="241"/>
  <c r="R134" i="241"/>
  <c r="R120" i="241"/>
  <c r="R89" i="241"/>
  <c r="S88" i="241"/>
  <c r="R50" i="241"/>
  <c r="S67" i="241"/>
  <c r="S55" i="241"/>
  <c r="R32" i="241"/>
  <c r="R21" i="241"/>
  <c r="R13" i="241"/>
  <c r="R271" i="241"/>
  <c r="R253" i="241"/>
  <c r="R223" i="241"/>
  <c r="S220" i="241"/>
  <c r="R234" i="241"/>
  <c r="S195" i="241"/>
  <c r="R183" i="241"/>
  <c r="R169" i="241"/>
  <c r="S166" i="241"/>
  <c r="R150" i="241"/>
  <c r="S114" i="241"/>
  <c r="R114" i="241"/>
  <c r="S135" i="241"/>
  <c r="R99" i="241"/>
  <c r="S84" i="241"/>
  <c r="R68" i="241"/>
  <c r="R55" i="241"/>
  <c r="R70" i="241"/>
  <c r="S29" i="241"/>
  <c r="S18" i="241"/>
  <c r="R264" i="241"/>
  <c r="S256" i="241"/>
  <c r="S268" i="241"/>
  <c r="S224" i="241"/>
  <c r="S235" i="241"/>
  <c r="S233" i="241"/>
  <c r="S186" i="241"/>
  <c r="S184" i="241"/>
  <c r="S156" i="241"/>
  <c r="S167" i="241"/>
  <c r="R167" i="241"/>
  <c r="R128" i="241"/>
  <c r="R127" i="241"/>
  <c r="S101" i="241"/>
  <c r="S100" i="241"/>
  <c r="S92" i="241"/>
  <c r="S49" i="241"/>
  <c r="S47" i="241"/>
  <c r="R59" i="241"/>
  <c r="R29" i="241"/>
  <c r="R18" i="241"/>
  <c r="S255" i="241"/>
  <c r="S263" i="241"/>
  <c r="R250" i="241"/>
  <c r="S231" i="241"/>
  <c r="R217" i="241"/>
  <c r="R194" i="241"/>
  <c r="S189" i="241"/>
  <c r="S199" i="241"/>
  <c r="R152" i="241"/>
  <c r="S162" i="241"/>
  <c r="R156" i="241"/>
  <c r="S120" i="241"/>
  <c r="R132" i="241"/>
  <c r="S85" i="241"/>
  <c r="S98" i="241"/>
  <c r="R80" i="241"/>
  <c r="R60" i="241"/>
  <c r="R65" i="241"/>
  <c r="R67" i="241"/>
  <c r="S27" i="241"/>
  <c r="S17" i="241"/>
  <c r="S267" i="241"/>
  <c r="R252" i="241"/>
  <c r="R267" i="241"/>
  <c r="R216" i="241"/>
  <c r="R236" i="241"/>
  <c r="S202" i="241"/>
  <c r="S206" i="241"/>
  <c r="R186" i="241"/>
  <c r="R153" i="241"/>
  <c r="R160" i="241"/>
  <c r="R148" i="241"/>
  <c r="R116" i="241"/>
  <c r="S134" i="241"/>
  <c r="S80" i="241"/>
  <c r="R102" i="241"/>
  <c r="R83" i="241"/>
  <c r="S65" i="241"/>
  <c r="R46" i="241"/>
  <c r="R58" i="241"/>
  <c r="R27" i="241"/>
  <c r="R17" i="241"/>
  <c r="R270" i="241"/>
  <c r="S271" i="241"/>
  <c r="S253" i="241"/>
  <c r="R220" i="241"/>
  <c r="R218" i="241"/>
  <c r="R202" i="241"/>
  <c r="R190" i="241"/>
  <c r="R204" i="241"/>
  <c r="S154" i="241"/>
  <c r="R162" i="241"/>
  <c r="S170" i="241"/>
  <c r="R119" i="241"/>
  <c r="S117" i="241"/>
  <c r="R85" i="241"/>
  <c r="S87" i="241"/>
  <c r="S86" i="241"/>
  <c r="S58" i="241"/>
  <c r="S54" i="241"/>
  <c r="R12" i="241"/>
  <c r="S36" i="241"/>
  <c r="S31" i="241"/>
  <c r="S26" i="241"/>
  <c r="S20" i="241"/>
  <c r="S16" i="241"/>
  <c r="S12" i="241"/>
  <c r="R268" i="241"/>
  <c r="S250" i="241"/>
  <c r="R272" i="241"/>
  <c r="S272" i="241"/>
  <c r="S265" i="241"/>
  <c r="S230" i="241"/>
  <c r="R229" i="241"/>
  <c r="S225" i="241"/>
  <c r="R240" i="241"/>
  <c r="R224" i="241"/>
  <c r="R184" i="241"/>
  <c r="R206" i="241"/>
  <c r="S182" i="241"/>
  <c r="R199" i="241"/>
  <c r="S183" i="241"/>
  <c r="S161" i="241"/>
  <c r="R170" i="241"/>
  <c r="S149" i="241"/>
  <c r="S155" i="241"/>
  <c r="R154" i="241"/>
  <c r="R166" i="241"/>
  <c r="R121" i="241"/>
  <c r="S133" i="241"/>
  <c r="S118" i="241"/>
  <c r="R129" i="241"/>
  <c r="S116" i="241"/>
  <c r="R86" i="241"/>
  <c r="R94" i="241"/>
  <c r="S97" i="241"/>
  <c r="S81" i="241"/>
  <c r="R104" i="241"/>
  <c r="S66" i="241"/>
  <c r="R48" i="241"/>
  <c r="R53" i="241"/>
  <c r="R64" i="241"/>
  <c r="S48" i="241"/>
  <c r="R36" i="241"/>
  <c r="R31" i="241"/>
  <c r="R26" i="241"/>
  <c r="R20" i="241"/>
  <c r="R16" i="241"/>
  <c r="R262" i="241"/>
  <c r="S254" i="241"/>
  <c r="R259" i="241"/>
  <c r="S262" i="241"/>
  <c r="S251" i="241"/>
  <c r="R257" i="241"/>
  <c r="S234" i="241"/>
  <c r="R228" i="241"/>
  <c r="S236" i="241"/>
  <c r="R238" i="241"/>
  <c r="S240" i="241"/>
  <c r="R185" i="241"/>
  <c r="S187" i="241"/>
  <c r="R188" i="241"/>
  <c r="S190" i="241"/>
  <c r="R189" i="241"/>
  <c r="S160" i="241"/>
  <c r="S163" i="241"/>
  <c r="R161" i="241"/>
  <c r="S152" i="241"/>
  <c r="R149" i="241"/>
  <c r="R133" i="241"/>
  <c r="R136" i="241"/>
  <c r="S138" i="241"/>
  <c r="S119" i="241"/>
  <c r="S127" i="241"/>
  <c r="S132" i="241"/>
  <c r="R93" i="241"/>
  <c r="R101" i="241"/>
  <c r="R88" i="241"/>
  <c r="R81" i="241"/>
  <c r="R92" i="241"/>
  <c r="R47" i="241"/>
  <c r="R49" i="241"/>
  <c r="S60" i="241"/>
  <c r="S59" i="241"/>
  <c r="S70" i="241"/>
  <c r="S34" i="241"/>
  <c r="S30" i="241"/>
  <c r="S25" i="241"/>
  <c r="S19" i="241"/>
  <c r="S15" i="241"/>
  <c r="S270" i="241"/>
  <c r="R255" i="241"/>
  <c r="S269" i="241"/>
  <c r="S257" i="241"/>
  <c r="R274" i="241"/>
  <c r="S259" i="241"/>
  <c r="S229" i="241"/>
  <c r="S238" i="241"/>
  <c r="S222" i="241"/>
  <c r="R235" i="241"/>
  <c r="R219" i="241"/>
  <c r="S191" i="241"/>
  <c r="R191" i="241"/>
  <c r="R195" i="241"/>
  <c r="S200" i="241"/>
  <c r="S196" i="241"/>
  <c r="R155" i="241"/>
  <c r="S148" i="241"/>
  <c r="S165" i="241"/>
  <c r="R157" i="241"/>
  <c r="R172" i="241"/>
  <c r="S115" i="241"/>
  <c r="R126" i="241"/>
  <c r="R122" i="241"/>
  <c r="S126" i="241"/>
  <c r="S121" i="241"/>
  <c r="S129" i="241"/>
  <c r="R84" i="241"/>
  <c r="S83" i="241"/>
  <c r="S89" i="241"/>
  <c r="R87" i="241"/>
  <c r="R100" i="241"/>
  <c r="R52" i="241"/>
  <c r="R51" i="241"/>
  <c r="R63" i="241"/>
  <c r="S50" i="241"/>
  <c r="R54" i="241"/>
  <c r="R34" i="241"/>
  <c r="R30" i="241"/>
  <c r="R25" i="241"/>
  <c r="R19" i="241"/>
  <c r="R15" i="241"/>
  <c r="S274" i="241"/>
  <c r="S252" i="241"/>
  <c r="R258" i="241"/>
  <c r="S258" i="241"/>
  <c r="R263" i="241"/>
  <c r="R237" i="241"/>
  <c r="R225" i="241"/>
  <c r="R222" i="241"/>
  <c r="R230" i="241"/>
  <c r="S217" i="241"/>
  <c r="S237" i="241"/>
  <c r="R182" i="241"/>
  <c r="S188" i="241"/>
  <c r="S203" i="241"/>
  <c r="R196" i="241"/>
  <c r="S204" i="241"/>
  <c r="S157" i="241"/>
  <c r="S153" i="241"/>
  <c r="S168" i="241"/>
  <c r="S151" i="241"/>
  <c r="S169" i="241"/>
  <c r="R115" i="241"/>
  <c r="R131" i="241"/>
  <c r="S136" i="241"/>
  <c r="R138" i="241"/>
  <c r="R118" i="241"/>
  <c r="S93" i="241"/>
  <c r="R82" i="241"/>
  <c r="S102" i="241"/>
  <c r="R98" i="241"/>
  <c r="S104" i="241"/>
  <c r="R97" i="241"/>
  <c r="S64" i="241"/>
  <c r="S52" i="241"/>
  <c r="S68" i="241"/>
  <c r="S61" i="241"/>
  <c r="S46" i="241"/>
  <c r="BL65" i="241" l="1"/>
  <c r="BL252" i="241"/>
  <c r="BL221" i="241"/>
  <c r="BL161" i="241"/>
  <c r="BL131" i="241"/>
  <c r="BL190" i="241"/>
  <c r="BL64" i="241"/>
  <c r="BL51" i="241"/>
  <c r="BL196" i="241"/>
  <c r="BL102" i="241"/>
  <c r="BL36" i="241"/>
  <c r="BL12" i="241"/>
  <c r="BL229" i="241"/>
  <c r="BL199" i="241"/>
  <c r="BL53" i="241"/>
  <c r="BL165" i="241"/>
  <c r="BL14" i="241"/>
  <c r="BL216" i="241"/>
  <c r="BL170" i="241"/>
  <c r="BL201" i="241"/>
  <c r="BL258" i="241"/>
  <c r="BL93" i="241"/>
  <c r="BL262" i="241"/>
  <c r="BL230" i="241"/>
  <c r="BL46" i="241"/>
  <c r="BL233" i="241"/>
  <c r="BL202" i="241"/>
  <c r="BL84" i="241"/>
  <c r="BL157" i="241"/>
  <c r="BL67" i="241"/>
  <c r="BL13" i="241"/>
  <c r="BL254" i="241"/>
  <c r="BL94" i="241"/>
  <c r="BL122" i="241"/>
  <c r="BL223" i="241"/>
  <c r="BL163" i="241"/>
  <c r="BL133" i="241"/>
  <c r="BL132" i="241"/>
  <c r="BL256" i="241"/>
  <c r="BL160" i="241"/>
  <c r="BL66" i="241"/>
  <c r="BL274" i="241"/>
  <c r="BL138" i="241"/>
  <c r="BL225" i="241"/>
  <c r="BL135" i="241"/>
  <c r="BL81" i="241"/>
  <c r="BL162" i="241"/>
  <c r="BL50" i="241"/>
  <c r="BL134" i="241"/>
  <c r="BL183" i="241"/>
  <c r="BL228" i="241"/>
  <c r="BL188" i="241"/>
  <c r="BL219" i="241"/>
  <c r="BL32" i="241"/>
  <c r="BL88" i="241"/>
  <c r="BL80" i="241"/>
  <c r="BL191" i="241"/>
  <c r="BL185" i="241"/>
  <c r="BL268" i="241"/>
  <c r="BL218" i="241"/>
  <c r="BL154" i="241"/>
  <c r="BL58" i="241"/>
  <c r="BL251" i="241"/>
  <c r="BL15" i="241"/>
  <c r="BL156" i="241"/>
  <c r="BL30" i="241"/>
  <c r="BL126" i="241"/>
  <c r="BL253" i="241"/>
  <c r="BL17" i="241"/>
  <c r="BL150" i="241"/>
  <c r="BL59" i="241"/>
  <c r="BL152" i="241"/>
  <c r="BL195" i="241"/>
  <c r="BL240" i="241"/>
  <c r="BL155" i="241"/>
  <c r="BL34" i="241"/>
  <c r="BL231" i="241"/>
  <c r="BL264" i="241"/>
  <c r="BL85" i="241"/>
  <c r="BL18" i="241"/>
  <c r="BL151" i="241"/>
  <c r="BL68" i="241"/>
  <c r="BL257" i="241"/>
  <c r="BL197" i="241"/>
  <c r="BL21" i="241"/>
  <c r="BL136" i="241"/>
  <c r="BL168" i="241"/>
  <c r="BL234" i="241"/>
  <c r="BL26" i="241"/>
  <c r="BL119" i="241"/>
  <c r="BL267" i="241"/>
  <c r="BL121" i="241"/>
  <c r="BL61" i="241"/>
  <c r="BL31" i="241"/>
  <c r="BL250" i="241"/>
  <c r="BL272" i="241"/>
  <c r="BL206" i="241"/>
  <c r="BL182" i="241"/>
  <c r="BL54" i="241"/>
  <c r="BL187" i="241"/>
  <c r="BL127" i="241"/>
  <c r="BL97" i="241"/>
  <c r="BL220" i="241"/>
  <c r="BL60" i="241"/>
  <c r="BL189" i="241"/>
  <c r="BL129" i="241"/>
  <c r="BL99" i="241"/>
  <c r="BL25" i="241"/>
  <c r="BL172" i="241"/>
  <c r="BL20" i="241"/>
  <c r="BL63" i="241"/>
  <c r="BL167" i="241"/>
  <c r="BL70" i="241"/>
  <c r="BL27" i="241"/>
  <c r="BL203" i="241"/>
  <c r="BL149" i="241"/>
  <c r="BL236" i="241"/>
  <c r="BL118" i="241"/>
  <c r="BL204" i="241"/>
  <c r="BL269" i="241"/>
  <c r="BL123" i="241"/>
  <c r="BL33" i="241"/>
  <c r="BL184" i="241"/>
  <c r="BL120" i="241"/>
  <c r="BL24" i="241"/>
  <c r="BL271" i="241"/>
  <c r="BL217" i="241"/>
  <c r="BL270" i="241"/>
  <c r="BL101" i="241"/>
  <c r="BL55" i="241"/>
  <c r="BL200" i="241"/>
  <c r="BL82" i="241"/>
  <c r="BL186" i="241"/>
  <c r="BL238" i="241"/>
  <c r="BL148" i="241"/>
  <c r="BL153" i="241"/>
  <c r="BL237" i="241"/>
  <c r="BL16" i="241"/>
  <c r="BL116" i="241"/>
  <c r="BL95" i="241"/>
  <c r="BL263" i="241"/>
  <c r="BL87" i="241"/>
  <c r="BL104" i="241"/>
  <c r="BL194" i="241"/>
  <c r="BL259" i="241"/>
  <c r="BL235" i="241"/>
  <c r="BL222" i="241"/>
  <c r="BL47" i="241"/>
  <c r="BL83" i="241"/>
  <c r="BL92" i="241"/>
  <c r="BL19" i="241"/>
  <c r="BL48" i="241"/>
  <c r="BL117" i="241"/>
  <c r="BL52" i="241"/>
  <c r="BL86" i="241"/>
  <c r="BL89" i="241"/>
  <c r="BL128" i="241"/>
  <c r="BL115" i="241"/>
  <c r="BL49" i="241"/>
  <c r="BL100" i="241"/>
  <c r="BL169" i="241"/>
  <c r="BL29" i="241"/>
  <c r="BL265" i="241"/>
  <c r="BL98" i="241"/>
  <c r="BL255" i="241"/>
  <c r="BL166" i="241"/>
  <c r="BL114" i="241"/>
  <c r="BL224" i="241"/>
  <c r="BH135" i="241"/>
  <c r="BH93" i="241"/>
  <c r="BH150" i="241"/>
  <c r="BH34" i="241"/>
  <c r="BH128" i="241"/>
  <c r="BH252" i="241"/>
  <c r="BH65" i="241"/>
  <c r="BH95" i="241"/>
  <c r="BH155" i="241"/>
  <c r="BH262" i="241"/>
  <c r="BH217" i="241"/>
  <c r="BH271" i="241"/>
  <c r="BH148" i="241"/>
  <c r="BH172" i="241"/>
  <c r="BH202" i="241"/>
  <c r="BH51" i="241"/>
  <c r="BH46" i="241"/>
  <c r="BH70" i="241"/>
  <c r="BH100" i="241"/>
  <c r="BH190" i="241"/>
  <c r="BH254" i="241"/>
  <c r="BH13" i="241"/>
  <c r="BH67" i="241"/>
  <c r="BH157" i="241"/>
  <c r="BH89" i="241"/>
  <c r="BH138" i="241"/>
  <c r="BH86" i="241"/>
  <c r="BH32" i="241"/>
  <c r="BH98" i="241"/>
  <c r="BH224" i="241"/>
  <c r="BH219" i="241"/>
  <c r="BH204" i="241"/>
  <c r="BH189" i="241"/>
  <c r="BH30" i="241"/>
  <c r="BH60" i="241"/>
  <c r="BH120" i="241"/>
  <c r="BH115" i="241"/>
  <c r="BH169" i="241"/>
  <c r="BH259" i="241"/>
  <c r="BH18" i="241"/>
  <c r="BH194" i="241"/>
  <c r="BH131" i="241"/>
  <c r="BH161" i="241"/>
  <c r="BH221" i="241"/>
  <c r="BH129" i="241"/>
  <c r="BH17" i="241"/>
  <c r="BH132" i="241"/>
  <c r="BH16" i="241"/>
  <c r="BH134" i="241"/>
  <c r="BH228" i="241"/>
  <c r="BH47" i="241"/>
  <c r="BH101" i="241"/>
  <c r="BH191" i="241"/>
  <c r="BH268" i="241"/>
  <c r="BH253" i="241"/>
  <c r="BH184" i="241"/>
  <c r="BH238" i="241"/>
  <c r="BH27" i="241"/>
  <c r="BH87" i="241"/>
  <c r="BH233" i="241"/>
  <c r="BH263" i="241"/>
  <c r="BH82" i="241"/>
  <c r="BH136" i="241"/>
  <c r="BH49" i="241"/>
  <c r="BH81" i="241"/>
  <c r="BH126" i="241"/>
  <c r="BH68" i="241"/>
  <c r="BH26" i="241"/>
  <c r="BH80" i="241"/>
  <c r="BH104" i="241"/>
  <c r="BH170" i="241"/>
  <c r="BH19" i="241"/>
  <c r="BH165" i="241"/>
  <c r="BH195" i="241"/>
  <c r="BH255" i="241"/>
  <c r="BH186" i="241"/>
  <c r="BH225" i="241"/>
  <c r="BH12" i="241"/>
  <c r="BH36" i="241"/>
  <c r="BH66" i="241"/>
  <c r="BH156" i="241"/>
  <c r="BH151" i="241"/>
  <c r="BH54" i="241"/>
  <c r="BH200" i="241"/>
  <c r="BH230" i="241"/>
  <c r="BH21" i="241"/>
  <c r="BH167" i="241"/>
  <c r="BH197" i="241"/>
  <c r="BH257" i="241"/>
  <c r="BH168" i="241"/>
  <c r="BH122" i="241"/>
  <c r="BH52" i="241"/>
  <c r="BH116" i="241"/>
  <c r="BH234" i="241"/>
  <c r="BH264" i="241"/>
  <c r="BH83" i="241"/>
  <c r="BH250" i="241"/>
  <c r="BH274" i="241"/>
  <c r="BH199" i="241"/>
  <c r="BH229" i="241"/>
  <c r="BH160" i="241"/>
  <c r="BH220" i="241"/>
  <c r="BH33" i="241"/>
  <c r="BH123" i="241"/>
  <c r="BH269" i="241"/>
  <c r="BH58" i="241"/>
  <c r="BH118" i="241"/>
  <c r="BH25" i="241"/>
  <c r="BH85" i="241"/>
  <c r="BH153" i="241"/>
  <c r="BH117" i="241"/>
  <c r="BH63" i="241"/>
  <c r="BH14" i="241"/>
  <c r="BH152" i="241"/>
  <c r="BH55" i="241"/>
  <c r="BH201" i="241"/>
  <c r="BH231" i="241"/>
  <c r="BH222" i="241"/>
  <c r="BH48" i="241"/>
  <c r="BH102" i="241"/>
  <c r="BH97" i="241"/>
  <c r="BH127" i="241"/>
  <c r="BH187" i="241"/>
  <c r="BH182" i="241"/>
  <c r="BH206" i="241"/>
  <c r="BH236" i="241"/>
  <c r="BH149" i="241"/>
  <c r="BH203" i="241"/>
  <c r="BH53" i="241"/>
  <c r="BH162" i="241"/>
  <c r="BH114" i="241"/>
  <c r="BH88" i="241"/>
  <c r="BH216" i="241"/>
  <c r="BH240" i="241"/>
  <c r="BH270" i="241"/>
  <c r="BH29" i="241"/>
  <c r="BH59" i="241"/>
  <c r="BH119" i="241"/>
  <c r="BH235" i="241"/>
  <c r="BH265" i="241"/>
  <c r="BH20" i="241"/>
  <c r="BH166" i="241"/>
  <c r="BH196" i="241"/>
  <c r="BH256" i="241"/>
  <c r="BH15" i="241"/>
  <c r="BH251" i="241"/>
  <c r="BH64" i="241"/>
  <c r="BH94" i="241"/>
  <c r="BH154" i="241"/>
  <c r="BH272" i="241"/>
  <c r="BH31" i="241"/>
  <c r="BH61" i="241"/>
  <c r="BH121" i="241"/>
  <c r="BH267" i="241"/>
  <c r="BH99" i="241"/>
  <c r="BH50" i="241"/>
  <c r="BH92" i="241"/>
  <c r="BH188" i="241"/>
  <c r="BH183" i="241"/>
  <c r="BH237" i="241"/>
  <c r="BH258" i="241"/>
  <c r="BH24" i="241"/>
  <c r="BH84" i="241"/>
  <c r="BH133" i="241"/>
  <c r="BH163" i="241"/>
  <c r="BH223" i="241"/>
  <c r="BH218" i="241"/>
  <c r="BH185" i="241"/>
  <c r="BD228" i="241"/>
  <c r="BD129" i="241"/>
  <c r="BD16" i="241"/>
  <c r="BD85" i="241"/>
  <c r="BD25" i="241"/>
  <c r="BD200" i="241"/>
  <c r="BD82" i="241"/>
  <c r="BD18" i="241"/>
  <c r="BD259" i="241"/>
  <c r="BD169" i="241"/>
  <c r="BD115" i="241"/>
  <c r="BD202" i="241"/>
  <c r="BD84" i="241"/>
  <c r="BD83" i="241"/>
  <c r="BD264" i="241"/>
  <c r="BD52" i="241"/>
  <c r="BD93" i="241"/>
  <c r="BD17" i="241"/>
  <c r="BD117" i="241"/>
  <c r="BD88" i="241"/>
  <c r="BD250" i="241"/>
  <c r="BD204" i="241"/>
  <c r="BD89" i="241"/>
  <c r="BD138" i="241"/>
  <c r="BD268" i="241"/>
  <c r="BD257" i="241"/>
  <c r="BD197" i="241"/>
  <c r="BD167" i="241"/>
  <c r="BD21" i="241"/>
  <c r="BD230" i="241"/>
  <c r="BD136" i="241"/>
  <c r="BD70" i="241"/>
  <c r="BD46" i="241"/>
  <c r="BD51" i="241"/>
  <c r="BD166" i="241"/>
  <c r="BD48" i="241"/>
  <c r="BD255" i="241"/>
  <c r="BD195" i="241"/>
  <c r="BD165" i="241"/>
  <c r="BD19" i="241"/>
  <c r="BD26" i="241"/>
  <c r="BD126" i="241"/>
  <c r="BD262" i="241"/>
  <c r="BD128" i="241"/>
  <c r="BD270" i="241"/>
  <c r="BD152" i="241"/>
  <c r="BD32" i="241"/>
  <c r="BD49" i="241"/>
  <c r="BD194" i="241"/>
  <c r="BD100" i="241"/>
  <c r="BD223" i="241"/>
  <c r="BD163" i="241"/>
  <c r="BD133" i="241"/>
  <c r="BD196" i="241"/>
  <c r="BD102" i="241"/>
  <c r="BD36" i="241"/>
  <c r="BD12" i="241"/>
  <c r="BD191" i="241"/>
  <c r="BD101" i="241"/>
  <c r="BD47" i="241"/>
  <c r="BD116" i="241"/>
  <c r="BD34" i="241"/>
  <c r="BD134" i="241"/>
  <c r="BD274" i="241"/>
  <c r="BD135" i="241"/>
  <c r="BD225" i="241"/>
  <c r="BD162" i="241"/>
  <c r="BD122" i="241"/>
  <c r="BD199" i="241"/>
  <c r="BD221" i="241"/>
  <c r="BD161" i="241"/>
  <c r="BD131" i="241"/>
  <c r="BD190" i="241"/>
  <c r="BD64" i="241"/>
  <c r="BD251" i="241"/>
  <c r="BD15" i="241"/>
  <c r="BD256" i="241"/>
  <c r="BD160" i="241"/>
  <c r="BD66" i="241"/>
  <c r="BD219" i="241"/>
  <c r="BD216" i="241"/>
  <c r="BD224" i="241"/>
  <c r="BD150" i="241"/>
  <c r="BD29" i="241"/>
  <c r="BD63" i="241"/>
  <c r="BD188" i="241"/>
  <c r="BD235" i="241"/>
  <c r="BD168" i="241"/>
  <c r="BD253" i="241"/>
  <c r="BD53" i="241"/>
  <c r="BD157" i="241"/>
  <c r="BD67" i="241"/>
  <c r="BD13" i="241"/>
  <c r="BD254" i="241"/>
  <c r="BD94" i="241"/>
  <c r="BD187" i="241"/>
  <c r="BD127" i="241"/>
  <c r="BD97" i="241"/>
  <c r="BD156" i="241"/>
  <c r="BD30" i="241"/>
  <c r="BD155" i="241"/>
  <c r="BD95" i="241"/>
  <c r="BD65" i="241"/>
  <c r="BD252" i="241"/>
  <c r="BD132" i="241"/>
  <c r="BD80" i="241"/>
  <c r="BD50" i="241"/>
  <c r="BD81" i="241"/>
  <c r="BD229" i="241"/>
  <c r="BD121" i="241"/>
  <c r="BD61" i="241"/>
  <c r="BD272" i="241"/>
  <c r="BD206" i="241"/>
  <c r="BD54" i="241"/>
  <c r="BD119" i="241"/>
  <c r="BD222" i="241"/>
  <c r="BD92" i="241"/>
  <c r="BD265" i="241"/>
  <c r="BD185" i="241"/>
  <c r="BD218" i="241"/>
  <c r="BD154" i="241"/>
  <c r="BD58" i="241"/>
  <c r="BD269" i="241"/>
  <c r="BD123" i="241"/>
  <c r="BD33" i="241"/>
  <c r="BD220" i="241"/>
  <c r="BD60" i="241"/>
  <c r="BD237" i="241"/>
  <c r="BD183" i="241"/>
  <c r="BD240" i="241"/>
  <c r="BD153" i="241"/>
  <c r="BD217" i="241"/>
  <c r="BD14" i="241"/>
  <c r="BD99" i="241"/>
  <c r="BD189" i="241"/>
  <c r="BD267" i="241"/>
  <c r="BD31" i="241"/>
  <c r="BD182" i="241"/>
  <c r="BD151" i="241"/>
  <c r="BD184" i="241"/>
  <c r="BD120" i="241"/>
  <c r="BD24" i="241"/>
  <c r="BD59" i="241"/>
  <c r="BD98" i="241"/>
  <c r="BD68" i="241"/>
  <c r="BD148" i="241"/>
  <c r="BD104" i="241"/>
  <c r="BD86" i="241"/>
  <c r="BD87" i="241"/>
  <c r="BD186" i="241"/>
  <c r="BD20" i="241"/>
  <c r="BD172" i="241"/>
  <c r="BD114" i="241"/>
  <c r="BD170" i="241"/>
  <c r="BD271" i="241"/>
  <c r="BD233" i="241"/>
  <c r="BD231" i="241"/>
  <c r="BD201" i="241"/>
  <c r="BD203" i="241"/>
  <c r="BD236" i="241"/>
  <c r="BD263" i="241"/>
  <c r="BD27" i="241"/>
  <c r="BD258" i="241"/>
  <c r="BD55" i="241"/>
  <c r="BD149" i="241"/>
  <c r="BD238" i="241"/>
  <c r="BD234" i="241"/>
  <c r="BD118" i="241"/>
  <c r="AZ81" i="241"/>
  <c r="AZ14" i="241"/>
  <c r="AZ262" i="241"/>
  <c r="AZ101" i="241"/>
  <c r="AZ216" i="241"/>
  <c r="AZ88" i="241"/>
  <c r="AZ258" i="241"/>
  <c r="AZ222" i="241"/>
  <c r="AZ185" i="241"/>
  <c r="AZ218" i="241"/>
  <c r="AZ154" i="241"/>
  <c r="AZ58" i="241"/>
  <c r="AZ269" i="241"/>
  <c r="AZ123" i="241"/>
  <c r="AZ33" i="241"/>
  <c r="AZ220" i="241"/>
  <c r="AZ60" i="241"/>
  <c r="AZ98" i="241"/>
  <c r="AZ224" i="241"/>
  <c r="AZ19" i="241"/>
  <c r="AZ195" i="241"/>
  <c r="AZ225" i="241"/>
  <c r="AZ59" i="241"/>
  <c r="AZ117" i="241"/>
  <c r="AZ132" i="241"/>
  <c r="AZ49" i="241"/>
  <c r="AZ223" i="241"/>
  <c r="AZ133" i="241"/>
  <c r="AZ95" i="241"/>
  <c r="AZ29" i="241"/>
  <c r="AZ52" i="241"/>
  <c r="AZ162" i="241"/>
  <c r="AZ267" i="241"/>
  <c r="AZ121" i="241"/>
  <c r="AZ61" i="241"/>
  <c r="AZ31" i="241"/>
  <c r="AZ272" i="241"/>
  <c r="AZ206" i="241"/>
  <c r="AZ182" i="241"/>
  <c r="AZ54" i="241"/>
  <c r="AZ151" i="241"/>
  <c r="AZ184" i="241"/>
  <c r="AZ120" i="241"/>
  <c r="AZ24" i="241"/>
  <c r="AZ265" i="241"/>
  <c r="AZ17" i="241"/>
  <c r="AZ104" i="241"/>
  <c r="AZ170" i="241"/>
  <c r="AZ201" i="241"/>
  <c r="AZ189" i="241"/>
  <c r="AZ240" i="241"/>
  <c r="AZ268" i="241"/>
  <c r="AZ255" i="241"/>
  <c r="AZ167" i="241"/>
  <c r="AZ21" i="241"/>
  <c r="AZ46" i="241"/>
  <c r="AZ51" i="241"/>
  <c r="AZ217" i="241"/>
  <c r="AZ191" i="241"/>
  <c r="AZ194" i="241"/>
  <c r="AZ100" i="241"/>
  <c r="AZ122" i="241"/>
  <c r="AZ252" i="241"/>
  <c r="AZ34" i="241"/>
  <c r="AZ114" i="241"/>
  <c r="AZ168" i="241"/>
  <c r="AZ203" i="241"/>
  <c r="AZ149" i="241"/>
  <c r="AZ236" i="241"/>
  <c r="AZ118" i="241"/>
  <c r="AZ263" i="241"/>
  <c r="AZ233" i="241"/>
  <c r="AZ87" i="241"/>
  <c r="AZ27" i="241"/>
  <c r="AZ238" i="241"/>
  <c r="AZ172" i="241"/>
  <c r="AZ148" i="241"/>
  <c r="AZ20" i="241"/>
  <c r="AZ199" i="241"/>
  <c r="AZ116" i="241"/>
  <c r="AZ274" i="241"/>
  <c r="AZ32" i="241"/>
  <c r="AZ83" i="241"/>
  <c r="AZ270" i="241"/>
  <c r="AZ86" i="241"/>
  <c r="AZ186" i="241"/>
  <c r="AZ85" i="241"/>
  <c r="AZ25" i="241"/>
  <c r="AZ200" i="241"/>
  <c r="AZ82" i="241"/>
  <c r="AZ18" i="241"/>
  <c r="AZ259" i="241"/>
  <c r="AZ169" i="241"/>
  <c r="AZ115" i="241"/>
  <c r="AZ202" i="241"/>
  <c r="AZ84" i="241"/>
  <c r="AZ89" i="241"/>
  <c r="AZ188" i="241"/>
  <c r="AZ219" i="241"/>
  <c r="AZ16" i="241"/>
  <c r="AZ65" i="241"/>
  <c r="AZ126" i="241"/>
  <c r="AZ257" i="241"/>
  <c r="AZ197" i="241"/>
  <c r="AZ230" i="241"/>
  <c r="AZ136" i="241"/>
  <c r="AZ70" i="241"/>
  <c r="AZ166" i="241"/>
  <c r="AZ48" i="241"/>
  <c r="AZ128" i="241"/>
  <c r="AZ165" i="241"/>
  <c r="AZ153" i="241"/>
  <c r="AZ68" i="241"/>
  <c r="AZ234" i="241"/>
  <c r="AZ264" i="241"/>
  <c r="AZ163" i="241"/>
  <c r="AZ129" i="241"/>
  <c r="AZ204" i="241"/>
  <c r="AZ251" i="241"/>
  <c r="AZ15" i="241"/>
  <c r="AZ12" i="241"/>
  <c r="AZ229" i="241"/>
  <c r="AZ231" i="241"/>
  <c r="AZ47" i="241"/>
  <c r="AZ13" i="241"/>
  <c r="AZ187" i="241"/>
  <c r="AZ36" i="241"/>
  <c r="AZ221" i="241"/>
  <c r="AZ99" i="241"/>
  <c r="AZ67" i="241"/>
  <c r="AZ94" i="241"/>
  <c r="AZ127" i="241"/>
  <c r="AZ235" i="241"/>
  <c r="AZ92" i="241"/>
  <c r="AZ119" i="241"/>
  <c r="AZ157" i="241"/>
  <c r="AZ97" i="241"/>
  <c r="AZ156" i="241"/>
  <c r="AZ253" i="241"/>
  <c r="AZ152" i="241"/>
  <c r="AZ131" i="241"/>
  <c r="AZ50" i="241"/>
  <c r="AZ254" i="241"/>
  <c r="AZ30" i="241"/>
  <c r="AZ80" i="241"/>
  <c r="AZ135" i="241"/>
  <c r="AZ155" i="241"/>
  <c r="AZ161" i="241"/>
  <c r="AZ190" i="241"/>
  <c r="AZ64" i="241"/>
  <c r="AZ256" i="241"/>
  <c r="AZ160" i="241"/>
  <c r="AZ271" i="241"/>
  <c r="AZ134" i="241"/>
  <c r="AZ183" i="241"/>
  <c r="AZ63" i="241"/>
  <c r="AZ66" i="241"/>
  <c r="AZ55" i="241"/>
  <c r="AZ237" i="241"/>
  <c r="AZ138" i="241"/>
  <c r="AZ196" i="241"/>
  <c r="AZ250" i="241"/>
  <c r="AZ26" i="241"/>
  <c r="AZ53" i="241"/>
  <c r="AZ93" i="241"/>
  <c r="AZ228" i="241"/>
  <c r="AZ150" i="241"/>
  <c r="AZ102" i="241"/>
  <c r="AV93" i="241"/>
  <c r="AV270" i="241"/>
  <c r="AV59" i="241"/>
  <c r="AV34" i="241"/>
  <c r="AV83" i="241"/>
  <c r="AV186" i="241"/>
  <c r="AV257" i="241"/>
  <c r="AV197" i="241"/>
  <c r="AV167" i="241"/>
  <c r="AV21" i="241"/>
  <c r="AV230" i="241"/>
  <c r="AV136" i="241"/>
  <c r="AV70" i="241"/>
  <c r="AV46" i="241"/>
  <c r="AV51" i="241"/>
  <c r="AV238" i="241"/>
  <c r="AV172" i="241"/>
  <c r="AV148" i="241"/>
  <c r="AV20" i="241"/>
  <c r="AV199" i="241"/>
  <c r="AV274" i="241"/>
  <c r="AV134" i="241"/>
  <c r="AV116" i="241"/>
  <c r="AV150" i="241"/>
  <c r="AV123" i="241"/>
  <c r="AV271" i="241"/>
  <c r="AV117" i="241"/>
  <c r="AV16" i="241"/>
  <c r="AV250" i="241"/>
  <c r="AV50" i="241"/>
  <c r="AV153" i="241"/>
  <c r="AV26" i="241"/>
  <c r="AV92" i="241"/>
  <c r="AV231" i="241"/>
  <c r="AV258" i="241"/>
  <c r="AV262" i="241"/>
  <c r="AV99" i="241"/>
  <c r="AV234" i="241"/>
  <c r="AV126" i="241"/>
  <c r="AV49" i="241"/>
  <c r="AV194" i="241"/>
  <c r="AV100" i="241"/>
  <c r="AV223" i="241"/>
  <c r="AV163" i="241"/>
  <c r="AV133" i="241"/>
  <c r="AV235" i="241"/>
  <c r="AV202" i="241"/>
  <c r="AV84" i="241"/>
  <c r="AV89" i="241"/>
  <c r="AV129" i="241"/>
  <c r="AV218" i="241"/>
  <c r="AV58" i="241"/>
  <c r="AV217" i="241"/>
  <c r="AV160" i="241"/>
  <c r="AV201" i="241"/>
  <c r="AV128" i="241"/>
  <c r="AV119" i="241"/>
  <c r="AV31" i="241"/>
  <c r="AV182" i="241"/>
  <c r="AV54" i="241"/>
  <c r="AV151" i="241"/>
  <c r="AV265" i="241"/>
  <c r="AV183" i="241"/>
  <c r="AV98" i="241"/>
  <c r="AV189" i="241"/>
  <c r="AV240" i="241"/>
  <c r="AV19" i="241"/>
  <c r="AV47" i="241"/>
  <c r="AV170" i="241"/>
  <c r="AV81" i="241"/>
  <c r="AV52" i="241"/>
  <c r="AV95" i="241"/>
  <c r="AV155" i="241"/>
  <c r="AV132" i="241"/>
  <c r="AV221" i="241"/>
  <c r="AV161" i="241"/>
  <c r="AV131" i="241"/>
  <c r="AV190" i="241"/>
  <c r="AV64" i="241"/>
  <c r="AV251" i="241"/>
  <c r="AV15" i="241"/>
  <c r="AV225" i="241"/>
  <c r="AV166" i="241"/>
  <c r="AV48" i="241"/>
  <c r="AV29" i="241"/>
  <c r="AV224" i="241"/>
  <c r="AV264" i="241"/>
  <c r="AV269" i="241"/>
  <c r="AV33" i="241"/>
  <c r="AV66" i="241"/>
  <c r="AV53" i="241"/>
  <c r="AV237" i="241"/>
  <c r="AV32" i="241"/>
  <c r="AV228" i="241"/>
  <c r="AV61" i="241"/>
  <c r="AV206" i="241"/>
  <c r="AV30" i="241"/>
  <c r="AV14" i="241"/>
  <c r="AV65" i="241"/>
  <c r="AV222" i="241"/>
  <c r="AV252" i="241"/>
  <c r="AV86" i="241"/>
  <c r="AV152" i="241"/>
  <c r="AV55" i="241"/>
  <c r="AV255" i="241"/>
  <c r="AV101" i="241"/>
  <c r="AV138" i="241"/>
  <c r="AV204" i="241"/>
  <c r="AV157" i="241"/>
  <c r="AV67" i="241"/>
  <c r="AV13" i="241"/>
  <c r="AV254" i="241"/>
  <c r="AV94" i="241"/>
  <c r="AV187" i="241"/>
  <c r="AV127" i="241"/>
  <c r="AV97" i="241"/>
  <c r="AV196" i="241"/>
  <c r="AV102" i="241"/>
  <c r="AV36" i="241"/>
  <c r="AV12" i="241"/>
  <c r="AV229" i="241"/>
  <c r="AV122" i="241"/>
  <c r="AV216" i="241"/>
  <c r="AV219" i="241"/>
  <c r="AV185" i="241"/>
  <c r="AV154" i="241"/>
  <c r="AV256" i="241"/>
  <c r="AV68" i="241"/>
  <c r="AV104" i="241"/>
  <c r="AV267" i="241"/>
  <c r="AV121" i="241"/>
  <c r="AV272" i="241"/>
  <c r="AV156" i="241"/>
  <c r="AV80" i="241"/>
  <c r="AV135" i="241"/>
  <c r="AV168" i="241"/>
  <c r="AV85" i="241"/>
  <c r="AV259" i="241"/>
  <c r="AV17" i="241"/>
  <c r="AV188" i="241"/>
  <c r="AV268" i="241"/>
  <c r="AV191" i="241"/>
  <c r="AV233" i="241"/>
  <c r="AV60" i="241"/>
  <c r="AV200" i="241"/>
  <c r="AV82" i="241"/>
  <c r="AV115" i="241"/>
  <c r="AV184" i="241"/>
  <c r="AV165" i="241"/>
  <c r="AV149" i="241"/>
  <c r="AV87" i="241"/>
  <c r="AV88" i="241"/>
  <c r="AV25" i="241"/>
  <c r="AV24" i="241"/>
  <c r="AV63" i="241"/>
  <c r="AV195" i="241"/>
  <c r="AV114" i="241"/>
  <c r="AV18" i="241"/>
  <c r="AV169" i="241"/>
  <c r="AV120" i="241"/>
  <c r="AV253" i="241"/>
  <c r="AV162" i="241"/>
  <c r="AV203" i="241"/>
  <c r="AV236" i="241"/>
  <c r="AV118" i="241"/>
  <c r="AV263" i="241"/>
  <c r="AV27" i="241"/>
  <c r="AV220" i="241"/>
  <c r="AR48" i="241"/>
  <c r="AR59" i="241"/>
  <c r="AR265" i="241"/>
  <c r="AR68" i="241"/>
  <c r="AR229" i="241"/>
  <c r="AR63" i="241"/>
  <c r="AR66" i="241"/>
  <c r="AR36" i="241"/>
  <c r="AR240" i="241"/>
  <c r="AR34" i="241"/>
  <c r="AR84" i="241"/>
  <c r="AR129" i="241"/>
  <c r="AR170" i="241"/>
  <c r="AR221" i="241"/>
  <c r="AR161" i="241"/>
  <c r="AR131" i="241"/>
  <c r="AR230" i="241"/>
  <c r="AR136" i="241"/>
  <c r="AR70" i="241"/>
  <c r="AR46" i="241"/>
  <c r="AR259" i="241"/>
  <c r="AR169" i="241"/>
  <c r="AR115" i="241"/>
  <c r="AR274" i="241"/>
  <c r="AR152" i="241"/>
  <c r="AR196" i="241"/>
  <c r="AR188" i="241"/>
  <c r="AR204" i="241"/>
  <c r="AR50" i="241"/>
  <c r="AR255" i="241"/>
  <c r="AR149" i="241"/>
  <c r="AR127" i="241"/>
  <c r="AR135" i="241"/>
  <c r="AR225" i="241"/>
  <c r="AR156" i="241"/>
  <c r="AR19" i="241"/>
  <c r="AR155" i="241"/>
  <c r="AR25" i="241"/>
  <c r="AR114" i="241"/>
  <c r="AR253" i="241"/>
  <c r="AR162" i="241"/>
  <c r="AR24" i="241"/>
  <c r="AR224" i="241"/>
  <c r="AR238" i="241"/>
  <c r="AR222" i="241"/>
  <c r="AR53" i="241"/>
  <c r="AR217" i="241"/>
  <c r="AR148" i="241"/>
  <c r="AR189" i="241"/>
  <c r="AR231" i="241"/>
  <c r="AR157" i="241"/>
  <c r="AR67" i="241"/>
  <c r="AR13" i="241"/>
  <c r="AR220" i="241"/>
  <c r="AR194" i="241"/>
  <c r="AR100" i="241"/>
  <c r="AR51" i="241"/>
  <c r="AR120" i="241"/>
  <c r="AR101" i="241"/>
  <c r="AR218" i="241"/>
  <c r="AR187" i="241"/>
  <c r="AR250" i="241"/>
  <c r="AR153" i="241"/>
  <c r="AR201" i="241"/>
  <c r="AR182" i="241"/>
  <c r="AR269" i="241"/>
  <c r="AR197" i="241"/>
  <c r="AR236" i="241"/>
  <c r="AR168" i="241"/>
  <c r="AR258" i="241"/>
  <c r="AR199" i="241"/>
  <c r="AR29" i="241"/>
  <c r="AR122" i="241"/>
  <c r="AR132" i="241"/>
  <c r="AR195" i="241"/>
  <c r="AR237" i="241"/>
  <c r="AR185" i="241"/>
  <c r="AR190" i="241"/>
  <c r="AR64" i="241"/>
  <c r="AR223" i="241"/>
  <c r="AR163" i="241"/>
  <c r="AR133" i="241"/>
  <c r="AR30" i="241"/>
  <c r="AR81" i="241"/>
  <c r="AR126" i="241"/>
  <c r="AR128" i="241"/>
  <c r="AR184" i="241"/>
  <c r="AR17" i="241"/>
  <c r="AR270" i="241"/>
  <c r="AR95" i="241"/>
  <c r="AR203" i="241"/>
  <c r="AR256" i="241"/>
  <c r="AR154" i="241"/>
  <c r="AR97" i="241"/>
  <c r="AR98" i="241"/>
  <c r="AR271" i="241"/>
  <c r="AR216" i="241"/>
  <c r="AR52" i="241"/>
  <c r="AR85" i="241"/>
  <c r="AR272" i="241"/>
  <c r="AR54" i="241"/>
  <c r="AR123" i="241"/>
  <c r="AR33" i="241"/>
  <c r="AR183" i="241"/>
  <c r="AR165" i="241"/>
  <c r="AR167" i="241"/>
  <c r="AR172" i="241"/>
  <c r="AR32" i="241"/>
  <c r="AR14" i="241"/>
  <c r="AR264" i="241"/>
  <c r="AR252" i="241"/>
  <c r="AR99" i="241"/>
  <c r="AR150" i="241"/>
  <c r="AR89" i="241"/>
  <c r="AR267" i="241"/>
  <c r="AR121" i="241"/>
  <c r="AR61" i="241"/>
  <c r="AR31" i="241"/>
  <c r="AR202" i="241"/>
  <c r="AR254" i="241"/>
  <c r="AR94" i="241"/>
  <c r="AR251" i="241"/>
  <c r="AR15" i="241"/>
  <c r="AR186" i="241"/>
  <c r="AR20" i="241"/>
  <c r="AR166" i="241"/>
  <c r="AR58" i="241"/>
  <c r="AR26" i="241"/>
  <c r="AR102" i="241"/>
  <c r="AR206" i="241"/>
  <c r="AR83" i="241"/>
  <c r="AR134" i="241"/>
  <c r="AR138" i="241"/>
  <c r="AR160" i="241"/>
  <c r="AR257" i="241"/>
  <c r="AR21" i="241"/>
  <c r="AR118" i="241"/>
  <c r="AR88" i="241"/>
  <c r="AR93" i="241"/>
  <c r="AR219" i="241"/>
  <c r="AR104" i="241"/>
  <c r="AR117" i="241"/>
  <c r="AR49" i="241"/>
  <c r="AR233" i="241"/>
  <c r="AR16" i="241"/>
  <c r="AR116" i="241"/>
  <c r="AR151" i="241"/>
  <c r="AR86" i="241"/>
  <c r="AR27" i="241"/>
  <c r="AR234" i="241"/>
  <c r="AR82" i="241"/>
  <c r="AR55" i="241"/>
  <c r="AR262" i="241"/>
  <c r="AR119" i="241"/>
  <c r="AR65" i="241"/>
  <c r="AR235" i="241"/>
  <c r="AR92" i="241"/>
  <c r="AR12" i="241"/>
  <c r="AR87" i="241"/>
  <c r="AR60" i="241"/>
  <c r="AR268" i="241"/>
  <c r="AR191" i="241"/>
  <c r="AR228" i="241"/>
  <c r="AR18" i="241"/>
  <c r="AR47" i="241"/>
  <c r="AR200" i="241"/>
  <c r="AR80" i="241"/>
  <c r="AR263" i="241"/>
  <c r="AN262" i="241"/>
  <c r="AN36" i="241"/>
  <c r="AN16" i="241"/>
  <c r="AN29" i="241"/>
  <c r="AN49" i="241"/>
  <c r="AN259" i="241"/>
  <c r="AN169" i="241"/>
  <c r="AN115" i="241"/>
  <c r="AN189" i="241"/>
  <c r="AN65" i="241"/>
  <c r="AN120" i="241"/>
  <c r="AN68" i="241"/>
  <c r="AN26" i="241"/>
  <c r="AN134" i="241"/>
  <c r="AN229" i="241"/>
  <c r="AN184" i="241"/>
  <c r="AN148" i="241"/>
  <c r="AN204" i="241"/>
  <c r="AN152" i="241"/>
  <c r="AN101" i="241"/>
  <c r="AN19" i="241"/>
  <c r="AN258" i="241"/>
  <c r="AN157" i="241"/>
  <c r="AN133" i="241"/>
  <c r="AN17" i="241"/>
  <c r="AN102" i="241"/>
  <c r="AN24" i="241"/>
  <c r="AN217" i="241"/>
  <c r="AN224" i="241"/>
  <c r="AN170" i="241"/>
  <c r="AN222" i="241"/>
  <c r="AN66" i="241"/>
  <c r="AN202" i="241"/>
  <c r="AN156" i="241"/>
  <c r="AN251" i="241"/>
  <c r="AN256" i="241"/>
  <c r="AN55" i="241"/>
  <c r="AN172" i="241"/>
  <c r="AN46" i="241"/>
  <c r="AN166" i="241"/>
  <c r="AN264" i="241"/>
  <c r="AN122" i="241"/>
  <c r="AN252" i="241"/>
  <c r="AN138" i="241"/>
  <c r="AN121" i="241"/>
  <c r="AN61" i="241"/>
  <c r="AN97" i="241"/>
  <c r="AN206" i="241"/>
  <c r="AN129" i="241"/>
  <c r="AN201" i="241"/>
  <c r="AN270" i="241"/>
  <c r="AN63" i="241"/>
  <c r="AN237" i="241"/>
  <c r="AN188" i="241"/>
  <c r="AN118" i="241"/>
  <c r="AN203" i="241"/>
  <c r="AN149" i="241"/>
  <c r="AN269" i="241"/>
  <c r="AN186" i="241"/>
  <c r="AN190" i="241"/>
  <c r="AN135" i="241"/>
  <c r="AN100" i="241"/>
  <c r="AN93" i="241"/>
  <c r="AN268" i="241"/>
  <c r="AN47" i="241"/>
  <c r="AN20" i="241"/>
  <c r="AN238" i="241"/>
  <c r="AN221" i="241"/>
  <c r="AN161" i="241"/>
  <c r="AN131" i="241"/>
  <c r="AN51" i="241"/>
  <c r="AN265" i="241"/>
  <c r="AN231" i="241"/>
  <c r="AN240" i="241"/>
  <c r="AN219" i="241"/>
  <c r="AN119" i="241"/>
  <c r="AN153" i="241"/>
  <c r="AN12" i="241"/>
  <c r="AN58" i="241"/>
  <c r="AN168" i="241"/>
  <c r="AN234" i="241"/>
  <c r="AN150" i="241"/>
  <c r="AN225" i="241"/>
  <c r="AN200" i="241"/>
  <c r="AN67" i="241"/>
  <c r="AN13" i="241"/>
  <c r="AN223" i="241"/>
  <c r="AN163" i="241"/>
  <c r="AN182" i="241"/>
  <c r="AN99" i="241"/>
  <c r="AN18" i="241"/>
  <c r="AN136" i="241"/>
  <c r="AN60" i="241"/>
  <c r="AN132" i="241"/>
  <c r="AN116" i="241"/>
  <c r="AN195" i="241"/>
  <c r="AN183" i="241"/>
  <c r="AN220" i="241"/>
  <c r="AN185" i="241"/>
  <c r="AN15" i="241"/>
  <c r="AN95" i="241"/>
  <c r="AN14" i="241"/>
  <c r="AN271" i="241"/>
  <c r="AN104" i="241"/>
  <c r="AN230" i="241"/>
  <c r="AN59" i="241"/>
  <c r="AN162" i="241"/>
  <c r="AN267" i="241"/>
  <c r="AN31" i="241"/>
  <c r="AN187" i="241"/>
  <c r="AN127" i="241"/>
  <c r="AN228" i="241"/>
  <c r="AN52" i="241"/>
  <c r="AN165" i="241"/>
  <c r="AN81" i="241"/>
  <c r="AN50" i="241"/>
  <c r="AN98" i="241"/>
  <c r="AN123" i="241"/>
  <c r="AN33" i="241"/>
  <c r="AN274" i="241"/>
  <c r="AN94" i="241"/>
  <c r="AN48" i="241"/>
  <c r="AN253" i="241"/>
  <c r="AN257" i="241"/>
  <c r="AN233" i="241"/>
  <c r="AN155" i="241"/>
  <c r="AN216" i="241"/>
  <c r="AN30" i="241"/>
  <c r="AN197" i="241"/>
  <c r="AN235" i="241"/>
  <c r="AN167" i="241"/>
  <c r="AN25" i="241"/>
  <c r="AN83" i="241"/>
  <c r="AN191" i="241"/>
  <c r="AN64" i="241"/>
  <c r="AN254" i="241"/>
  <c r="AN199" i="241"/>
  <c r="AN84" i="241"/>
  <c r="AN54" i="241"/>
  <c r="AN151" i="241"/>
  <c r="AN86" i="241"/>
  <c r="AN80" i="241"/>
  <c r="AN263" i="241"/>
  <c r="AN27" i="241"/>
  <c r="AN53" i="241"/>
  <c r="AN114" i="241"/>
  <c r="AN250" i="241"/>
  <c r="AN32" i="241"/>
  <c r="AN128" i="241"/>
  <c r="AN218" i="241"/>
  <c r="AN126" i="241"/>
  <c r="AN87" i="241"/>
  <c r="AN117" i="241"/>
  <c r="AN236" i="241"/>
  <c r="AN82" i="241"/>
  <c r="AN70" i="241"/>
  <c r="AN21" i="241"/>
  <c r="AN154" i="241"/>
  <c r="AN160" i="241"/>
  <c r="AN88" i="241"/>
  <c r="AN89" i="241"/>
  <c r="AN272" i="241"/>
  <c r="AN196" i="241"/>
  <c r="AN92" i="241"/>
  <c r="AN194" i="241"/>
  <c r="AN255" i="241"/>
  <c r="AN85" i="241"/>
  <c r="AN34" i="241"/>
  <c r="AJ49" i="241"/>
  <c r="AJ194" i="241"/>
  <c r="AJ100" i="241"/>
  <c r="AJ120" i="241"/>
  <c r="AJ263" i="241"/>
  <c r="AJ233" i="241"/>
  <c r="AJ87" i="241"/>
  <c r="AJ27" i="241"/>
  <c r="AJ256" i="241"/>
  <c r="AJ258" i="241"/>
  <c r="AJ80" i="241"/>
  <c r="AJ32" i="241"/>
  <c r="AJ26" i="241"/>
  <c r="AJ63" i="241"/>
  <c r="AJ186" i="241"/>
  <c r="AJ52" i="241"/>
  <c r="AJ50" i="241"/>
  <c r="AJ138" i="241"/>
  <c r="AJ162" i="241"/>
  <c r="AJ126" i="241"/>
  <c r="AJ95" i="241"/>
  <c r="AJ81" i="241"/>
  <c r="AJ89" i="241"/>
  <c r="AJ157" i="241"/>
  <c r="AJ254" i="241"/>
  <c r="AJ94" i="241"/>
  <c r="AJ166" i="241"/>
  <c r="AJ51" i="241"/>
  <c r="AJ172" i="241"/>
  <c r="AJ225" i="241"/>
  <c r="AJ14" i="241"/>
  <c r="AJ122" i="241"/>
  <c r="AJ152" i="241"/>
  <c r="AJ101" i="241"/>
  <c r="AJ185" i="241"/>
  <c r="AJ154" i="241"/>
  <c r="AJ223" i="241"/>
  <c r="AJ163" i="241"/>
  <c r="AJ274" i="241"/>
  <c r="AJ86" i="241"/>
  <c r="AJ48" i="241"/>
  <c r="AJ134" i="241"/>
  <c r="AJ216" i="241"/>
  <c r="AJ224" i="241"/>
  <c r="AJ121" i="241"/>
  <c r="AJ61" i="241"/>
  <c r="AJ272" i="241"/>
  <c r="AJ206" i="241"/>
  <c r="AJ251" i="241"/>
  <c r="AJ189" i="241"/>
  <c r="AJ53" i="241"/>
  <c r="AJ255" i="241"/>
  <c r="AJ93" i="241"/>
  <c r="AJ270" i="241"/>
  <c r="AJ201" i="241"/>
  <c r="AJ34" i="241"/>
  <c r="AJ236" i="241"/>
  <c r="AJ118" i="241"/>
  <c r="AJ187" i="241"/>
  <c r="AJ127" i="241"/>
  <c r="AJ156" i="241"/>
  <c r="AJ271" i="241"/>
  <c r="AJ188" i="241"/>
  <c r="AJ83" i="241"/>
  <c r="AJ221" i="241"/>
  <c r="AJ161" i="241"/>
  <c r="AJ131" i="241"/>
  <c r="AJ190" i="241"/>
  <c r="AJ64" i="241"/>
  <c r="AJ259" i="241"/>
  <c r="AJ169" i="241"/>
  <c r="AJ115" i="241"/>
  <c r="AJ229" i="241"/>
  <c r="AJ199" i="241"/>
  <c r="AJ68" i="241"/>
  <c r="AJ17" i="241"/>
  <c r="AJ117" i="241"/>
  <c r="AJ36" i="241"/>
  <c r="AJ132" i="241"/>
  <c r="AJ119" i="241"/>
  <c r="AJ114" i="241"/>
  <c r="AJ67" i="241"/>
  <c r="AJ13" i="241"/>
  <c r="AJ102" i="241"/>
  <c r="AJ220" i="241"/>
  <c r="AJ222" i="241"/>
  <c r="AJ98" i="241"/>
  <c r="AJ252" i="241"/>
  <c r="AJ218" i="241"/>
  <c r="AJ58" i="241"/>
  <c r="AJ160" i="241"/>
  <c r="AJ133" i="241"/>
  <c r="AJ253" i="241"/>
  <c r="AJ250" i="241"/>
  <c r="AJ59" i="241"/>
  <c r="AJ228" i="241"/>
  <c r="AJ12" i="241"/>
  <c r="AJ99" i="241"/>
  <c r="AJ183" i="241"/>
  <c r="AJ191" i="241"/>
  <c r="AJ150" i="241"/>
  <c r="AJ267" i="241"/>
  <c r="AJ31" i="241"/>
  <c r="AJ182" i="241"/>
  <c r="AJ54" i="241"/>
  <c r="AJ15" i="241"/>
  <c r="AJ238" i="241"/>
  <c r="AJ153" i="241"/>
  <c r="AJ128" i="241"/>
  <c r="AJ155" i="241"/>
  <c r="AJ55" i="241"/>
  <c r="AJ168" i="241"/>
  <c r="AJ170" i="241"/>
  <c r="AJ203" i="241"/>
  <c r="AJ149" i="241"/>
  <c r="AJ97" i="241"/>
  <c r="AJ202" i="241"/>
  <c r="AJ217" i="241"/>
  <c r="AJ268" i="241"/>
  <c r="AJ88" i="241"/>
  <c r="AJ200" i="241"/>
  <c r="AJ82" i="241"/>
  <c r="AJ269" i="241"/>
  <c r="AJ33" i="241"/>
  <c r="AJ231" i="241"/>
  <c r="AJ240" i="241"/>
  <c r="AJ60" i="241"/>
  <c r="AJ24" i="241"/>
  <c r="AJ184" i="241"/>
  <c r="AJ195" i="241"/>
  <c r="AJ46" i="241"/>
  <c r="AJ148" i="241"/>
  <c r="AJ47" i="241"/>
  <c r="AJ20" i="241"/>
  <c r="AJ136" i="241"/>
  <c r="AJ265" i="241"/>
  <c r="AJ204" i="241"/>
  <c r="AJ85" i="241"/>
  <c r="AJ135" i="241"/>
  <c r="AJ237" i="241"/>
  <c r="AJ234" i="241"/>
  <c r="AJ16" i="241"/>
  <c r="AJ167" i="241"/>
  <c r="AJ70" i="241"/>
  <c r="AJ151" i="241"/>
  <c r="AJ196" i="241"/>
  <c r="AJ116" i="241"/>
  <c r="AJ19" i="241"/>
  <c r="AJ25" i="241"/>
  <c r="AJ123" i="241"/>
  <c r="AJ104" i="241"/>
  <c r="AJ30" i="241"/>
  <c r="AJ257" i="241"/>
  <c r="AJ21" i="241"/>
  <c r="AJ92" i="241"/>
  <c r="AJ18" i="241"/>
  <c r="AJ165" i="241"/>
  <c r="AJ219" i="241"/>
  <c r="AJ84" i="241"/>
  <c r="AJ65" i="241"/>
  <c r="AJ262" i="241"/>
  <c r="AJ66" i="241"/>
  <c r="AJ264" i="241"/>
  <c r="AJ197" i="241"/>
  <c r="AJ230" i="241"/>
  <c r="AJ235" i="241"/>
  <c r="AJ29" i="241"/>
  <c r="AJ129" i="241"/>
  <c r="AF53" i="241"/>
  <c r="AF134" i="241"/>
  <c r="AF92" i="241"/>
  <c r="AF199" i="241"/>
  <c r="AF217" i="241"/>
  <c r="AF190" i="241"/>
  <c r="AF234" i="241"/>
  <c r="AF119" i="241"/>
  <c r="AF157" i="241"/>
  <c r="AF67" i="241"/>
  <c r="AF13" i="241"/>
  <c r="AF254" i="241"/>
  <c r="AF51" i="241"/>
  <c r="AF86" i="241"/>
  <c r="AF34" i="241"/>
  <c r="AF274" i="241"/>
  <c r="AF238" i="241"/>
  <c r="AF196" i="241"/>
  <c r="AF128" i="241"/>
  <c r="AF253" i="241"/>
  <c r="AF50" i="241"/>
  <c r="AF88" i="241"/>
  <c r="AF252" i="241"/>
  <c r="AF148" i="241"/>
  <c r="AF46" i="241"/>
  <c r="AF189" i="241"/>
  <c r="AF267" i="241"/>
  <c r="AF31" i="241"/>
  <c r="AF15" i="241"/>
  <c r="AF26" i="241"/>
  <c r="AF219" i="241"/>
  <c r="AF80" i="241"/>
  <c r="AF200" i="241"/>
  <c r="AF138" i="241"/>
  <c r="AF12" i="241"/>
  <c r="AF218" i="241"/>
  <c r="AF129" i="241"/>
  <c r="AF156" i="241"/>
  <c r="AF203" i="241"/>
  <c r="AF149" i="241"/>
  <c r="AF97" i="241"/>
  <c r="AF116" i="241"/>
  <c r="AF184" i="241"/>
  <c r="AF58" i="241"/>
  <c r="AF122" i="241"/>
  <c r="AF81" i="241"/>
  <c r="AF29" i="241"/>
  <c r="AF85" i="241"/>
  <c r="AF25" i="241"/>
  <c r="AF269" i="241"/>
  <c r="AF33" i="241"/>
  <c r="AF102" i="241"/>
  <c r="AF250" i="241"/>
  <c r="AF82" i="241"/>
  <c r="AF166" i="241"/>
  <c r="AF153" i="241"/>
  <c r="AF47" i="241"/>
  <c r="AF117" i="241"/>
  <c r="AF224" i="241"/>
  <c r="AF24" i="241"/>
  <c r="AF167" i="241"/>
  <c r="AF21" i="241"/>
  <c r="AF151" i="241"/>
  <c r="AF162" i="241"/>
  <c r="AF99" i="241"/>
  <c r="AF225" i="241"/>
  <c r="AF165" i="241"/>
  <c r="AF263" i="241"/>
  <c r="AF87" i="241"/>
  <c r="AF27" i="241"/>
  <c r="AF52" i="241"/>
  <c r="AF255" i="241"/>
  <c r="AF36" i="241"/>
  <c r="AF101" i="241"/>
  <c r="AF155" i="241"/>
  <c r="AF84" i="241"/>
  <c r="AF186" i="241"/>
  <c r="AF172" i="241"/>
  <c r="AF265" i="241"/>
  <c r="AF100" i="241"/>
  <c r="AF202" i="241"/>
  <c r="AF185" i="241"/>
  <c r="AF223" i="241"/>
  <c r="AF163" i="241"/>
  <c r="AF133" i="241"/>
  <c r="AF216" i="241"/>
  <c r="AF30" i="241"/>
  <c r="AF132" i="241"/>
  <c r="AF268" i="241"/>
  <c r="AF136" i="241"/>
  <c r="AF94" i="241"/>
  <c r="AF55" i="241"/>
  <c r="AF17" i="241"/>
  <c r="AF66" i="241"/>
  <c r="AF264" i="241"/>
  <c r="AF195" i="241"/>
  <c r="AF135" i="241"/>
  <c r="AF183" i="241"/>
  <c r="AF121" i="241"/>
  <c r="AF61" i="241"/>
  <c r="AF272" i="241"/>
  <c r="AF251" i="241"/>
  <c r="AF256" i="241"/>
  <c r="AF120" i="241"/>
  <c r="AF68" i="241"/>
  <c r="AF262" i="241"/>
  <c r="AF89" i="241"/>
  <c r="AF188" i="241"/>
  <c r="AF271" i="241"/>
  <c r="AF258" i="241"/>
  <c r="AF70" i="241"/>
  <c r="AF237" i="241"/>
  <c r="AF65" i="241"/>
  <c r="AF114" i="241"/>
  <c r="AF187" i="241"/>
  <c r="AF127" i="241"/>
  <c r="AF240" i="241"/>
  <c r="AF98" i="241"/>
  <c r="AF191" i="241"/>
  <c r="AF236" i="241"/>
  <c r="AF230" i="241"/>
  <c r="AF104" i="241"/>
  <c r="AF83" i="241"/>
  <c r="AF93" i="241"/>
  <c r="AF123" i="241"/>
  <c r="AF60" i="241"/>
  <c r="AF201" i="241"/>
  <c r="AF222" i="241"/>
  <c r="AF220" i="241"/>
  <c r="AF160" i="241"/>
  <c r="AF229" i="241"/>
  <c r="AF194" i="241"/>
  <c r="AF32" i="241"/>
  <c r="AF59" i="241"/>
  <c r="AF63" i="241"/>
  <c r="AF95" i="241"/>
  <c r="AF257" i="241"/>
  <c r="AF197" i="241"/>
  <c r="AF14" i="241"/>
  <c r="AF20" i="241"/>
  <c r="AF270" i="241"/>
  <c r="AF126" i="241"/>
  <c r="AF49" i="241"/>
  <c r="AF233" i="241"/>
  <c r="AF228" i="241"/>
  <c r="AF170" i="241"/>
  <c r="AF235" i="241"/>
  <c r="AF154" i="241"/>
  <c r="AF131" i="241"/>
  <c r="AF231" i="241"/>
  <c r="AF19" i="241"/>
  <c r="AF182" i="241"/>
  <c r="AF115" i="241"/>
  <c r="AF168" i="241"/>
  <c r="AF64" i="241"/>
  <c r="AF48" i="241"/>
  <c r="AF152" i="241"/>
  <c r="AF259" i="241"/>
  <c r="AF150" i="241"/>
  <c r="AF54" i="241"/>
  <c r="AF206" i="241"/>
  <c r="AF169" i="241"/>
  <c r="AF18" i="241"/>
  <c r="AF118" i="241"/>
  <c r="AF161" i="241"/>
  <c r="AF204" i="241"/>
  <c r="AF221" i="241"/>
  <c r="AF16" i="241"/>
  <c r="AB234" i="241"/>
  <c r="AB54" i="241"/>
  <c r="AB200" i="241"/>
  <c r="AB20" i="241"/>
  <c r="AB221" i="241"/>
  <c r="AB161" i="241"/>
  <c r="AB131" i="241"/>
  <c r="AB259" i="241"/>
  <c r="AB169" i="241"/>
  <c r="AB115" i="241"/>
  <c r="AB182" i="241"/>
  <c r="AB99" i="241"/>
  <c r="AB18" i="241"/>
  <c r="AB102" i="241"/>
  <c r="AB60" i="241"/>
  <c r="AB219" i="241"/>
  <c r="AB81" i="241"/>
  <c r="AB63" i="241"/>
  <c r="AB190" i="241"/>
  <c r="AB224" i="241"/>
  <c r="AB135" i="241"/>
  <c r="AB183" i="241"/>
  <c r="AB16" i="241"/>
  <c r="AB133" i="241"/>
  <c r="AB228" i="241"/>
  <c r="AB52" i="241"/>
  <c r="AB264" i="241"/>
  <c r="AB98" i="241"/>
  <c r="AB121" i="241"/>
  <c r="AB61" i="241"/>
  <c r="AB272" i="241"/>
  <c r="AB251" i="241"/>
  <c r="AB48" i="241"/>
  <c r="AB165" i="241"/>
  <c r="AB29" i="241"/>
  <c r="AB186" i="241"/>
  <c r="AB36" i="241"/>
  <c r="AB156" i="241"/>
  <c r="AB258" i="241"/>
  <c r="AB203" i="241"/>
  <c r="AB149" i="241"/>
  <c r="AB187" i="241"/>
  <c r="AB127" i="241"/>
  <c r="AB34" i="241"/>
  <c r="AB64" i="241"/>
  <c r="AB114" i="241"/>
  <c r="AB128" i="241"/>
  <c r="AB93" i="241"/>
  <c r="AB53" i="241"/>
  <c r="AB33" i="241"/>
  <c r="AB155" i="241"/>
  <c r="AB250" i="241"/>
  <c r="AB255" i="241"/>
  <c r="AB46" i="241"/>
  <c r="AB24" i="241"/>
  <c r="AB19" i="241"/>
  <c r="AB116" i="241"/>
  <c r="AB162" i="241"/>
  <c r="AB257" i="241"/>
  <c r="AB197" i="241"/>
  <c r="AB167" i="241"/>
  <c r="AB188" i="241"/>
  <c r="AB195" i="241"/>
  <c r="AB202" i="241"/>
  <c r="AB80" i="241"/>
  <c r="AB157" i="241"/>
  <c r="AB67" i="241"/>
  <c r="AB13" i="241"/>
  <c r="AB254" i="241"/>
  <c r="AB51" i="241"/>
  <c r="AB95" i="241"/>
  <c r="AB201" i="241"/>
  <c r="AB14" i="241"/>
  <c r="AB82" i="241"/>
  <c r="AB152" i="241"/>
  <c r="AB17" i="241"/>
  <c r="AB70" i="241"/>
  <c r="AB134" i="241"/>
  <c r="AB196" i="241"/>
  <c r="AB184" i="241"/>
  <c r="AB256" i="241"/>
  <c r="AB47" i="241"/>
  <c r="AB104" i="241"/>
  <c r="AB166" i="241"/>
  <c r="AB230" i="241"/>
  <c r="AB84" i="241"/>
  <c r="AB185" i="241"/>
  <c r="AB223" i="241"/>
  <c r="AB163" i="241"/>
  <c r="AB206" i="241"/>
  <c r="AB129" i="241"/>
  <c r="AB270" i="241"/>
  <c r="AB271" i="241"/>
  <c r="AB58" i="241"/>
  <c r="AB237" i="241"/>
  <c r="AB92" i="241"/>
  <c r="AB218" i="241"/>
  <c r="AB238" i="241"/>
  <c r="AB66" i="241"/>
  <c r="AB267" i="241"/>
  <c r="AB31" i="241"/>
  <c r="AB15" i="241"/>
  <c r="AB274" i="241"/>
  <c r="AB88" i="241"/>
  <c r="AB126" i="241"/>
  <c r="AB118" i="241"/>
  <c r="AB225" i="241"/>
  <c r="AB97" i="241"/>
  <c r="AB236" i="241"/>
  <c r="AB83" i="241"/>
  <c r="AB86" i="241"/>
  <c r="AB50" i="241"/>
  <c r="AB170" i="241"/>
  <c r="AB191" i="241"/>
  <c r="AB168" i="241"/>
  <c r="AB150" i="241"/>
  <c r="AB220" i="241"/>
  <c r="AB32" i="241"/>
  <c r="AB85" i="241"/>
  <c r="AB25" i="241"/>
  <c r="AB269" i="241"/>
  <c r="AB123" i="241"/>
  <c r="AB194" i="241"/>
  <c r="AB117" i="241"/>
  <c r="AB216" i="241"/>
  <c r="AB30" i="241"/>
  <c r="AB119" i="241"/>
  <c r="AB101" i="241"/>
  <c r="AB229" i="241"/>
  <c r="AB217" i="241"/>
  <c r="AB199" i="241"/>
  <c r="AB100" i="241"/>
  <c r="AB21" i="241"/>
  <c r="AB262" i="241"/>
  <c r="AB12" i="241"/>
  <c r="AB268" i="241"/>
  <c r="AB151" i="241"/>
  <c r="AB231" i="241"/>
  <c r="AB235" i="241"/>
  <c r="AB252" i="241"/>
  <c r="AB136" i="241"/>
  <c r="AB120" i="241"/>
  <c r="AB138" i="241"/>
  <c r="AB265" i="241"/>
  <c r="AB154" i="241"/>
  <c r="AB65" i="241"/>
  <c r="AB68" i="241"/>
  <c r="AB94" i="241"/>
  <c r="AB172" i="241"/>
  <c r="AB148" i="241"/>
  <c r="AB87" i="241"/>
  <c r="AB153" i="241"/>
  <c r="AB55" i="241"/>
  <c r="AB222" i="241"/>
  <c r="AB253" i="241"/>
  <c r="AB263" i="241"/>
  <c r="AB27" i="241"/>
  <c r="AB59" i="241"/>
  <c r="AB233" i="241"/>
  <c r="AB132" i="241"/>
  <c r="AB160" i="241"/>
  <c r="AB122" i="241"/>
  <c r="AB240" i="241"/>
  <c r="AB89" i="241"/>
  <c r="AB49" i="241"/>
  <c r="AB189" i="241"/>
  <c r="AB26" i="241"/>
  <c r="AB204" i="241"/>
  <c r="X129" i="241"/>
  <c r="X262" i="241"/>
  <c r="X101" i="241"/>
  <c r="X189" i="241"/>
  <c r="X50" i="241"/>
  <c r="X162" i="241"/>
  <c r="X267" i="241"/>
  <c r="X121" i="241"/>
  <c r="X61" i="241"/>
  <c r="X31" i="241"/>
  <c r="X272" i="241"/>
  <c r="X206" i="241"/>
  <c r="X182" i="241"/>
  <c r="X54" i="241"/>
  <c r="X151" i="241"/>
  <c r="X184" i="241"/>
  <c r="X120" i="241"/>
  <c r="X24" i="241"/>
  <c r="X265" i="241"/>
  <c r="X17" i="241"/>
  <c r="X116" i="241"/>
  <c r="X19" i="241"/>
  <c r="X195" i="241"/>
  <c r="X66" i="241"/>
  <c r="X268" i="241"/>
  <c r="X26" i="241"/>
  <c r="X99" i="241"/>
  <c r="X86" i="241"/>
  <c r="X135" i="241"/>
  <c r="X95" i="241"/>
  <c r="X29" i="241"/>
  <c r="X117" i="241"/>
  <c r="X168" i="241"/>
  <c r="X203" i="241"/>
  <c r="X149" i="241"/>
  <c r="X236" i="241"/>
  <c r="X118" i="241"/>
  <c r="X263" i="241"/>
  <c r="X233" i="241"/>
  <c r="X87" i="241"/>
  <c r="X27" i="241"/>
  <c r="X238" i="241"/>
  <c r="X172" i="241"/>
  <c r="X148" i="241"/>
  <c r="X20" i="241"/>
  <c r="X199" i="241"/>
  <c r="X188" i="241"/>
  <c r="X201" i="241"/>
  <c r="X190" i="241"/>
  <c r="X256" i="241"/>
  <c r="X231" i="241"/>
  <c r="X155" i="241"/>
  <c r="X122" i="241"/>
  <c r="X254" i="241"/>
  <c r="X81" i="241"/>
  <c r="X186" i="241"/>
  <c r="X85" i="241"/>
  <c r="X25" i="241"/>
  <c r="X200" i="241"/>
  <c r="X82" i="241"/>
  <c r="X18" i="241"/>
  <c r="X259" i="241"/>
  <c r="X169" i="241"/>
  <c r="X115" i="241"/>
  <c r="X202" i="241"/>
  <c r="X84" i="241"/>
  <c r="X89" i="241"/>
  <c r="X128" i="241"/>
  <c r="X274" i="241"/>
  <c r="X55" i="241"/>
  <c r="X150" i="241"/>
  <c r="X67" i="241"/>
  <c r="X94" i="241"/>
  <c r="X153" i="241"/>
  <c r="X32" i="241"/>
  <c r="X83" i="241"/>
  <c r="X270" i="241"/>
  <c r="X255" i="241"/>
  <c r="X257" i="241"/>
  <c r="X197" i="241"/>
  <c r="X167" i="241"/>
  <c r="X21" i="241"/>
  <c r="X230" i="241"/>
  <c r="X136" i="241"/>
  <c r="X70" i="241"/>
  <c r="X46" i="241"/>
  <c r="X51" i="241"/>
  <c r="X166" i="241"/>
  <c r="X48" i="241"/>
  <c r="X217" i="241"/>
  <c r="X80" i="241"/>
  <c r="X134" i="241"/>
  <c r="X219" i="241"/>
  <c r="X15" i="241"/>
  <c r="X53" i="241"/>
  <c r="X92" i="241"/>
  <c r="X63" i="241"/>
  <c r="X157" i="241"/>
  <c r="X13" i="241"/>
  <c r="X88" i="241"/>
  <c r="X14" i="241"/>
  <c r="X65" i="241"/>
  <c r="X234" i="241"/>
  <c r="X252" i="241"/>
  <c r="X132" i="241"/>
  <c r="X264" i="241"/>
  <c r="X49" i="241"/>
  <c r="X194" i="241"/>
  <c r="X100" i="241"/>
  <c r="X223" i="241"/>
  <c r="X163" i="241"/>
  <c r="X133" i="241"/>
  <c r="X196" i="241"/>
  <c r="X102" i="241"/>
  <c r="X36" i="241"/>
  <c r="X12" i="241"/>
  <c r="X253" i="241"/>
  <c r="X152" i="241"/>
  <c r="X165" i="241"/>
  <c r="X240" i="241"/>
  <c r="X93" i="241"/>
  <c r="X34" i="241"/>
  <c r="X258" i="241"/>
  <c r="X126" i="241"/>
  <c r="X191" i="241"/>
  <c r="X59" i="241"/>
  <c r="X216" i="241"/>
  <c r="X138" i="241"/>
  <c r="X204" i="241"/>
  <c r="X221" i="241"/>
  <c r="X161" i="241"/>
  <c r="X131" i="241"/>
  <c r="X64" i="241"/>
  <c r="X251" i="241"/>
  <c r="X160" i="241"/>
  <c r="X229" i="241"/>
  <c r="X228" i="241"/>
  <c r="X47" i="241"/>
  <c r="X185" i="241"/>
  <c r="X218" i="241"/>
  <c r="X52" i="241"/>
  <c r="X269" i="241"/>
  <c r="X33" i="241"/>
  <c r="X60" i="241"/>
  <c r="X237" i="241"/>
  <c r="X225" i="241"/>
  <c r="X68" i="241"/>
  <c r="X154" i="241"/>
  <c r="X127" i="241"/>
  <c r="X156" i="241"/>
  <c r="X30" i="241"/>
  <c r="X98" i="241"/>
  <c r="X250" i="241"/>
  <c r="X123" i="241"/>
  <c r="X104" i="241"/>
  <c r="X16" i="241"/>
  <c r="X222" i="241"/>
  <c r="X97" i="241"/>
  <c r="X271" i="241"/>
  <c r="X114" i="241"/>
  <c r="X58" i="241"/>
  <c r="X170" i="241"/>
  <c r="X187" i="241"/>
  <c r="X235" i="241"/>
  <c r="X224" i="241"/>
  <c r="X119" i="241"/>
  <c r="X220" i="241"/>
  <c r="X183" i="241"/>
  <c r="T36" i="241"/>
  <c r="T34" i="241"/>
  <c r="T33" i="241"/>
  <c r="T32" i="241"/>
  <c r="T31" i="241"/>
  <c r="T30" i="241"/>
  <c r="T29" i="241"/>
  <c r="T27" i="241"/>
  <c r="T26" i="241"/>
  <c r="T25" i="241"/>
  <c r="T24" i="241"/>
  <c r="T21" i="241"/>
  <c r="T20" i="241"/>
  <c r="T19" i="241"/>
  <c r="T18" i="241"/>
  <c r="T17" i="241"/>
  <c r="T16" i="241"/>
  <c r="T15" i="241"/>
  <c r="T14" i="241"/>
  <c r="T13" i="241"/>
  <c r="T262" i="241"/>
  <c r="T264" i="241"/>
  <c r="T270" i="241"/>
  <c r="T268" i="241"/>
  <c r="T255" i="241"/>
  <c r="T265" i="241"/>
  <c r="T269" i="241"/>
  <c r="T251" i="241"/>
  <c r="T271" i="241"/>
  <c r="T259" i="241"/>
  <c r="T258" i="241"/>
  <c r="T252" i="241"/>
  <c r="T272" i="241"/>
  <c r="T256" i="241"/>
  <c r="T254" i="241"/>
  <c r="T253" i="241"/>
  <c r="T274" i="241"/>
  <c r="T263" i="241"/>
  <c r="T250" i="241"/>
  <c r="T267" i="241"/>
  <c r="T257" i="241"/>
  <c r="T237" i="241"/>
  <c r="T231" i="241"/>
  <c r="T223" i="241"/>
  <c r="T225" i="241"/>
  <c r="T216" i="241"/>
  <c r="T220" i="241"/>
  <c r="T229" i="241"/>
  <c r="T228" i="241"/>
  <c r="T222" i="241"/>
  <c r="T221" i="241"/>
  <c r="T230" i="241"/>
  <c r="T217" i="241"/>
  <c r="T236" i="241"/>
  <c r="T218" i="241"/>
  <c r="T240" i="241"/>
  <c r="T238" i="241"/>
  <c r="T235" i="241"/>
  <c r="T233" i="241"/>
  <c r="T234" i="241"/>
  <c r="T224" i="241"/>
  <c r="T219" i="241"/>
  <c r="T194" i="241"/>
  <c r="T202" i="241"/>
  <c r="T184" i="241"/>
  <c r="T185" i="241"/>
  <c r="T182" i="241"/>
  <c r="T197" i="241"/>
  <c r="T206" i="241"/>
  <c r="T191" i="241"/>
  <c r="T190" i="241"/>
  <c r="T188" i="241"/>
  <c r="T195" i="241"/>
  <c r="T203" i="241"/>
  <c r="T187" i="241"/>
  <c r="T201" i="241"/>
  <c r="T183" i="241"/>
  <c r="T199" i="241"/>
  <c r="T196" i="241"/>
  <c r="T186" i="241"/>
  <c r="T204" i="241"/>
  <c r="T189" i="241"/>
  <c r="T200" i="241"/>
  <c r="T169" i="241"/>
  <c r="T155" i="241"/>
  <c r="T152" i="241"/>
  <c r="T153" i="241"/>
  <c r="T170" i="241"/>
  <c r="T163" i="241"/>
  <c r="T165" i="241"/>
  <c r="T161" i="241"/>
  <c r="T160" i="241"/>
  <c r="T162" i="241"/>
  <c r="T157" i="241"/>
  <c r="T151" i="241"/>
  <c r="T168" i="241"/>
  <c r="T150" i="241"/>
  <c r="T154" i="241"/>
  <c r="T149" i="241"/>
  <c r="T172" i="241"/>
  <c r="T167" i="241"/>
  <c r="T156" i="241"/>
  <c r="T148" i="241"/>
  <c r="T166" i="241"/>
  <c r="T133" i="241"/>
  <c r="T115" i="241"/>
  <c r="T135" i="241"/>
  <c r="T121" i="241"/>
  <c r="T136" i="241"/>
  <c r="T126" i="241"/>
  <c r="T131" i="241"/>
  <c r="T128" i="241"/>
  <c r="T116" i="241"/>
  <c r="T119" i="241"/>
  <c r="T122" i="241"/>
  <c r="T117" i="241"/>
  <c r="T134" i="241"/>
  <c r="T114" i="241"/>
  <c r="T138" i="241"/>
  <c r="T127" i="241"/>
  <c r="T132" i="241"/>
  <c r="T129" i="241"/>
  <c r="T118" i="241"/>
  <c r="T123" i="241"/>
  <c r="T120" i="241"/>
  <c r="T85" i="241"/>
  <c r="T86" i="241"/>
  <c r="T93" i="241"/>
  <c r="T84" i="241"/>
  <c r="T82" i="241"/>
  <c r="T89" i="241"/>
  <c r="T99" i="241"/>
  <c r="T94" i="241"/>
  <c r="T101" i="241"/>
  <c r="T102" i="241"/>
  <c r="T88" i="241"/>
  <c r="T98" i="241"/>
  <c r="T95" i="241"/>
  <c r="T81" i="241"/>
  <c r="T87" i="241"/>
  <c r="T80" i="241"/>
  <c r="T83" i="241"/>
  <c r="T104" i="241"/>
  <c r="T92" i="241"/>
  <c r="T100" i="241"/>
  <c r="T97" i="241"/>
  <c r="T50" i="241"/>
  <c r="T68" i="241"/>
  <c r="T47" i="241"/>
  <c r="T52" i="241"/>
  <c r="T60" i="241"/>
  <c r="T48" i="241"/>
  <c r="T49" i="241"/>
  <c r="T51" i="241"/>
  <c r="T61" i="241"/>
  <c r="T55" i="241"/>
  <c r="T53" i="241"/>
  <c r="T63" i="241"/>
  <c r="T65" i="241"/>
  <c r="T46" i="241"/>
  <c r="T64" i="241"/>
  <c r="T66" i="241"/>
  <c r="T70" i="241"/>
  <c r="T54" i="241"/>
  <c r="T59" i="241"/>
  <c r="T67" i="241"/>
  <c r="T58" i="241"/>
  <c r="T12" i="241"/>
  <c r="A259" i="241"/>
  <c r="B260" i="241"/>
  <c r="B224" i="241"/>
  <c r="A223" i="241"/>
  <c r="A191" i="241"/>
  <c r="B192" i="241"/>
  <c r="B156" i="241"/>
  <c r="A155" i="241"/>
  <c r="A123" i="241"/>
  <c r="B124" i="241"/>
  <c r="A89" i="241"/>
  <c r="B90" i="241"/>
  <c r="B56" i="241"/>
  <c r="A55" i="241"/>
  <c r="A20" i="241"/>
  <c r="B21" i="241"/>
  <c r="B259" i="238"/>
  <c r="A258" i="238"/>
  <c r="A258" i="237"/>
  <c r="B259" i="237"/>
  <c r="A258" i="236"/>
  <c r="B259" i="236"/>
  <c r="A258" i="235"/>
  <c r="B259" i="235"/>
  <c r="A258" i="234"/>
  <c r="B259" i="234"/>
  <c r="A258" i="233"/>
  <c r="B259" i="233"/>
  <c r="A258" i="232"/>
  <c r="B259" i="232"/>
  <c r="B259" i="231"/>
  <c r="A258" i="231"/>
  <c r="B259" i="230"/>
  <c r="A258" i="230"/>
  <c r="B259" i="229"/>
  <c r="A258" i="229"/>
  <c r="B259" i="227"/>
  <c r="A258" i="227"/>
  <c r="A258" i="187"/>
  <c r="B259" i="187"/>
  <c r="B225" i="238"/>
  <c r="A224" i="238"/>
  <c r="A224" i="237"/>
  <c r="B225" i="237"/>
  <c r="A224" i="236"/>
  <c r="B225" i="236"/>
  <c r="A224" i="235"/>
  <c r="B225" i="235"/>
  <c r="A224" i="234"/>
  <c r="B225" i="234"/>
  <c r="B225" i="233"/>
  <c r="A224" i="233"/>
  <c r="B225" i="232"/>
  <c r="A224" i="232"/>
  <c r="B225" i="231"/>
  <c r="A224" i="231"/>
  <c r="A224" i="230"/>
  <c r="B225" i="230"/>
  <c r="B225" i="229"/>
  <c r="A224" i="229"/>
  <c r="A224" i="227"/>
  <c r="B225" i="227"/>
  <c r="A224" i="187"/>
  <c r="B225" i="187"/>
  <c r="A190" i="238"/>
  <c r="B191" i="238"/>
  <c r="B191" i="237"/>
  <c r="A190" i="237"/>
  <c r="A190" i="236"/>
  <c r="B191" i="236"/>
  <c r="A190" i="235"/>
  <c r="B191" i="235"/>
  <c r="A190" i="234"/>
  <c r="B191" i="234"/>
  <c r="A190" i="233"/>
  <c r="B191" i="233"/>
  <c r="A190" i="232"/>
  <c r="B191" i="232"/>
  <c r="A190" i="231"/>
  <c r="B191" i="231"/>
  <c r="A190" i="230"/>
  <c r="B191" i="230"/>
  <c r="A190" i="229"/>
  <c r="B191" i="229"/>
  <c r="A190" i="227"/>
  <c r="B191" i="227"/>
  <c r="A190" i="187"/>
  <c r="B191" i="187"/>
  <c r="A156" i="238"/>
  <c r="B157" i="238"/>
  <c r="A156" i="237"/>
  <c r="B157" i="237"/>
  <c r="A156" i="236"/>
  <c r="B157" i="236"/>
  <c r="A156" i="235"/>
  <c r="B157" i="235"/>
  <c r="A156" i="234"/>
  <c r="B157" i="234"/>
  <c r="B157" i="233"/>
  <c r="A156" i="233"/>
  <c r="A156" i="232"/>
  <c r="B157" i="232"/>
  <c r="A156" i="231"/>
  <c r="B157" i="231"/>
  <c r="B157" i="230"/>
  <c r="A156" i="230"/>
  <c r="A156" i="229"/>
  <c r="B157" i="229"/>
  <c r="B157" i="227"/>
  <c r="A156" i="227"/>
  <c r="A156" i="187"/>
  <c r="B157" i="187"/>
  <c r="A122" i="238"/>
  <c r="B123" i="238"/>
  <c r="A122" i="237"/>
  <c r="B123" i="237"/>
  <c r="B123" i="236"/>
  <c r="A122" i="236"/>
  <c r="A122" i="235"/>
  <c r="B123" i="235"/>
  <c r="A122" i="234"/>
  <c r="B123" i="234"/>
  <c r="A122" i="233"/>
  <c r="B123" i="233"/>
  <c r="A122" i="232"/>
  <c r="B123" i="232"/>
  <c r="B123" i="231"/>
  <c r="A122" i="231"/>
  <c r="A122" i="230"/>
  <c r="B123" i="230"/>
  <c r="A122" i="229"/>
  <c r="B123" i="229"/>
  <c r="A122" i="227"/>
  <c r="B123" i="227"/>
  <c r="A122" i="187"/>
  <c r="B123" i="187"/>
  <c r="A88" i="238"/>
  <c r="B89" i="238"/>
  <c r="B89" i="237"/>
  <c r="A88" i="237"/>
  <c r="B89" i="236"/>
  <c r="A88" i="236"/>
  <c r="A88" i="235"/>
  <c r="B89" i="235"/>
  <c r="A88" i="234"/>
  <c r="B89" i="234"/>
  <c r="A88" i="233"/>
  <c r="B89" i="233"/>
  <c r="A87" i="232"/>
  <c r="B88" i="232"/>
  <c r="A88" i="231"/>
  <c r="B89" i="231"/>
  <c r="A88" i="230"/>
  <c r="B89" i="230"/>
  <c r="B89" i="229"/>
  <c r="A88" i="229"/>
  <c r="A88" i="227"/>
  <c r="B89" i="227"/>
  <c r="A88" i="187"/>
  <c r="B89" i="187"/>
  <c r="A54" i="238"/>
  <c r="B55" i="238"/>
  <c r="B55" i="237"/>
  <c r="A54" i="237"/>
  <c r="A54" i="236"/>
  <c r="B55" i="236"/>
  <c r="A53" i="235"/>
  <c r="B54" i="235"/>
  <c r="A54" i="234"/>
  <c r="B55" i="234"/>
  <c r="B55" i="233"/>
  <c r="A54" i="233"/>
  <c r="A54" i="232"/>
  <c r="B55" i="232"/>
  <c r="B55" i="231"/>
  <c r="A54" i="231"/>
  <c r="A54" i="230"/>
  <c r="B55" i="230"/>
  <c r="B55" i="229"/>
  <c r="A54" i="229"/>
  <c r="B55" i="227"/>
  <c r="A54" i="227"/>
  <c r="T2" i="187"/>
  <c r="A54" i="187"/>
  <c r="B55" i="187"/>
  <c r="A19" i="238"/>
  <c r="B20" i="238"/>
  <c r="A19" i="237"/>
  <c r="B20" i="237"/>
  <c r="A19" i="236"/>
  <c r="B20" i="236"/>
  <c r="A19" i="235"/>
  <c r="B20" i="235"/>
  <c r="A19" i="234"/>
  <c r="B20" i="234"/>
  <c r="A19" i="233"/>
  <c r="B20" i="233"/>
  <c r="A19" i="232"/>
  <c r="B20" i="232"/>
  <c r="A19" i="231"/>
  <c r="B20" i="231"/>
  <c r="A19" i="230"/>
  <c r="B20" i="230"/>
  <c r="A21" i="229"/>
  <c r="B22" i="229"/>
  <c r="A18" i="227"/>
  <c r="B19" i="227"/>
  <c r="T25" i="13"/>
  <c r="T24" i="13"/>
  <c r="T27" i="13"/>
  <c r="T21" i="13"/>
  <c r="T36" i="13"/>
  <c r="T20" i="13"/>
  <c r="T19" i="13"/>
  <c r="T12" i="13"/>
  <c r="T34" i="13"/>
  <c r="T18" i="13"/>
  <c r="T17" i="13"/>
  <c r="T33" i="13"/>
  <c r="T14" i="13"/>
  <c r="T32" i="13"/>
  <c r="T16" i="13"/>
  <c r="T31" i="13"/>
  <c r="T15" i="13"/>
  <c r="T30" i="13"/>
  <c r="T29" i="13"/>
  <c r="T13" i="13"/>
  <c r="T26" i="13"/>
  <c r="A2" i="3"/>
  <c r="G1" i="3" s="1"/>
  <c r="R5" i="187"/>
  <c r="T5" i="187" s="1"/>
  <c r="B10" i="13"/>
  <c r="K1" i="13"/>
  <c r="J1" i="13"/>
  <c r="I1" i="13"/>
  <c r="J1" i="187"/>
  <c r="B10" i="187"/>
  <c r="R5" i="13"/>
  <c r="E21" i="110"/>
  <c r="D21" i="110"/>
  <c r="F21" i="110"/>
  <c r="C12" i="15"/>
  <c r="D15" i="15"/>
  <c r="D12" i="15"/>
  <c r="E20" i="110"/>
  <c r="F18" i="110"/>
  <c r="D15" i="110"/>
  <c r="E12" i="110"/>
  <c r="D10" i="110"/>
  <c r="C8" i="34"/>
  <c r="D14" i="34"/>
  <c r="D12" i="34"/>
  <c r="C7" i="144"/>
  <c r="C11" i="144"/>
  <c r="C8" i="144"/>
  <c r="U272" i="241"/>
  <c r="U150" i="241"/>
  <c r="U64" i="241"/>
  <c r="U170" i="241"/>
  <c r="U237" i="241"/>
  <c r="U115" i="241"/>
  <c r="U89" i="241"/>
  <c r="U101" i="241"/>
  <c r="U17" i="241"/>
  <c r="U14" i="241"/>
  <c r="U200" i="241"/>
  <c r="U94" i="241"/>
  <c r="U29" i="241"/>
  <c r="U92" i="241"/>
  <c r="U234" i="241"/>
  <c r="U123" i="241"/>
  <c r="U262" i="241"/>
  <c r="U155" i="241"/>
  <c r="U264" i="241"/>
  <c r="U270" i="241"/>
  <c r="U188" i="241"/>
  <c r="Q5" i="236"/>
  <c r="Q3" i="232"/>
  <c r="C1" i="15"/>
  <c r="U29" i="13"/>
  <c r="D1" i="15"/>
  <c r="U36" i="13"/>
  <c r="U33" i="13"/>
  <c r="Y272" i="241"/>
  <c r="Y150" i="241"/>
  <c r="Y64" i="241"/>
  <c r="Y170" i="241"/>
  <c r="Y237" i="241"/>
  <c r="Y115" i="241"/>
  <c r="Y89" i="241"/>
  <c r="Y101" i="241"/>
  <c r="Y17" i="241"/>
  <c r="Y14" i="241"/>
  <c r="Y200" i="241"/>
  <c r="Y94" i="241"/>
  <c r="Y29" i="241"/>
  <c r="Y92" i="241"/>
  <c r="Y234" i="241"/>
  <c r="Y123" i="241"/>
  <c r="Y262" i="241"/>
  <c r="Y155" i="241"/>
  <c r="Y264" i="241"/>
  <c r="Y270" i="241"/>
  <c r="Y188" i="241"/>
  <c r="AC272" i="241"/>
  <c r="AC150" i="241"/>
  <c r="AC64" i="241"/>
  <c r="AC170" i="241"/>
  <c r="C8" i="15"/>
  <c r="C10" i="15"/>
  <c r="C16" i="15"/>
  <c r="F20" i="110"/>
  <c r="E17" i="110"/>
  <c r="F15" i="110"/>
  <c r="D12" i="110"/>
  <c r="E9" i="110"/>
  <c r="D11" i="34"/>
  <c r="C15" i="34"/>
  <c r="D8" i="34"/>
  <c r="D17" i="144"/>
  <c r="D8" i="144"/>
  <c r="D10" i="144"/>
  <c r="U257" i="241"/>
  <c r="U133" i="241"/>
  <c r="U83" i="241"/>
  <c r="U127" i="241"/>
  <c r="U222" i="241"/>
  <c r="U119" i="241"/>
  <c r="U50" i="241"/>
  <c r="U67" i="241"/>
  <c r="U229" i="241"/>
  <c r="U269" i="241"/>
  <c r="U161" i="241"/>
  <c r="U59" i="241"/>
  <c r="U218" i="241"/>
  <c r="U32" i="241"/>
  <c r="U197" i="241"/>
  <c r="U99" i="241"/>
  <c r="U271" i="241"/>
  <c r="U162" i="241"/>
  <c r="U263" i="241"/>
  <c r="U250" i="241"/>
  <c r="U168" i="241"/>
  <c r="Q3" i="236"/>
  <c r="Q5" i="232"/>
  <c r="U30" i="13"/>
  <c r="D3" i="110"/>
  <c r="Q3" i="187"/>
  <c r="Q5" i="187"/>
  <c r="U19" i="13"/>
  <c r="Y257" i="241"/>
  <c r="Y133" i="241"/>
  <c r="Y83" i="241"/>
  <c r="Y127" i="241"/>
  <c r="Y222" i="241"/>
  <c r="Y119" i="241"/>
  <c r="Y50" i="241"/>
  <c r="Y67" i="241"/>
  <c r="Y229" i="241"/>
  <c r="Y269" i="241"/>
  <c r="Y161" i="241"/>
  <c r="Y59" i="241"/>
  <c r="Y218" i="241"/>
  <c r="Y32" i="241"/>
  <c r="Y197" i="241"/>
  <c r="Y99" i="241"/>
  <c r="Y271" i="241"/>
  <c r="Y162" i="241"/>
  <c r="Y263" i="241"/>
  <c r="Y250" i="241"/>
  <c r="Y168" i="241"/>
  <c r="AC257" i="241"/>
  <c r="AC133" i="241"/>
  <c r="AC83" i="241"/>
  <c r="AC127" i="241"/>
  <c r="D11" i="15"/>
  <c r="D7" i="15"/>
  <c r="D17" i="15"/>
  <c r="D20" i="110"/>
  <c r="F17" i="110"/>
  <c r="E14" i="110"/>
  <c r="F12" i="110"/>
  <c r="D9" i="110"/>
  <c r="D9" i="34"/>
  <c r="D18" i="34"/>
  <c r="D17" i="34"/>
  <c r="D13" i="144"/>
  <c r="C12" i="144"/>
  <c r="C18" i="144"/>
  <c r="U228" i="241"/>
  <c r="U116" i="241"/>
  <c r="U258" i="241"/>
  <c r="U12" i="241"/>
  <c r="U235" i="241"/>
  <c r="U129" i="241"/>
  <c r="U70" i="241"/>
  <c r="U18" i="241"/>
  <c r="U186" i="241"/>
  <c r="U254" i="241"/>
  <c r="U149" i="241"/>
  <c r="U30" i="241"/>
  <c r="U153" i="241"/>
  <c r="U21" i="241"/>
  <c r="U201" i="241"/>
  <c r="U87" i="241"/>
  <c r="U274" i="241"/>
  <c r="U167" i="241"/>
  <c r="U216" i="241"/>
  <c r="U194" i="241"/>
  <c r="U93" i="241"/>
  <c r="Q5" i="235"/>
  <c r="Q3" i="231"/>
  <c r="U3" i="187"/>
  <c r="C3" i="110"/>
  <c r="U20" i="13"/>
  <c r="U3" i="13"/>
  <c r="Q3" i="227"/>
  <c r="Y228" i="241"/>
  <c r="Y116" i="241"/>
  <c r="Y258" i="241"/>
  <c r="Y12" i="241"/>
  <c r="Y235" i="241"/>
  <c r="Y129" i="241"/>
  <c r="Y70" i="241"/>
  <c r="Y18" i="241"/>
  <c r="Y186" i="241"/>
  <c r="Y254" i="241"/>
  <c r="Y149" i="241"/>
  <c r="Y30" i="241"/>
  <c r="Y153" i="241"/>
  <c r="Y21" i="241"/>
  <c r="Y201" i="241"/>
  <c r="Y87" i="241"/>
  <c r="Y274" i="241"/>
  <c r="Y167" i="241"/>
  <c r="Y216" i="241"/>
  <c r="Y194" i="241"/>
  <c r="Y93" i="241"/>
  <c r="AC228" i="241"/>
  <c r="AC116" i="241"/>
  <c r="AC258" i="241"/>
  <c r="AC12" i="241"/>
  <c r="AC235" i="241"/>
  <c r="AC129" i="241"/>
  <c r="AC70" i="241"/>
  <c r="AC18" i="241"/>
  <c r="AC186" i="241"/>
  <c r="AC254" i="241"/>
  <c r="AC149" i="241"/>
  <c r="AC30" i="241"/>
  <c r="AC153" i="241"/>
  <c r="AC21" i="241"/>
  <c r="AC201" i="241"/>
  <c r="AC87" i="241"/>
  <c r="AC274" i="241"/>
  <c r="AC167" i="241"/>
  <c r="AC216" i="241"/>
  <c r="AC194" i="241"/>
  <c r="AC93" i="241"/>
  <c r="AG228" i="241"/>
  <c r="AG116" i="241"/>
  <c r="AG258" i="241"/>
  <c r="AG12" i="241"/>
  <c r="AG235" i="241"/>
  <c r="AG129" i="241"/>
  <c r="AG70" i="241"/>
  <c r="AG18" i="241"/>
  <c r="AG186" i="241"/>
  <c r="AG254" i="241"/>
  <c r="AG149" i="241"/>
  <c r="AG30" i="241"/>
  <c r="AG153" i="241"/>
  <c r="AG21" i="241"/>
  <c r="AG201" i="241"/>
  <c r="AG87" i="241"/>
  <c r="AG274" i="241"/>
  <c r="AG167" i="241"/>
  <c r="AG216" i="241"/>
  <c r="AG194" i="241"/>
  <c r="AG93" i="241"/>
  <c r="AK228" i="241"/>
  <c r="AK116" i="241"/>
  <c r="AK258" i="241"/>
  <c r="AK12" i="241"/>
  <c r="AK235" i="241"/>
  <c r="AK129" i="241"/>
  <c r="AK70" i="241"/>
  <c r="AK18" i="241"/>
  <c r="AK186" i="241"/>
  <c r="AK254" i="241"/>
  <c r="AK149" i="241"/>
  <c r="AK30" i="241"/>
  <c r="AK153" i="241"/>
  <c r="AK21" i="241"/>
  <c r="AK201" i="241"/>
  <c r="AK87" i="241"/>
  <c r="AK274" i="241"/>
  <c r="AK167" i="241"/>
  <c r="AK216" i="241"/>
  <c r="AK194" i="241"/>
  <c r="AK93" i="241"/>
  <c r="AO228" i="241"/>
  <c r="AO116" i="241"/>
  <c r="AO258" i="241"/>
  <c r="AO12" i="241"/>
  <c r="AO235" i="241"/>
  <c r="AO129" i="241"/>
  <c r="AO70" i="241"/>
  <c r="AO18" i="241"/>
  <c r="AO186" i="241"/>
  <c r="AO254" i="241"/>
  <c r="AO149" i="241"/>
  <c r="AO30" i="241"/>
  <c r="AO153" i="241"/>
  <c r="AO21" i="241"/>
  <c r="AO201" i="241"/>
  <c r="AO87" i="241"/>
  <c r="AO274" i="241"/>
  <c r="AO167" i="241"/>
  <c r="AO216" i="241"/>
  <c r="AO194" i="241"/>
  <c r="AO93" i="241"/>
  <c r="AS228" i="241"/>
  <c r="AS116" i="241"/>
  <c r="AS258" i="241"/>
  <c r="AS12" i="241"/>
  <c r="AS235" i="241"/>
  <c r="AS129" i="241"/>
  <c r="AS70" i="241"/>
  <c r="AS18" i="241"/>
  <c r="AS186" i="241"/>
  <c r="AS254" i="241"/>
  <c r="AS149" i="241"/>
  <c r="AS30" i="241"/>
  <c r="AS153" i="241"/>
  <c r="AS21" i="241"/>
  <c r="AS201" i="241"/>
  <c r="AS87" i="241"/>
  <c r="AS274" i="241"/>
  <c r="AS167" i="241"/>
  <c r="AS216" i="241"/>
  <c r="AS194" i="241"/>
  <c r="AS93" i="241"/>
  <c r="AW228" i="241"/>
  <c r="AW116" i="241"/>
  <c r="AW258" i="241"/>
  <c r="AW12" i="241"/>
  <c r="AW235" i="241"/>
  <c r="AW129" i="241"/>
  <c r="AW70" i="241"/>
  <c r="AW18" i="241"/>
  <c r="AW186" i="241"/>
  <c r="AW254" i="241"/>
  <c r="AW149" i="241"/>
  <c r="AW30" i="241"/>
  <c r="AW153" i="241"/>
  <c r="AW21" i="241"/>
  <c r="AW201" i="241"/>
  <c r="AW87" i="241"/>
  <c r="AW274" i="241"/>
  <c r="AW167" i="241"/>
  <c r="AW216" i="241"/>
  <c r="AW194" i="241"/>
  <c r="AW93" i="241"/>
  <c r="BA228" i="241"/>
  <c r="BA116" i="241"/>
  <c r="BA258" i="241"/>
  <c r="BA12" i="241"/>
  <c r="BA235" i="241"/>
  <c r="BA129" i="241"/>
  <c r="BA70" i="241"/>
  <c r="BA18" i="241"/>
  <c r="BA186" i="241"/>
  <c r="BA254" i="241"/>
  <c r="BA149" i="241"/>
  <c r="BA30" i="241"/>
  <c r="BA153" i="241"/>
  <c r="BA21" i="241"/>
  <c r="BA201" i="241"/>
  <c r="BA87" i="241"/>
  <c r="BA274" i="241"/>
  <c r="BA167" i="241"/>
  <c r="BA216" i="241"/>
  <c r="BA194" i="241"/>
  <c r="BA93" i="241"/>
  <c r="BE228" i="241"/>
  <c r="BE116" i="241"/>
  <c r="BE258" i="241"/>
  <c r="BE12" i="241"/>
  <c r="BE235" i="241"/>
  <c r="BE129" i="241"/>
  <c r="BE70" i="241"/>
  <c r="BE18" i="241"/>
  <c r="BE186" i="241"/>
  <c r="BE254" i="241"/>
  <c r="BE149" i="241"/>
  <c r="BE30" i="241"/>
  <c r="BE153" i="241"/>
  <c r="BE21" i="241"/>
  <c r="BE201" i="241"/>
  <c r="BE87" i="241"/>
  <c r="BE274" i="241"/>
  <c r="BE167" i="241"/>
  <c r="BE216" i="241"/>
  <c r="BE194" i="241"/>
  <c r="BE93" i="241"/>
  <c r="BI228" i="241"/>
  <c r="BI116" i="241"/>
  <c r="BI258" i="241"/>
  <c r="BI12" i="241"/>
  <c r="BI235" i="241"/>
  <c r="BI129" i="241"/>
  <c r="BI70" i="241"/>
  <c r="BI18" i="241"/>
  <c r="BI186" i="241"/>
  <c r="BI254" i="241"/>
  <c r="BI149" i="241"/>
  <c r="BI30" i="241"/>
  <c r="BI153" i="241"/>
  <c r="BI21" i="241"/>
  <c r="BI201" i="241"/>
  <c r="BI87" i="241"/>
  <c r="BI274" i="241"/>
  <c r="BI167" i="241"/>
  <c r="BI216" i="241"/>
  <c r="BI194" i="241"/>
  <c r="BI93" i="241"/>
  <c r="BM255" i="241"/>
  <c r="BM238" i="241"/>
  <c r="BM163" i="241"/>
  <c r="D10" i="15"/>
  <c r="D14" i="15"/>
  <c r="D18" i="110"/>
  <c r="E13" i="110"/>
  <c r="F9" i="110"/>
  <c r="C17" i="34"/>
  <c r="C14" i="144"/>
  <c r="D16" i="144"/>
  <c r="U26" i="241"/>
  <c r="U132" i="241"/>
  <c r="U27" i="241"/>
  <c r="U203" i="241"/>
  <c r="U66" i="241"/>
  <c r="U151" i="241"/>
  <c r="U231" i="241"/>
  <c r="U81" i="241"/>
  <c r="U58" i="241"/>
  <c r="U230" i="241"/>
  <c r="U54" i="241"/>
  <c r="U136" i="241"/>
  <c r="U85" i="241"/>
  <c r="Q5" i="238"/>
  <c r="Q3" i="233"/>
  <c r="F3" i="110"/>
  <c r="U18" i="13"/>
  <c r="Q5" i="227"/>
  <c r="Y184" i="241"/>
  <c r="Y49" i="241"/>
  <c r="Y15" i="241"/>
  <c r="Y82" i="241"/>
  <c r="Y152" i="241"/>
  <c r="Y88" i="241"/>
  <c r="Y187" i="241"/>
  <c r="Y199" i="241"/>
  <c r="Y13" i="241"/>
  <c r="Y121" i="241"/>
  <c r="Y217" i="241"/>
  <c r="Y19" i="241"/>
  <c r="Y65" i="241"/>
  <c r="AC238" i="241"/>
  <c r="AC100" i="241"/>
  <c r="AC25" i="241"/>
  <c r="AC189" i="241"/>
  <c r="AC51" i="241"/>
  <c r="AC126" i="241"/>
  <c r="AC17" i="241"/>
  <c r="AC269" i="241"/>
  <c r="AC135" i="241"/>
  <c r="AC219" i="241"/>
  <c r="AC252" i="241"/>
  <c r="AC223" i="241"/>
  <c r="AC117" i="241"/>
  <c r="AC262" i="241"/>
  <c r="AC162" i="241"/>
  <c r="AC191" i="241"/>
  <c r="AC102" i="241"/>
  <c r="AG26" i="241"/>
  <c r="AG204" i="241"/>
  <c r="AG49" i="241"/>
  <c r="AG170" i="241"/>
  <c r="AG222" i="241"/>
  <c r="AG82" i="241"/>
  <c r="AG53" i="241"/>
  <c r="AG151" i="241"/>
  <c r="AG33" i="241"/>
  <c r="AG187" i="241"/>
  <c r="AG94" i="241"/>
  <c r="AG218" i="241"/>
  <c r="AG13" i="241"/>
  <c r="AG160" i="241"/>
  <c r="AG54" i="241"/>
  <c r="AG206" i="241"/>
  <c r="AG19" i="241"/>
  <c r="C17" i="15"/>
  <c r="D17" i="110"/>
  <c r="D13" i="110"/>
  <c r="C14" i="34"/>
  <c r="D16" i="34"/>
  <c r="C15" i="144"/>
  <c r="C16" i="144"/>
  <c r="U16" i="241"/>
  <c r="U84" i="241"/>
  <c r="U240" i="241"/>
  <c r="U189" i="241"/>
  <c r="U120" i="241"/>
  <c r="U86" i="241"/>
  <c r="U221" i="241"/>
  <c r="U61" i="241"/>
  <c r="U252" i="241"/>
  <c r="U169" i="241"/>
  <c r="U31" i="241"/>
  <c r="U134" i="241"/>
  <c r="U63" i="241"/>
  <c r="Q3" i="238"/>
  <c r="Q5" i="231"/>
  <c r="E3" i="110"/>
  <c r="U31" i="13"/>
  <c r="C1" i="144"/>
  <c r="Y195" i="241"/>
  <c r="Y196" i="241"/>
  <c r="Y265" i="241"/>
  <c r="Y95" i="241"/>
  <c r="Y126" i="241"/>
  <c r="Y46" i="241"/>
  <c r="Y135" i="241"/>
  <c r="Y114" i="241"/>
  <c r="Y251" i="241"/>
  <c r="Y117" i="241"/>
  <c r="Y224" i="241"/>
  <c r="Y191" i="241"/>
  <c r="Y268" i="241"/>
  <c r="AC184" i="241"/>
  <c r="AC49" i="241"/>
  <c r="AC15" i="241"/>
  <c r="AC165" i="241"/>
  <c r="AC66" i="241"/>
  <c r="AC101" i="241"/>
  <c r="AC229" i="241"/>
  <c r="AC231" i="241"/>
  <c r="AC122" i="241"/>
  <c r="AC199" i="241"/>
  <c r="AC202" i="241"/>
  <c r="AC230" i="241"/>
  <c r="AC123" i="241"/>
  <c r="AC271" i="241"/>
  <c r="AC136" i="241"/>
  <c r="AC157" i="241"/>
  <c r="AC65" i="241"/>
  <c r="AG16" i="241"/>
  <c r="AG163" i="241"/>
  <c r="AG64" i="241"/>
  <c r="AG127" i="241"/>
  <c r="AG185" i="241"/>
  <c r="AG95" i="241"/>
  <c r="AG236" i="241"/>
  <c r="AG86" i="241"/>
  <c r="AG24" i="241"/>
  <c r="AG200" i="241"/>
  <c r="AG59" i="241"/>
  <c r="AG138" i="241"/>
  <c r="AG251" i="241"/>
  <c r="AG172" i="241"/>
  <c r="AG31" i="241"/>
  <c r="AG183" i="241"/>
  <c r="AG264" i="241"/>
  <c r="AG250" i="241"/>
  <c r="AG48" i="241"/>
  <c r="AK184" i="241"/>
  <c r="AK98" i="241"/>
  <c r="AK27" i="241"/>
  <c r="AK256" i="241"/>
  <c r="AK115" i="241"/>
  <c r="AK50" i="241"/>
  <c r="AK220" i="241"/>
  <c r="AK88" i="241"/>
  <c r="AK233" i="241"/>
  <c r="AK81" i="241"/>
  <c r="AK52" i="241"/>
  <c r="AK92" i="241"/>
  <c r="AK197" i="241"/>
  <c r="AK68" i="241"/>
  <c r="AK217" i="241"/>
  <c r="AK80" i="241"/>
  <c r="AK85" i="241"/>
  <c r="AK267" i="241"/>
  <c r="AO272" i="241"/>
  <c r="AO133" i="241"/>
  <c r="AO196" i="241"/>
  <c r="AO25" i="241"/>
  <c r="AO189" i="241"/>
  <c r="AO51" i="241"/>
  <c r="AO126" i="241"/>
  <c r="AO17" i="241"/>
  <c r="AO269" i="241"/>
  <c r="AO135" i="241"/>
  <c r="AO219" i="241"/>
  <c r="AO252" i="241"/>
  <c r="AO223" i="241"/>
  <c r="AO117" i="241"/>
  <c r="AO262" i="241"/>
  <c r="AO162" i="241"/>
  <c r="AO191" i="241"/>
  <c r="AO102" i="241"/>
  <c r="AS26" i="241"/>
  <c r="AS204" i="241"/>
  <c r="AS49" i="241"/>
  <c r="AS170" i="241"/>
  <c r="AS222" i="241"/>
  <c r="AS82" i="241"/>
  <c r="AS53" i="241"/>
  <c r="AS151" i="241"/>
  <c r="AS33" i="241"/>
  <c r="AS187" i="241"/>
  <c r="AS94" i="241"/>
  <c r="AS218" i="241"/>
  <c r="AS13" i="241"/>
  <c r="AS160" i="241"/>
  <c r="AS54" i="241"/>
  <c r="AS206" i="241"/>
  <c r="AS19" i="241"/>
  <c r="AS270" i="241"/>
  <c r="AS168" i="241"/>
  <c r="AW238" i="241"/>
  <c r="AW84" i="241"/>
  <c r="AW60" i="241"/>
  <c r="AW265" i="241"/>
  <c r="AW154" i="241"/>
  <c r="AW89" i="241"/>
  <c r="AW67" i="241"/>
  <c r="AW166" i="241"/>
  <c r="AW221" i="241"/>
  <c r="AW118" i="241"/>
  <c r="AW114" i="241"/>
  <c r="AW128" i="241"/>
  <c r="AW234" i="241"/>
  <c r="AW99" i="241"/>
  <c r="AW225" i="241"/>
  <c r="AW134" i="241"/>
  <c r="AW156" i="241"/>
  <c r="AW268" i="241"/>
  <c r="BA255" i="241"/>
  <c r="BA150" i="241"/>
  <c r="BA83" i="241"/>
  <c r="BA34" i="241"/>
  <c r="BA203" i="241"/>
  <c r="BA97" i="241"/>
  <c r="BA152" i="241"/>
  <c r="BA104" i="241"/>
  <c r="BA14" i="241"/>
  <c r="BA161" i="241"/>
  <c r="BA259" i="241"/>
  <c r="BA58" i="241"/>
  <c r="BA253" i="241"/>
  <c r="BA121" i="241"/>
  <c r="BA20" i="241"/>
  <c r="BA155" i="241"/>
  <c r="BA263" i="241"/>
  <c r="BA148" i="241"/>
  <c r="BE36" i="241"/>
  <c r="BE195" i="241"/>
  <c r="BE100" i="241"/>
  <c r="BE240" i="241"/>
  <c r="BE237" i="241"/>
  <c r="BE119" i="241"/>
  <c r="BE120" i="241"/>
  <c r="BE190" i="241"/>
  <c r="BE46" i="241"/>
  <c r="BE182" i="241"/>
  <c r="BE61" i="241"/>
  <c r="BE29" i="241"/>
  <c r="BE32" i="241"/>
  <c r="BE169" i="241"/>
  <c r="BE55" i="241"/>
  <c r="BE224" i="241"/>
  <c r="BE47" i="241"/>
  <c r="BE63" i="241"/>
  <c r="BE188" i="241"/>
  <c r="BI257" i="241"/>
  <c r="BI132" i="241"/>
  <c r="BI131" i="241"/>
  <c r="BI15" i="241"/>
  <c r="BI165" i="241"/>
  <c r="BI66" i="241"/>
  <c r="BI101" i="241"/>
  <c r="BI229" i="241"/>
  <c r="BI231" i="241"/>
  <c r="BI122" i="241"/>
  <c r="BI199" i="241"/>
  <c r="BI202" i="241"/>
  <c r="BI230" i="241"/>
  <c r="BI123" i="241"/>
  <c r="BI271" i="241"/>
  <c r="BI136" i="241"/>
  <c r="BI157" i="241"/>
  <c r="BI65" i="241"/>
  <c r="BM26" i="241"/>
  <c r="BM204" i="241"/>
  <c r="AG104" i="241"/>
  <c r="AG58" i="241"/>
  <c r="AG121" i="241"/>
  <c r="AG155" i="241"/>
  <c r="AG263" i="241"/>
  <c r="AG148" i="241"/>
  <c r="AK195" i="241"/>
  <c r="AK100" i="241"/>
  <c r="AK237" i="241"/>
  <c r="AK119" i="241"/>
  <c r="AK190" i="241"/>
  <c r="C14" i="15"/>
  <c r="C15" i="15"/>
  <c r="E16" i="110"/>
  <c r="F13" i="110"/>
  <c r="D15" i="34"/>
  <c r="C13" i="34"/>
  <c r="D12" i="144"/>
  <c r="D18" i="144"/>
  <c r="U255" i="241"/>
  <c r="U98" i="241"/>
  <c r="U34" i="241"/>
  <c r="U165" i="241"/>
  <c r="U53" i="241"/>
  <c r="U104" i="241"/>
  <c r="U233" i="241"/>
  <c r="U259" i="241"/>
  <c r="U202" i="241"/>
  <c r="U160" i="241"/>
  <c r="U20" i="241"/>
  <c r="U80" i="241"/>
  <c r="U148" i="241"/>
  <c r="Q5" i="237"/>
  <c r="Q5" i="230"/>
  <c r="U26" i="13"/>
  <c r="U27" i="13"/>
  <c r="U13" i="13"/>
  <c r="Y204" i="241"/>
  <c r="Y131" i="241"/>
  <c r="Y256" i="241"/>
  <c r="Y97" i="241"/>
  <c r="Y220" i="241"/>
  <c r="Y33" i="241"/>
  <c r="Y122" i="241"/>
  <c r="Y52" i="241"/>
  <c r="Y253" i="241"/>
  <c r="Y68" i="241"/>
  <c r="Y206" i="241"/>
  <c r="Y157" i="241"/>
  <c r="Y267" i="241"/>
  <c r="AC195" i="241"/>
  <c r="AC196" i="241"/>
  <c r="AC265" i="241"/>
  <c r="AC154" i="241"/>
  <c r="AC89" i="241"/>
  <c r="AC67" i="241"/>
  <c r="AC166" i="241"/>
  <c r="AC221" i="241"/>
  <c r="AC118" i="241"/>
  <c r="AC114" i="241"/>
  <c r="AC128" i="241"/>
  <c r="AC234" i="241"/>
  <c r="AC99" i="241"/>
  <c r="AC225" i="241"/>
  <c r="AC134" i="241"/>
  <c r="AC156" i="241"/>
  <c r="AC268" i="241"/>
  <c r="AG255" i="241"/>
  <c r="AG150" i="241"/>
  <c r="AG83" i="241"/>
  <c r="AG34" i="241"/>
  <c r="AG203" i="241"/>
  <c r="AG97" i="241"/>
  <c r="AG152" i="241"/>
  <c r="AG14" i="241"/>
  <c r="AG161" i="241"/>
  <c r="AG259" i="241"/>
  <c r="AG253" i="241"/>
  <c r="AG20" i="241"/>
  <c r="AK36" i="241"/>
  <c r="AK240" i="241"/>
  <c r="AK120" i="241"/>
  <c r="D18" i="15"/>
  <c r="C11" i="15"/>
  <c r="D16" i="110"/>
  <c r="E11" i="110"/>
  <c r="C10" i="34"/>
  <c r="D10" i="34"/>
  <c r="D11" i="144"/>
  <c r="D9" i="144"/>
  <c r="U238" i="241"/>
  <c r="U100" i="241"/>
  <c r="U25" i="241"/>
  <c r="U154" i="241"/>
  <c r="U236" i="241"/>
  <c r="U166" i="241"/>
  <c r="U182" i="241"/>
  <c r="U219" i="241"/>
  <c r="U128" i="241"/>
  <c r="U172" i="241"/>
  <c r="U225" i="241"/>
  <c r="U47" i="241"/>
  <c r="U102" i="241"/>
  <c r="Q3" i="237"/>
  <c r="Q3" i="230"/>
  <c r="U21" i="13"/>
  <c r="U32" i="13"/>
  <c r="Y36" i="241"/>
  <c r="Y163" i="241"/>
  <c r="Y60" i="241"/>
  <c r="Y185" i="241"/>
  <c r="Y51" i="241"/>
  <c r="Y190" i="241"/>
  <c r="Y24" i="241"/>
  <c r="Y118" i="241"/>
  <c r="Y138" i="241"/>
  <c r="Y223" i="241"/>
  <c r="Y55" i="241"/>
  <c r="Y183" i="241"/>
  <c r="Y156" i="241"/>
  <c r="Y48" i="241"/>
  <c r="AC204" i="241"/>
  <c r="AC131" i="241"/>
  <c r="AC256" i="241"/>
  <c r="AC115" i="241"/>
  <c r="AC50" i="241"/>
  <c r="AC220" i="241"/>
  <c r="AC88" i="241"/>
  <c r="AC233" i="241"/>
  <c r="AC81" i="241"/>
  <c r="AC52" i="241"/>
  <c r="AC92" i="241"/>
  <c r="AC197" i="241"/>
  <c r="AC68" i="241"/>
  <c r="AC217" i="241"/>
  <c r="AC80" i="241"/>
  <c r="AC85" i="241"/>
  <c r="AC267" i="241"/>
  <c r="AG272" i="241"/>
  <c r="AG133" i="241"/>
  <c r="AG196" i="241"/>
  <c r="AG25" i="241"/>
  <c r="AG189" i="241"/>
  <c r="AG51" i="241"/>
  <c r="AG126" i="241"/>
  <c r="AG17" i="241"/>
  <c r="AG269" i="241"/>
  <c r="AG135" i="241"/>
  <c r="AG219" i="241"/>
  <c r="AG252" i="241"/>
  <c r="AG223" i="241"/>
  <c r="AG117" i="241"/>
  <c r="AG262" i="241"/>
  <c r="AG162" i="241"/>
  <c r="AG191" i="241"/>
  <c r="AG102" i="241"/>
  <c r="AK26" i="241"/>
  <c r="AK204" i="241"/>
  <c r="AK49" i="241"/>
  <c r="AK170" i="241"/>
  <c r="AK222" i="241"/>
  <c r="AK82" i="241"/>
  <c r="AK53" i="241"/>
  <c r="AK151" i="241"/>
  <c r="AK33" i="241"/>
  <c r="AK187" i="241"/>
  <c r="AK94" i="241"/>
  <c r="D9" i="15"/>
  <c r="F14" i="110"/>
  <c r="C16" i="34"/>
  <c r="C10" i="144"/>
  <c r="U163" i="241"/>
  <c r="U185" i="241"/>
  <c r="U190" i="241"/>
  <c r="U118" i="241"/>
  <c r="U223" i="241"/>
  <c r="U183" i="241"/>
  <c r="U48" i="241"/>
  <c r="U16" i="13"/>
  <c r="D1" i="34"/>
  <c r="Y100" i="241"/>
  <c r="Y154" i="241"/>
  <c r="Y166" i="241"/>
  <c r="Y219" i="241"/>
  <c r="Y172" i="241"/>
  <c r="Y47" i="241"/>
  <c r="AC255" i="241"/>
  <c r="AC34" i="241"/>
  <c r="AC97" i="241"/>
  <c r="AC104" i="241"/>
  <c r="AC161" i="241"/>
  <c r="AC58" i="241"/>
  <c r="AC121" i="241"/>
  <c r="AC155" i="241"/>
  <c r="AC148" i="241"/>
  <c r="AG195" i="241"/>
  <c r="AG240" i="241"/>
  <c r="AG119" i="241"/>
  <c r="AG190" i="241"/>
  <c r="AG182" i="241"/>
  <c r="AG29" i="241"/>
  <c r="AG169" i="241"/>
  <c r="AG224" i="241"/>
  <c r="AG63" i="241"/>
  <c r="AK255" i="241"/>
  <c r="AK84" i="241"/>
  <c r="AK25" i="241"/>
  <c r="AK95" i="241"/>
  <c r="AK101" i="241"/>
  <c r="AK24" i="241"/>
  <c r="AK135" i="241"/>
  <c r="AK114" i="241"/>
  <c r="AK32" i="241"/>
  <c r="AK160" i="241"/>
  <c r="AK31" i="241"/>
  <c r="AK155" i="241"/>
  <c r="AK191" i="241"/>
  <c r="AK65" i="241"/>
  <c r="AO255" i="241"/>
  <c r="AO132" i="241"/>
  <c r="AO60" i="241"/>
  <c r="AO256" i="241"/>
  <c r="AO119" i="241"/>
  <c r="AO53" i="241"/>
  <c r="AO86" i="241"/>
  <c r="AO14" i="241"/>
  <c r="AO122" i="241"/>
  <c r="AO114" i="241"/>
  <c r="AO92" i="241"/>
  <c r="AO169" i="241"/>
  <c r="AO54" i="241"/>
  <c r="AO183" i="241"/>
  <c r="AO263" i="241"/>
  <c r="AO65" i="241"/>
  <c r="AS255" i="241"/>
  <c r="AS133" i="241"/>
  <c r="AS131" i="241"/>
  <c r="AS265" i="241"/>
  <c r="AS115" i="241"/>
  <c r="AS120" i="241"/>
  <c r="AS86" i="241"/>
  <c r="AS14" i="241"/>
  <c r="AS135" i="241"/>
  <c r="AS199" i="241"/>
  <c r="AS128" i="241"/>
  <c r="AS197" i="241"/>
  <c r="AS55" i="241"/>
  <c r="AS183" i="241"/>
  <c r="AS263" i="241"/>
  <c r="AS102" i="241"/>
  <c r="AW16" i="241"/>
  <c r="AW150" i="241"/>
  <c r="AW196" i="241"/>
  <c r="AW15" i="241"/>
  <c r="AW115" i="241"/>
  <c r="AW120" i="241"/>
  <c r="AW151" i="241"/>
  <c r="AW24" i="241"/>
  <c r="AW161" i="241"/>
  <c r="AW219" i="241"/>
  <c r="AW202" i="241"/>
  <c r="AW197" i="241"/>
  <c r="AW55" i="241"/>
  <c r="AW206" i="241"/>
  <c r="AW264" i="241"/>
  <c r="AW148" i="241"/>
  <c r="BA26" i="241"/>
  <c r="BA163" i="241"/>
  <c r="BA196" i="241"/>
  <c r="BA15" i="241"/>
  <c r="BA154" i="241"/>
  <c r="BA50" i="241"/>
  <c r="BA190" i="241"/>
  <c r="BA33" i="241"/>
  <c r="BA200" i="241"/>
  <c r="BA219" i="241"/>
  <c r="BA202" i="241"/>
  <c r="BA234" i="241"/>
  <c r="BA68" i="241"/>
  <c r="BA224" i="241"/>
  <c r="BA19" i="241"/>
  <c r="BA250" i="241"/>
  <c r="BE26" i="241"/>
  <c r="BE163" i="241"/>
  <c r="BE83" i="241"/>
  <c r="BE25" i="241"/>
  <c r="BE165" i="241"/>
  <c r="BE89" i="241"/>
  <c r="D16" i="15"/>
  <c r="E19" i="110"/>
  <c r="D11" i="110"/>
  <c r="C18" i="34"/>
  <c r="C13" i="144"/>
  <c r="U49" i="241"/>
  <c r="U82" i="241"/>
  <c r="U88" i="241"/>
  <c r="U199" i="241"/>
  <c r="U121" i="241"/>
  <c r="U19" i="241"/>
  <c r="Q3" i="235"/>
  <c r="U34" i="13"/>
  <c r="Y26" i="241"/>
  <c r="Y27" i="241"/>
  <c r="Y66" i="241"/>
  <c r="Y231" i="241"/>
  <c r="Y58" i="241"/>
  <c r="Y54" i="241"/>
  <c r="Y85" i="241"/>
  <c r="AC163" i="241"/>
  <c r="AC237" i="241"/>
  <c r="AC120" i="241"/>
  <c r="AC46" i="241"/>
  <c r="AC61" i="241"/>
  <c r="AC32" i="241"/>
  <c r="AC55" i="241"/>
  <c r="AC47" i="241"/>
  <c r="AC188" i="241"/>
  <c r="AG132" i="241"/>
  <c r="AG15" i="241"/>
  <c r="AG66" i="241"/>
  <c r="AG229" i="241"/>
  <c r="AG122" i="241"/>
  <c r="AG202" i="241"/>
  <c r="AG123" i="241"/>
  <c r="AG136" i="241"/>
  <c r="AG270" i="241"/>
  <c r="AK272" i="241"/>
  <c r="AK64" i="241"/>
  <c r="AK15" i="241"/>
  <c r="AK97" i="241"/>
  <c r="AK67" i="241"/>
  <c r="AK14" i="241"/>
  <c r="AK122" i="241"/>
  <c r="AK29" i="241"/>
  <c r="AK13" i="241"/>
  <c r="AK172" i="241"/>
  <c r="AK20" i="241"/>
  <c r="AK162" i="241"/>
  <c r="AK157" i="241"/>
  <c r="AK268" i="241"/>
  <c r="AO257" i="241"/>
  <c r="AO84" i="241"/>
  <c r="AO27" i="241"/>
  <c r="AO237" i="241"/>
  <c r="AO82" i="241"/>
  <c r="AO236" i="241"/>
  <c r="AO104" i="241"/>
  <c r="AO231" i="241"/>
  <c r="AO118" i="241"/>
  <c r="AO52" i="241"/>
  <c r="AO32" i="241"/>
  <c r="AO160" i="241"/>
  <c r="AO31" i="241"/>
  <c r="AO155" i="241"/>
  <c r="AO157" i="241"/>
  <c r="AO268" i="241"/>
  <c r="AS272" i="241"/>
  <c r="AS132" i="241"/>
  <c r="AS60" i="241"/>
  <c r="AS256" i="241"/>
  <c r="AS119" i="241"/>
  <c r="AS236" i="241"/>
  <c r="AS104" i="241"/>
  <c r="AS269" i="241"/>
  <c r="AS122" i="241"/>
  <c r="AS114" i="241"/>
  <c r="AS92" i="241"/>
  <c r="AS169" i="241"/>
  <c r="AS31" i="241"/>
  <c r="AS155" i="241"/>
  <c r="AS191" i="241"/>
  <c r="AS65" i="241"/>
  <c r="AW255" i="241"/>
  <c r="AW133" i="241"/>
  <c r="AW131" i="241"/>
  <c r="AW256" i="241"/>
  <c r="AW119" i="241"/>
  <c r="AW53" i="241"/>
  <c r="AW86" i="241"/>
  <c r="AW14" i="241"/>
  <c r="AW135" i="241"/>
  <c r="AW199" i="241"/>
  <c r="AW92" i="241"/>
  <c r="AW169" i="241"/>
  <c r="AW54" i="241"/>
  <c r="AW183" i="241"/>
  <c r="AW263" i="241"/>
  <c r="AW102" i="241"/>
  <c r="BA16" i="241"/>
  <c r="BA133" i="241"/>
  <c r="BA131" i="241"/>
  <c r="BA265" i="241"/>
  <c r="BA115" i="241"/>
  <c r="BA120" i="241"/>
  <c r="BA151" i="241"/>
  <c r="BA24" i="241"/>
  <c r="BA135" i="241"/>
  <c r="BA199" i="241"/>
  <c r="BA128" i="241"/>
  <c r="BA197" i="241"/>
  <c r="BA55" i="241"/>
  <c r="BA206" i="241"/>
  <c r="BA264" i="241"/>
  <c r="BA102" i="241"/>
  <c r="BE16" i="241"/>
  <c r="BE150" i="241"/>
  <c r="BE196" i="241"/>
  <c r="BE15" i="241"/>
  <c r="BE154" i="241"/>
  <c r="BE50" i="241"/>
  <c r="BE151" i="241"/>
  <c r="BE24" i="241"/>
  <c r="BE161" i="241"/>
  <c r="BE219" i="241"/>
  <c r="BE202" i="241"/>
  <c r="BE234" i="241"/>
  <c r="BE68" i="241"/>
  <c r="BE206" i="241"/>
  <c r="BE264" i="241"/>
  <c r="BE148" i="241"/>
  <c r="BI26" i="241"/>
  <c r="BI163" i="241"/>
  <c r="BI83" i="241"/>
  <c r="BI25" i="241"/>
  <c r="BI154" i="241"/>
  <c r="BI50" i="241"/>
  <c r="BI190" i="241"/>
  <c r="BI33" i="241"/>
  <c r="BI200" i="241"/>
  <c r="BI259" i="241"/>
  <c r="BI252" i="241"/>
  <c r="BI234" i="241"/>
  <c r="BI68" i="241"/>
  <c r="BI224" i="241"/>
  <c r="BI19" i="241"/>
  <c r="BI250" i="241"/>
  <c r="BM36" i="241"/>
  <c r="BM257" i="241"/>
  <c r="BM64" i="241"/>
  <c r="BM127" i="241"/>
  <c r="BM235" i="241"/>
  <c r="BN235" i="241" s="1"/>
  <c r="BM154" i="241"/>
  <c r="BM89" i="241"/>
  <c r="BM67" i="241"/>
  <c r="BM186" i="241"/>
  <c r="BN186" i="241" s="1"/>
  <c r="BM24" i="241"/>
  <c r="BM200" i="241"/>
  <c r="BM59" i="241"/>
  <c r="BM153" i="241"/>
  <c r="BN153" i="241" s="1"/>
  <c r="BM128" i="241"/>
  <c r="BM234" i="241"/>
  <c r="BM99" i="241"/>
  <c r="BM274" i="241"/>
  <c r="BN274" i="241" s="1"/>
  <c r="BM183" i="241"/>
  <c r="BM264" i="241"/>
  <c r="BM250" i="241"/>
  <c r="BM93" i="241"/>
  <c r="BN93" i="241" s="1"/>
  <c r="BA169" i="241"/>
  <c r="BA183" i="241"/>
  <c r="BA65" i="241"/>
  <c r="BE255" i="241"/>
  <c r="BE131" i="241"/>
  <c r="BE265" i="241"/>
  <c r="BE115" i="241"/>
  <c r="BE86" i="241"/>
  <c r="BE14" i="241"/>
  <c r="BE199" i="241"/>
  <c r="BE128" i="241"/>
  <c r="BE54" i="241"/>
  <c r="BE183" i="241"/>
  <c r="BE102" i="241"/>
  <c r="BI16" i="241"/>
  <c r="BI196" i="241"/>
  <c r="BI265" i="241"/>
  <c r="BI115" i="241"/>
  <c r="BI151" i="241"/>
  <c r="BI24" i="241"/>
  <c r="BI219" i="241"/>
  <c r="BI128" i="241"/>
  <c r="BI55" i="241"/>
  <c r="BI206" i="241"/>
  <c r="BI148" i="241"/>
  <c r="BM228" i="241"/>
  <c r="BM84" i="241"/>
  <c r="BM60" i="241"/>
  <c r="BM185" i="241"/>
  <c r="BM95" i="241"/>
  <c r="BM118" i="241"/>
  <c r="BM138" i="241"/>
  <c r="BM251" i="241"/>
  <c r="BM172" i="241"/>
  <c r="BM225" i="241"/>
  <c r="BM134" i="241"/>
  <c r="BM156" i="241"/>
  <c r="BM268" i="241"/>
  <c r="C9" i="34"/>
  <c r="U97" i="241"/>
  <c r="U52" i="241"/>
  <c r="U68" i="241"/>
  <c r="Q3" i="234"/>
  <c r="C1" i="34"/>
  <c r="Y34" i="241"/>
  <c r="Y53" i="241"/>
  <c r="Y202" i="241"/>
  <c r="Y20" i="241"/>
  <c r="AC84" i="241"/>
  <c r="AC185" i="241"/>
  <c r="AC24" i="241"/>
  <c r="AC59" i="241"/>
  <c r="AC31" i="241"/>
  <c r="AC264" i="241"/>
  <c r="AG98" i="241"/>
  <c r="AG256" i="241"/>
  <c r="AG88" i="241"/>
  <c r="AG81" i="241"/>
  <c r="AG68" i="241"/>
  <c r="AG80" i="241"/>
  <c r="AK238" i="241"/>
  <c r="AK196" i="241"/>
  <c r="AK66" i="241"/>
  <c r="AK104" i="241"/>
  <c r="AK61" i="241"/>
  <c r="AK138" i="241"/>
  <c r="AK117" i="241"/>
  <c r="AK271" i="241"/>
  <c r="AK63" i="241"/>
  <c r="AO184" i="241"/>
  <c r="AO100" i="241"/>
  <c r="AO185" i="241"/>
  <c r="AO97" i="241"/>
  <c r="AO101" i="241"/>
  <c r="AO166" i="241"/>
  <c r="AO233" i="241"/>
  <c r="AO61" i="241"/>
  <c r="AO218" i="241"/>
  <c r="AO251" i="241"/>
  <c r="AO121" i="241"/>
  <c r="AO271" i="241"/>
  <c r="AO134" i="241"/>
  <c r="AO188" i="241"/>
  <c r="AS238" i="241"/>
  <c r="AS98" i="241"/>
  <c r="AS185" i="241"/>
  <c r="AS97" i="241"/>
  <c r="AS229" i="241"/>
  <c r="AS81" i="241"/>
  <c r="AS29" i="241"/>
  <c r="AS121" i="241"/>
  <c r="AS262" i="241"/>
  <c r="AS156" i="241"/>
  <c r="AS267" i="241"/>
  <c r="AW98" i="241"/>
  <c r="AW222" i="241"/>
  <c r="AW152" i="241"/>
  <c r="AW17" i="241"/>
  <c r="AW81" i="241"/>
  <c r="AW29" i="241"/>
  <c r="AW172" i="241"/>
  <c r="AW20" i="241"/>
  <c r="AW157" i="241"/>
  <c r="AW267" i="241"/>
  <c r="BA84" i="241"/>
  <c r="BA27" i="241"/>
  <c r="BA237" i="241"/>
  <c r="BA236" i="241"/>
  <c r="BA231" i="241"/>
  <c r="BA118" i="241"/>
  <c r="BA32" i="241"/>
  <c r="BA160" i="241"/>
  <c r="BA162" i="241"/>
  <c r="BA157" i="241"/>
  <c r="BE272" i="241"/>
  <c r="BE132" i="241"/>
  <c r="BE256" i="241"/>
  <c r="BE82" i="241"/>
  <c r="BE236" i="241"/>
  <c r="BE269" i="241"/>
  <c r="BE122" i="241"/>
  <c r="BE92" i="241"/>
  <c r="BE160" i="241"/>
  <c r="BE155" i="241"/>
  <c r="BE191" i="241"/>
  <c r="BE65" i="241"/>
  <c r="BI133" i="241"/>
  <c r="BI60" i="241"/>
  <c r="BI119" i="241"/>
  <c r="BI53" i="241"/>
  <c r="BI86" i="241"/>
  <c r="BI135" i="241"/>
  <c r="BI114" i="241"/>
  <c r="BI169" i="241"/>
  <c r="BI54" i="241"/>
  <c r="BI263" i="241"/>
  <c r="BI102" i="241"/>
  <c r="BM150" i="241"/>
  <c r="BM12" i="241"/>
  <c r="BN12" i="241" s="1"/>
  <c r="BM256" i="241"/>
  <c r="BM115" i="241"/>
  <c r="BM50" i="241"/>
  <c r="BM104" i="241"/>
  <c r="BM14" i="241"/>
  <c r="BM161" i="241"/>
  <c r="BM30" i="241"/>
  <c r="BN30" i="241" s="1"/>
  <c r="BM92" i="241"/>
  <c r="BM197" i="241"/>
  <c r="BM87" i="241"/>
  <c r="BN87" i="241" s="1"/>
  <c r="BM155" i="241"/>
  <c r="BM194" i="241"/>
  <c r="BN194" i="241" s="1"/>
  <c r="BM267" i="241"/>
  <c r="D8" i="15"/>
  <c r="E18" i="110"/>
  <c r="C12" i="34"/>
  <c r="U36" i="241"/>
  <c r="U60" i="241"/>
  <c r="U51" i="241"/>
  <c r="U24" i="241"/>
  <c r="U138" i="241"/>
  <c r="U55" i="241"/>
  <c r="U156" i="241"/>
  <c r="Q5" i="233"/>
  <c r="U25" i="13"/>
  <c r="Y238" i="241"/>
  <c r="Y25" i="241"/>
  <c r="Y236" i="241"/>
  <c r="Y182" i="241"/>
  <c r="Y128" i="241"/>
  <c r="Y102" i="241"/>
  <c r="AC98" i="241"/>
  <c r="AC203" i="241"/>
  <c r="AC14" i="241"/>
  <c r="AC259" i="241"/>
  <c r="AC20" i="241"/>
  <c r="AC263" i="241"/>
  <c r="AG100" i="241"/>
  <c r="AG237" i="241"/>
  <c r="AG120" i="241"/>
  <c r="AG61" i="241"/>
  <c r="AG32" i="241"/>
  <c r="AG47" i="241"/>
  <c r="AG267" i="241"/>
  <c r="AK131" i="241"/>
  <c r="AK203" i="241"/>
  <c r="AK17" i="241"/>
  <c r="AK221" i="241"/>
  <c r="AK59" i="241"/>
  <c r="AK223" i="241"/>
  <c r="AK123" i="241"/>
  <c r="AK47" i="241"/>
  <c r="AK270" i="241"/>
  <c r="AO195" i="241"/>
  <c r="AO49" i="241"/>
  <c r="AO203" i="241"/>
  <c r="AO66" i="241"/>
  <c r="AO88" i="241"/>
  <c r="AO182" i="241"/>
  <c r="AO94" i="241"/>
  <c r="AO253" i="241"/>
  <c r="AO123" i="241"/>
  <c r="AO80" i="241"/>
  <c r="AO63" i="241"/>
  <c r="AS184" i="241"/>
  <c r="AS100" i="241"/>
  <c r="AS127" i="241"/>
  <c r="AS51" i="241"/>
  <c r="AS101" i="241"/>
  <c r="AS233" i="241"/>
  <c r="AS61" i="241"/>
  <c r="AS253" i="241"/>
  <c r="AS117" i="241"/>
  <c r="AS271" i="241"/>
  <c r="AS85" i="241"/>
  <c r="AS188" i="241"/>
  <c r="AW100" i="241"/>
  <c r="AW170" i="241"/>
  <c r="AW97" i="241"/>
  <c r="AW126" i="241"/>
  <c r="AW233" i="241"/>
  <c r="AW61" i="241"/>
  <c r="AW218" i="241"/>
  <c r="AW121" i="241"/>
  <c r="AW262" i="241"/>
  <c r="AW85" i="241"/>
  <c r="AW188" i="241"/>
  <c r="BA98" i="241"/>
  <c r="BA240" i="241"/>
  <c r="BA222" i="241"/>
  <c r="BA126" i="241"/>
  <c r="BA229" i="241"/>
  <c r="BA81" i="241"/>
  <c r="BA29" i="241"/>
  <c r="BA172" i="241"/>
  <c r="BA262" i="241"/>
  <c r="BA136" i="241"/>
  <c r="BA267" i="241"/>
  <c r="BE257" i="241"/>
  <c r="BE27" i="241"/>
  <c r="BE222" i="241"/>
  <c r="BE152" i="241"/>
  <c r="BE17" i="241"/>
  <c r="BE231" i="241"/>
  <c r="BE52" i="241"/>
  <c r="BE13" i="241"/>
  <c r="BE20" i="241"/>
  <c r="BE162" i="241"/>
  <c r="BE268" i="241"/>
  <c r="BI272" i="241"/>
  <c r="BI84" i="241"/>
  <c r="BI237" i="241"/>
  <c r="BI82" i="241"/>
  <c r="BI104" i="241"/>
  <c r="BI269" i="241"/>
  <c r="BI52" i="241"/>
  <c r="BI32" i="241"/>
  <c r="BI160" i="241"/>
  <c r="BI155" i="241"/>
  <c r="BI191" i="241"/>
  <c r="BM16" i="241"/>
  <c r="BM27" i="241"/>
  <c r="BM34" i="241"/>
  <c r="BM203" i="241"/>
  <c r="BM97" i="241"/>
  <c r="BM152" i="241"/>
  <c r="BM220" i="241"/>
  <c r="BM88" i="241"/>
  <c r="BM233" i="241"/>
  <c r="BM81" i="241"/>
  <c r="BM58" i="241"/>
  <c r="BM121" i="241"/>
  <c r="BM68" i="241"/>
  <c r="BM217" i="241"/>
  <c r="BM80" i="241"/>
  <c r="BM85" i="241"/>
  <c r="D13" i="15"/>
  <c r="F16" i="110"/>
  <c r="D13" i="34"/>
  <c r="D14" i="144"/>
  <c r="U184" i="241"/>
  <c r="U15" i="241"/>
  <c r="U187" i="241"/>
  <c r="U13" i="241"/>
  <c r="U217" i="241"/>
  <c r="U65" i="241"/>
  <c r="Q5" i="229"/>
  <c r="Y132" i="241"/>
  <c r="Y203" i="241"/>
  <c r="Y151" i="241"/>
  <c r="Y230" i="241"/>
  <c r="Y136" i="241"/>
  <c r="AC60" i="241"/>
  <c r="AC119" i="241"/>
  <c r="AC182" i="241"/>
  <c r="AC29" i="241"/>
  <c r="AC224" i="241"/>
  <c r="AC63" i="241"/>
  <c r="AG257" i="241"/>
  <c r="AG165" i="241"/>
  <c r="AG101" i="241"/>
  <c r="C18" i="15"/>
  <c r="D19" i="110"/>
  <c r="F11" i="110"/>
  <c r="C11" i="34"/>
  <c r="C17" i="144"/>
  <c r="U196" i="241"/>
  <c r="U95" i="241"/>
  <c r="U46" i="241"/>
  <c r="U114" i="241"/>
  <c r="U117" i="241"/>
  <c r="U191" i="241"/>
  <c r="Q5" i="234"/>
  <c r="U14" i="13"/>
  <c r="Y16" i="241"/>
  <c r="Y240" i="241"/>
  <c r="Y120" i="241"/>
  <c r="Y221" i="241"/>
  <c r="Y252" i="241"/>
  <c r="Y31" i="241"/>
  <c r="Y63" i="241"/>
  <c r="AC132" i="241"/>
  <c r="AC222" i="241"/>
  <c r="AC53" i="241"/>
  <c r="AC33" i="241"/>
  <c r="AC94" i="241"/>
  <c r="AC13" i="241"/>
  <c r="AC54" i="241"/>
  <c r="AC19" i="241"/>
  <c r="AC168" i="241"/>
  <c r="AG84" i="241"/>
  <c r="AG265" i="241"/>
  <c r="AG89" i="241"/>
  <c r="AG166" i="241"/>
  <c r="AG118" i="241"/>
  <c r="AG128" i="241"/>
  <c r="AG99" i="241"/>
  <c r="AG134" i="241"/>
  <c r="AG65" i="241"/>
  <c r="AK257" i="241"/>
  <c r="AK83" i="241"/>
  <c r="AK265" i="241"/>
  <c r="AK51" i="241"/>
  <c r="AK86" i="241"/>
  <c r="AK269" i="241"/>
  <c r="AK118" i="241"/>
  <c r="AK218" i="241"/>
  <c r="AK251" i="241"/>
  <c r="AK121" i="241"/>
  <c r="AK262" i="241"/>
  <c r="AK136" i="241"/>
  <c r="AK156" i="241"/>
  <c r="AK188" i="241"/>
  <c r="AO238" i="241"/>
  <c r="AO98" i="241"/>
  <c r="AO240" i="241"/>
  <c r="AO222" i="241"/>
  <c r="AO95" i="241"/>
  <c r="AO152" i="241"/>
  <c r="AO229" i="241"/>
  <c r="AO221" i="241"/>
  <c r="AO81" i="241"/>
  <c r="AO29" i="241"/>
  <c r="AO13" i="241"/>
  <c r="AO172" i="241"/>
  <c r="AO20" i="241"/>
  <c r="AO136" i="241"/>
  <c r="AO156" i="241"/>
  <c r="AO267" i="241"/>
  <c r="AS257" i="241"/>
  <c r="AS84" i="241"/>
  <c r="AS27" i="241"/>
  <c r="AS237" i="241"/>
  <c r="AS95" i="241"/>
  <c r="AS152" i="241"/>
  <c r="AS17" i="241"/>
  <c r="AS231" i="241"/>
  <c r="AS118" i="241"/>
  <c r="AS52" i="241"/>
  <c r="AS32" i="241"/>
  <c r="AS172" i="241"/>
  <c r="AS20" i="241"/>
  <c r="AS162" i="241"/>
  <c r="AS157" i="241"/>
  <c r="AS268" i="241"/>
  <c r="AW272" i="241"/>
  <c r="AW132" i="241"/>
  <c r="AW27" i="241"/>
  <c r="AW237" i="241"/>
  <c r="AW82" i="241"/>
  <c r="AW236" i="241"/>
  <c r="AW104" i="241"/>
  <c r="AW269" i="241"/>
  <c r="AW122" i="241"/>
  <c r="AW52" i="241"/>
  <c r="AW32" i="241"/>
  <c r="AW160" i="241"/>
  <c r="AW31" i="241"/>
  <c r="AW155" i="241"/>
  <c r="AW191" i="241"/>
  <c r="AW65" i="241"/>
  <c r="BA272" i="241"/>
  <c r="BA132" i="241"/>
  <c r="BA60" i="241"/>
  <c r="BA256" i="241"/>
  <c r="BA119" i="241"/>
  <c r="BA53" i="241"/>
  <c r="BA86" i="241"/>
  <c r="BA269" i="241"/>
  <c r="BA122" i="241"/>
  <c r="BA114" i="241"/>
  <c r="BA92" i="241"/>
  <c r="BA54" i="241"/>
  <c r="BA191" i="241"/>
  <c r="BE133" i="241"/>
  <c r="BE53" i="241"/>
  <c r="BE135" i="241"/>
  <c r="BE197" i="241"/>
  <c r="BE263" i="241"/>
  <c r="BI150" i="241"/>
  <c r="BI120" i="241"/>
  <c r="BI161" i="241"/>
  <c r="BI197" i="241"/>
  <c r="BI264" i="241"/>
  <c r="BM265" i="241"/>
  <c r="BM236" i="241"/>
  <c r="BM86" i="241"/>
  <c r="BM166" i="241"/>
  <c r="BM221" i="241"/>
  <c r="BM114" i="241"/>
  <c r="BM31" i="241"/>
  <c r="BM48" i="241"/>
  <c r="C9" i="15"/>
  <c r="F19" i="110"/>
  <c r="E10" i="110"/>
  <c r="D7" i="144"/>
  <c r="U131" i="241"/>
  <c r="U33" i="241"/>
  <c r="U157" i="241"/>
  <c r="Y255" i="241"/>
  <c r="Y233" i="241"/>
  <c r="Y148" i="241"/>
  <c r="AC236" i="241"/>
  <c r="AC251" i="241"/>
  <c r="AC48" i="241"/>
  <c r="AG50" i="241"/>
  <c r="AG92" i="241"/>
  <c r="AG268" i="241"/>
  <c r="AK185" i="241"/>
  <c r="AK231" i="241"/>
  <c r="AK253" i="241"/>
  <c r="AK134" i="241"/>
  <c r="AK168" i="241"/>
  <c r="AO170" i="241"/>
  <c r="AO85" i="241"/>
  <c r="AS240" i="241"/>
  <c r="AS126" i="241"/>
  <c r="AS221" i="241"/>
  <c r="AS251" i="241"/>
  <c r="AS136" i="241"/>
  <c r="AW257" i="241"/>
  <c r="AW240" i="241"/>
  <c r="AW95" i="241"/>
  <c r="AW231" i="241"/>
  <c r="AW13" i="241"/>
  <c r="AW162" i="241"/>
  <c r="BA257" i="241"/>
  <c r="BN257" i="241" s="1"/>
  <c r="BA82" i="241"/>
  <c r="BA17" i="241"/>
  <c r="BA52" i="241"/>
  <c r="BA31" i="241"/>
  <c r="BA268" i="241"/>
  <c r="BE60" i="241"/>
  <c r="BE104" i="241"/>
  <c r="BE114" i="241"/>
  <c r="BE31" i="241"/>
  <c r="BI255" i="241"/>
  <c r="BI256" i="241"/>
  <c r="BI14" i="241"/>
  <c r="BI92" i="241"/>
  <c r="BN92" i="241" s="1"/>
  <c r="BI183" i="241"/>
  <c r="BN228" i="241"/>
  <c r="BM83" i="241"/>
  <c r="BM18" i="241"/>
  <c r="BN18" i="241" s="1"/>
  <c r="BM52" i="241"/>
  <c r="BM20" i="241"/>
  <c r="BM263" i="241"/>
  <c r="F10" i="110"/>
  <c r="Y225" i="241"/>
  <c r="AC152" i="241"/>
  <c r="AC253" i="241"/>
  <c r="AG36" i="241"/>
  <c r="AG46" i="241"/>
  <c r="AG55" i="241"/>
  <c r="AK163" i="241"/>
  <c r="AK89" i="241"/>
  <c r="AK58" i="241"/>
  <c r="AK225" i="241"/>
  <c r="AK48" i="241"/>
  <c r="AO127" i="241"/>
  <c r="AO67" i="241"/>
  <c r="AO138" i="241"/>
  <c r="AO225" i="241"/>
  <c r="AO168" i="241"/>
  <c r="AS203" i="241"/>
  <c r="AS166" i="241"/>
  <c r="AS138" i="241"/>
  <c r="AS134" i="241"/>
  <c r="AW184" i="241"/>
  <c r="AW185" i="241"/>
  <c r="AW229" i="241"/>
  <c r="AW251" i="241"/>
  <c r="AW136" i="241"/>
  <c r="BA238" i="241"/>
  <c r="BA95" i="241"/>
  <c r="BA221" i="241"/>
  <c r="BA13" i="241"/>
  <c r="BA156" i="241"/>
  <c r="BE84" i="241"/>
  <c r="BE95" i="241"/>
  <c r="BE118" i="241"/>
  <c r="BE172" i="241"/>
  <c r="BE157" i="241"/>
  <c r="BI27" i="241"/>
  <c r="BI236" i="241"/>
  <c r="BI118" i="241"/>
  <c r="BN118" i="241" s="1"/>
  <c r="BI31" i="241"/>
  <c r="BN31" i="241" s="1"/>
  <c r="BI268" i="241"/>
  <c r="BM98" i="241"/>
  <c r="BN14" i="241"/>
  <c r="BM259" i="241"/>
  <c r="BM253" i="241"/>
  <c r="BN155" i="241"/>
  <c r="BM148" i="241"/>
  <c r="U152" i="241"/>
  <c r="U12" i="13"/>
  <c r="Y81" i="241"/>
  <c r="AC36" i="241"/>
  <c r="AC190" i="241"/>
  <c r="AC169" i="241"/>
  <c r="AG131" i="241"/>
  <c r="AG231" i="241"/>
  <c r="C7" i="15"/>
  <c r="C7" i="34"/>
  <c r="U220" i="241"/>
  <c r="U267" i="241"/>
  <c r="Y165" i="241"/>
  <c r="Y80" i="241"/>
  <c r="AC86" i="241"/>
  <c r="AC183" i="241"/>
  <c r="AG115" i="241"/>
  <c r="AG230" i="241"/>
  <c r="AG85" i="241"/>
  <c r="AK127" i="241"/>
  <c r="AK229" i="241"/>
  <c r="AK199" i="241"/>
  <c r="AK55" i="241"/>
  <c r="AK250" i="241"/>
  <c r="AO150" i="241"/>
  <c r="AO154" i="241"/>
  <c r="AO46" i="241"/>
  <c r="AO199" i="241"/>
  <c r="AO68" i="241"/>
  <c r="AO270" i="241"/>
  <c r="AS150" i="241"/>
  <c r="AS165" i="241"/>
  <c r="AS88" i="241"/>
  <c r="AS219" i="241"/>
  <c r="AS99" i="241"/>
  <c r="AS63" i="241"/>
  <c r="AW163" i="241"/>
  <c r="AW189" i="241"/>
  <c r="AW88" i="241"/>
  <c r="AW259" i="241"/>
  <c r="AW123" i="241"/>
  <c r="AW63" i="241"/>
  <c r="BA204" i="241"/>
  <c r="BA189" i="241"/>
  <c r="BA166" i="241"/>
  <c r="BA59" i="241"/>
  <c r="BA123" i="241"/>
  <c r="BA85" i="241"/>
  <c r="BE204" i="241"/>
  <c r="BE203" i="241"/>
  <c r="BE220" i="241"/>
  <c r="BE200" i="241"/>
  <c r="BE252" i="241"/>
  <c r="BE99" i="241"/>
  <c r="BE19" i="241"/>
  <c r="BI36" i="241"/>
  <c r="BI64" i="241"/>
  <c r="BI189" i="241"/>
  <c r="BI220" i="241"/>
  <c r="BI187" i="241"/>
  <c r="BI58" i="241"/>
  <c r="BI99" i="241"/>
  <c r="BI47" i="241"/>
  <c r="BI48" i="241"/>
  <c r="BM82" i="241"/>
  <c r="BM53" i="241"/>
  <c r="BN53" i="241" s="1"/>
  <c r="BM151" i="241"/>
  <c r="BM33" i="241"/>
  <c r="BM13" i="241"/>
  <c r="BM160" i="241"/>
  <c r="BM54" i="241"/>
  <c r="BM206" i="241"/>
  <c r="BM229" i="241"/>
  <c r="BM230" i="241"/>
  <c r="AC240" i="241"/>
  <c r="AK150" i="241"/>
  <c r="BN150" i="241" s="1"/>
  <c r="AK230" i="241"/>
  <c r="AO34" i="241"/>
  <c r="AO206" i="241"/>
  <c r="AS200" i="241"/>
  <c r="AW50" i="241"/>
  <c r="BA170" i="241"/>
  <c r="BA217" i="241"/>
  <c r="BE259" i="241"/>
  <c r="BI34" i="241"/>
  <c r="BI223" i="241"/>
  <c r="BM15" i="241"/>
  <c r="BM122" i="241"/>
  <c r="BM65" i="241"/>
  <c r="BN65" i="241" s="1"/>
  <c r="U265" i="241"/>
  <c r="Y169" i="241"/>
  <c r="AG60" i="241"/>
  <c r="AK133" i="241"/>
  <c r="AO16" i="241"/>
  <c r="AO47" i="241"/>
  <c r="AS161" i="241"/>
  <c r="AW101" i="241"/>
  <c r="BA127" i="241"/>
  <c r="BA48" i="241"/>
  <c r="BE221" i="241"/>
  <c r="BE267" i="241"/>
  <c r="BI29" i="241"/>
  <c r="BM119" i="241"/>
  <c r="BM29" i="241"/>
  <c r="BM63" i="241"/>
  <c r="AC95" i="241"/>
  <c r="AG157" i="241"/>
  <c r="AK169" i="241"/>
  <c r="AO190" i="241"/>
  <c r="AS15" i="241"/>
  <c r="AW195" i="241"/>
  <c r="AW47" i="241"/>
  <c r="BA80" i="241"/>
  <c r="BE138" i="241"/>
  <c r="BI126" i="241"/>
  <c r="BI134" i="241"/>
  <c r="BM46" i="241"/>
  <c r="BM224" i="241"/>
  <c r="U126" i="241"/>
  <c r="AC151" i="241"/>
  <c r="AG156" i="241"/>
  <c r="AK263" i="241"/>
  <c r="BN263" i="241" s="1"/>
  <c r="AO259" i="241"/>
  <c r="AS189" i="241"/>
  <c r="AW204" i="241"/>
  <c r="AW19" i="241"/>
  <c r="BA94" i="241"/>
  <c r="BE187" i="241"/>
  <c r="BI49" i="241"/>
  <c r="BI117" i="241"/>
  <c r="BM222" i="241"/>
  <c r="BM218" i="241"/>
  <c r="BM270" i="241"/>
  <c r="C13" i="15"/>
  <c r="D15" i="144"/>
  <c r="U135" i="241"/>
  <c r="Q3" i="229"/>
  <c r="Y86" i="241"/>
  <c r="BN86" i="241" s="1"/>
  <c r="AC26" i="241"/>
  <c r="AC187" i="241"/>
  <c r="AC270" i="241"/>
  <c r="AG67" i="241"/>
  <c r="AG234" i="241"/>
  <c r="AG188" i="241"/>
  <c r="AK34" i="241"/>
  <c r="AK166" i="241"/>
  <c r="AK252" i="241"/>
  <c r="AK54" i="241"/>
  <c r="BN54" i="241" s="1"/>
  <c r="AK148" i="241"/>
  <c r="AO64" i="241"/>
  <c r="AO115" i="241"/>
  <c r="BN115" i="241" s="1"/>
  <c r="AO33" i="241"/>
  <c r="AO58" i="241"/>
  <c r="AO55" i="241"/>
  <c r="AO250" i="241"/>
  <c r="AS64" i="241"/>
  <c r="AS154" i="241"/>
  <c r="AS46" i="241"/>
  <c r="AS58" i="241"/>
  <c r="AS68" i="241"/>
  <c r="AS250" i="241"/>
  <c r="AW49" i="241"/>
  <c r="AW165" i="241"/>
  <c r="AW46" i="241"/>
  <c r="AW138" i="241"/>
  <c r="AW68" i="241"/>
  <c r="AW270" i="241"/>
  <c r="BA100" i="241"/>
  <c r="BA165" i="241"/>
  <c r="BA88" i="241"/>
  <c r="BA218" i="241"/>
  <c r="BA99" i="241"/>
  <c r="BA63" i="241"/>
  <c r="BE98" i="241"/>
  <c r="BE189" i="241"/>
  <c r="BE229" i="241"/>
  <c r="BE81" i="241"/>
  <c r="BE251" i="241"/>
  <c r="BE262" i="241"/>
  <c r="BE156" i="241"/>
  <c r="BI238" i="241"/>
  <c r="BI240" i="241"/>
  <c r="BI95" i="241"/>
  <c r="BN95" i="241" s="1"/>
  <c r="BI17" i="241"/>
  <c r="BI81" i="241"/>
  <c r="BN81" i="241" s="1"/>
  <c r="BI13" i="241"/>
  <c r="BN13" i="241" s="1"/>
  <c r="BI20" i="241"/>
  <c r="BN20" i="241" s="1"/>
  <c r="BI156" i="241"/>
  <c r="BN156" i="241" s="1"/>
  <c r="BM133" i="241"/>
  <c r="BM258" i="241"/>
  <c r="BN258" i="241" s="1"/>
  <c r="BM126" i="241"/>
  <c r="BM17" i="241"/>
  <c r="BM269" i="241"/>
  <c r="BM149" i="241"/>
  <c r="BN149" i="241" s="1"/>
  <c r="BM117" i="241"/>
  <c r="BM262" i="241"/>
  <c r="BM162" i="241"/>
  <c r="BM216" i="241"/>
  <c r="BN216" i="241" s="1"/>
  <c r="BM51" i="241"/>
  <c r="BN17" i="241"/>
  <c r="BN269" i="241"/>
  <c r="BM219" i="241"/>
  <c r="BM252" i="241"/>
  <c r="BM191" i="241"/>
  <c r="AW83" i="241"/>
  <c r="AW217" i="241"/>
  <c r="AW168" i="241"/>
  <c r="BA66" i="241"/>
  <c r="BA252" i="241"/>
  <c r="BA188" i="241"/>
  <c r="BE51" i="241"/>
  <c r="BE59" i="241"/>
  <c r="BE225" i="241"/>
  <c r="BI127" i="241"/>
  <c r="BI51" i="241"/>
  <c r="BI253" i="241"/>
  <c r="BI225" i="241"/>
  <c r="BM116" i="241"/>
  <c r="BN116" i="241" s="1"/>
  <c r="BM101" i="241"/>
  <c r="BM123" i="241"/>
  <c r="BN191" i="241"/>
  <c r="U204" i="241"/>
  <c r="Y259" i="241"/>
  <c r="AC138" i="241"/>
  <c r="AG184" i="241"/>
  <c r="AG233" i="241"/>
  <c r="AK154" i="241"/>
  <c r="AK200" i="241"/>
  <c r="AK183" i="241"/>
  <c r="BN183" i="241" s="1"/>
  <c r="AO26" i="241"/>
  <c r="AO120" i="241"/>
  <c r="AO230" i="241"/>
  <c r="AS36" i="241"/>
  <c r="AS34" i="241"/>
  <c r="AS223" i="241"/>
  <c r="AW127" i="241"/>
  <c r="AW187" i="241"/>
  <c r="AW48" i="241"/>
  <c r="BA89" i="241"/>
  <c r="BA168" i="241"/>
  <c r="BE66" i="241"/>
  <c r="BE230" i="241"/>
  <c r="BE250" i="241"/>
  <c r="BI89" i="241"/>
  <c r="BI59" i="241"/>
  <c r="BM132" i="241"/>
  <c r="BN229" i="241"/>
  <c r="BM202" i="241"/>
  <c r="AC82" i="241"/>
  <c r="BN82" i="241" s="1"/>
  <c r="AG217" i="241"/>
  <c r="AK236" i="241"/>
  <c r="BN236" i="241" s="1"/>
  <c r="AK19" i="241"/>
  <c r="AO15" i="241"/>
  <c r="BN15" i="241" s="1"/>
  <c r="AO234" i="241"/>
  <c r="AS16" i="241"/>
  <c r="AS230" i="241"/>
  <c r="AW26" i="241"/>
  <c r="BN26" i="241" s="1"/>
  <c r="AW200" i="241"/>
  <c r="AW80" i="241"/>
  <c r="BA187" i="241"/>
  <c r="BA134" i="241"/>
  <c r="BE127" i="241"/>
  <c r="BN127" i="241" s="1"/>
  <c r="BE218" i="241"/>
  <c r="BI98" i="241"/>
  <c r="BI222" i="241"/>
  <c r="BN222" i="241" s="1"/>
  <c r="BI172" i="241"/>
  <c r="BI267" i="241"/>
  <c r="BN267" i="241" s="1"/>
  <c r="BM240" i="241"/>
  <c r="BM70" i="241"/>
  <c r="BN70" i="241" s="1"/>
  <c r="BM61" i="241"/>
  <c r="BN68" i="241"/>
  <c r="D14" i="110"/>
  <c r="U256" i="241"/>
  <c r="BN256" i="241" s="1"/>
  <c r="Y98" i="241"/>
  <c r="BN98" i="241" s="1"/>
  <c r="AC172" i="241"/>
  <c r="BN172" i="241" s="1"/>
  <c r="AG27" i="241"/>
  <c r="AK132" i="241"/>
  <c r="BN132" i="241" s="1"/>
  <c r="AK152" i="241"/>
  <c r="AK264" i="241"/>
  <c r="AO204" i="241"/>
  <c r="AO197" i="241"/>
  <c r="AO19" i="241"/>
  <c r="AS59" i="241"/>
  <c r="AS47" i="241"/>
  <c r="AW220" i="241"/>
  <c r="AW230" i="241"/>
  <c r="BA67" i="241"/>
  <c r="BA230" i="241"/>
  <c r="BN230" i="241" s="1"/>
  <c r="BE34" i="241"/>
  <c r="BE233" i="241"/>
  <c r="BE168" i="241"/>
  <c r="BI100" i="241"/>
  <c r="BI218" i="241"/>
  <c r="BI121" i="241"/>
  <c r="BM100" i="241"/>
  <c r="BN100" i="241" s="1"/>
  <c r="BN119" i="241"/>
  <c r="BM120" i="241"/>
  <c r="BM182" i="241"/>
  <c r="BM169" i="241"/>
  <c r="BM47" i="241"/>
  <c r="U268" i="241"/>
  <c r="BN268" i="241" s="1"/>
  <c r="Y134" i="241"/>
  <c r="AC206" i="241"/>
  <c r="AG52" i="241"/>
  <c r="BN52" i="241" s="1"/>
  <c r="AK60" i="241"/>
  <c r="BN60" i="241" s="1"/>
  <c r="AK219" i="241"/>
  <c r="AO163" i="241"/>
  <c r="AO151" i="241"/>
  <c r="BN151" i="241" s="1"/>
  <c r="AO264" i="241"/>
  <c r="AS163" i="241"/>
  <c r="BN163" i="241" s="1"/>
  <c r="AS259" i="241"/>
  <c r="AS264" i="241"/>
  <c r="BN264" i="241" s="1"/>
  <c r="AW190" i="241"/>
  <c r="AW117" i="241"/>
  <c r="BA220" i="241"/>
  <c r="BA117" i="241"/>
  <c r="BE185" i="241"/>
  <c r="BE58" i="241"/>
  <c r="BE48" i="241"/>
  <c r="BI203" i="241"/>
  <c r="BI138" i="241"/>
  <c r="BM195" i="241"/>
  <c r="BM49" i="241"/>
  <c r="BN120" i="241"/>
  <c r="BM187" i="241"/>
  <c r="BN169" i="241"/>
  <c r="BM19" i="241"/>
  <c r="BN19" i="241" s="1"/>
  <c r="C9" i="144"/>
  <c r="U122" i="241"/>
  <c r="BN122" i="241" s="1"/>
  <c r="U24" i="13"/>
  <c r="Y104" i="241"/>
  <c r="BN104" i="241" s="1"/>
  <c r="AC16" i="241"/>
  <c r="AC200" i="241"/>
  <c r="AC250" i="241"/>
  <c r="AG220" i="241"/>
  <c r="AG197" i="241"/>
  <c r="BN197" i="241" s="1"/>
  <c r="AG168" i="241"/>
  <c r="AK189" i="241"/>
  <c r="AK46" i="241"/>
  <c r="AK202" i="241"/>
  <c r="AK224" i="241"/>
  <c r="AK102" i="241"/>
  <c r="AO83" i="241"/>
  <c r="AO89" i="241"/>
  <c r="AO24" i="241"/>
  <c r="AO202" i="241"/>
  <c r="AO217" i="241"/>
  <c r="AO148" i="241"/>
  <c r="AS83" i="241"/>
  <c r="BN83" i="241" s="1"/>
  <c r="AS66" i="241"/>
  <c r="AS24" i="241"/>
  <c r="BN24" i="241" s="1"/>
  <c r="AS252" i="241"/>
  <c r="AS225" i="241"/>
  <c r="AS148" i="241"/>
  <c r="BN148" i="241" s="1"/>
  <c r="AW64" i="241"/>
  <c r="AW51" i="241"/>
  <c r="AW33" i="241"/>
  <c r="AW58" i="241"/>
  <c r="BN58" i="241" s="1"/>
  <c r="AW271" i="241"/>
  <c r="AW250" i="241"/>
  <c r="BN250" i="241" s="1"/>
  <c r="BA49" i="241"/>
  <c r="BA51" i="241"/>
  <c r="BN51" i="241" s="1"/>
  <c r="BA46" i="241"/>
  <c r="BA138" i="241"/>
  <c r="BN138" i="241" s="1"/>
  <c r="BA271" i="241"/>
  <c r="BA270" i="241"/>
  <c r="BE49" i="241"/>
  <c r="BN49" i="241" s="1"/>
  <c r="BE97" i="241"/>
  <c r="BE166" i="241"/>
  <c r="BE94" i="241"/>
  <c r="BE253" i="241"/>
  <c r="BE271" i="241"/>
  <c r="BE85" i="241"/>
  <c r="BI184" i="241"/>
  <c r="BI170" i="241"/>
  <c r="BI97" i="241"/>
  <c r="BN97" i="241" s="1"/>
  <c r="BI166" i="241"/>
  <c r="BN166" i="241" s="1"/>
  <c r="BI61" i="241"/>
  <c r="BI251" i="241"/>
  <c r="BI262" i="241"/>
  <c r="BN262" i="241" s="1"/>
  <c r="BI85" i="241"/>
  <c r="BN85" i="241" s="1"/>
  <c r="BN255" i="241"/>
  <c r="BN133" i="241"/>
  <c r="BM196" i="241"/>
  <c r="BM25" i="241"/>
  <c r="BM189" i="241"/>
  <c r="BM135" i="241"/>
  <c r="BN135" i="241" s="1"/>
  <c r="BM223" i="241"/>
  <c r="BM102" i="241"/>
  <c r="BN102" i="241" s="1"/>
  <c r="AW182" i="241"/>
  <c r="BA233" i="241"/>
  <c r="BE64" i="241"/>
  <c r="BE223" i="241"/>
  <c r="BI195" i="241"/>
  <c r="BI94" i="241"/>
  <c r="BM272" i="241"/>
  <c r="BN272" i="241" s="1"/>
  <c r="BM66" i="241"/>
  <c r="BN219" i="241"/>
  <c r="BM167" i="241"/>
  <c r="BN167" i="241" s="1"/>
  <c r="U17" i="13"/>
  <c r="AG225" i="241"/>
  <c r="AS224" i="241"/>
  <c r="AW224" i="241"/>
  <c r="BA251" i="241"/>
  <c r="BE33" i="241"/>
  <c r="BN33" i="241" s="1"/>
  <c r="BI204" i="241"/>
  <c r="BN204" i="241" s="1"/>
  <c r="BI217" i="241"/>
  <c r="BM131" i="241"/>
  <c r="BM231" i="241"/>
  <c r="BN231" i="241" s="1"/>
  <c r="BM136" i="241"/>
  <c r="E15" i="110"/>
  <c r="U224" i="241"/>
  <c r="AC160" i="241"/>
  <c r="AG199" i="241"/>
  <c r="AK161" i="241"/>
  <c r="AO220" i="241"/>
  <c r="AS67" i="241"/>
  <c r="AW34" i="241"/>
  <c r="BN34" i="241" s="1"/>
  <c r="BA36" i="241"/>
  <c r="BA223" i="241"/>
  <c r="BE126" i="241"/>
  <c r="BE136" i="241"/>
  <c r="BN136" i="241" s="1"/>
  <c r="BI221" i="241"/>
  <c r="BM184" i="241"/>
  <c r="BM32" i="241"/>
  <c r="BN32" i="241" s="1"/>
  <c r="BM188" i="241"/>
  <c r="Y160" i="241"/>
  <c r="BN160" i="241" s="1"/>
  <c r="AG114" i="241"/>
  <c r="BN114" i="241" s="1"/>
  <c r="AK259" i="241"/>
  <c r="BN259" i="241" s="1"/>
  <c r="AO59" i="241"/>
  <c r="AS220" i="241"/>
  <c r="BN220" i="241" s="1"/>
  <c r="AW25" i="241"/>
  <c r="BA184" i="241"/>
  <c r="BE238" i="241"/>
  <c r="BE117" i="241"/>
  <c r="BN117" i="241" s="1"/>
  <c r="BI233" i="241"/>
  <c r="BI188" i="241"/>
  <c r="BN188" i="241" s="1"/>
  <c r="BN240" i="241"/>
  <c r="BM190" i="241"/>
  <c r="BN29" i="241"/>
  <c r="BM55" i="241"/>
  <c r="BN55" i="241" s="1"/>
  <c r="D7" i="34"/>
  <c r="Y189" i="241"/>
  <c r="BN189" i="241" s="1"/>
  <c r="AG154" i="241"/>
  <c r="BN154" i="241" s="1"/>
  <c r="AK126" i="241"/>
  <c r="BN126" i="241" s="1"/>
  <c r="AO165" i="241"/>
  <c r="AO99" i="241"/>
  <c r="AS190" i="241"/>
  <c r="AW203" i="241"/>
  <c r="BN203" i="241" s="1"/>
  <c r="BA195" i="241"/>
  <c r="BE184" i="241"/>
  <c r="BN184" i="241" s="1"/>
  <c r="BE123" i="241"/>
  <c r="BI67" i="241"/>
  <c r="BI168" i="241"/>
  <c r="BM129" i="241"/>
  <c r="BN129" i="241" s="1"/>
  <c r="BM21" i="241"/>
  <c r="BN21" i="241" s="1"/>
  <c r="BM168" i="241"/>
  <c r="BN168" i="241" s="1"/>
  <c r="U195" i="241"/>
  <c r="U251" i="241"/>
  <c r="BN251" i="241" s="1"/>
  <c r="D1" i="144"/>
  <c r="Y61" i="241"/>
  <c r="AC27" i="241"/>
  <c r="BN27" i="241" s="1"/>
  <c r="AC218" i="241"/>
  <c r="BN218" i="241" s="1"/>
  <c r="AG238" i="241"/>
  <c r="BN238" i="241" s="1"/>
  <c r="AG221" i="241"/>
  <c r="BN221" i="241" s="1"/>
  <c r="AG271" i="241"/>
  <c r="AK16" i="241"/>
  <c r="BN16" i="241" s="1"/>
  <c r="AK165" i="241"/>
  <c r="AK182" i="241"/>
  <c r="AK128" i="241"/>
  <c r="AK206" i="241"/>
  <c r="AO36" i="241"/>
  <c r="AO131" i="241"/>
  <c r="BN131" i="241" s="1"/>
  <c r="AO50" i="241"/>
  <c r="AO187" i="241"/>
  <c r="BN187" i="241" s="1"/>
  <c r="AO128" i="241"/>
  <c r="BN128" i="241" s="1"/>
  <c r="AO224" i="241"/>
  <c r="AO48" i="241"/>
  <c r="AS196" i="241"/>
  <c r="AS89" i="241"/>
  <c r="BN89" i="241" s="1"/>
  <c r="AS182" i="241"/>
  <c r="AS202" i="241"/>
  <c r="BN202" i="241" s="1"/>
  <c r="AS217" i="241"/>
  <c r="AS48" i="241"/>
  <c r="BN48" i="241" s="1"/>
  <c r="AW66" i="241"/>
  <c r="BN66" i="241" s="1"/>
  <c r="AW252" i="241"/>
  <c r="BN252" i="241" s="1"/>
  <c r="BA64" i="241"/>
  <c r="BN64" i="241" s="1"/>
  <c r="BA225" i="241"/>
  <c r="BN225" i="241" s="1"/>
  <c r="BE88" i="241"/>
  <c r="BE270" i="241"/>
  <c r="BI88" i="241"/>
  <c r="BN88" i="241" s="1"/>
  <c r="BI63" i="241"/>
  <c r="BN63" i="241" s="1"/>
  <c r="BN196" i="241"/>
  <c r="BM254" i="241"/>
  <c r="BN254" i="241" s="1"/>
  <c r="BM271" i="241"/>
  <c r="BN271" i="241" s="1"/>
  <c r="U253" i="241"/>
  <c r="AO200" i="241"/>
  <c r="BN200" i="241" s="1"/>
  <c r="AS50" i="241"/>
  <c r="BN50" i="241" s="1"/>
  <c r="AW36" i="241"/>
  <c r="BN36" i="241" s="1"/>
  <c r="AW253" i="241"/>
  <c r="BN253" i="241" s="1"/>
  <c r="BA182" i="241"/>
  <c r="BE170" i="241"/>
  <c r="BE217" i="241"/>
  <c r="BN217" i="241" s="1"/>
  <c r="BI46" i="241"/>
  <c r="BN46" i="241" s="1"/>
  <c r="BI270" i="241"/>
  <c r="BN270" i="241" s="1"/>
  <c r="BM165" i="241"/>
  <c r="BN165" i="241" s="1"/>
  <c r="BM199" i="241"/>
  <c r="BN199" i="241" s="1"/>
  <c r="BM157" i="241"/>
  <c r="BN157" i="241" s="1"/>
  <c r="Y84" i="241"/>
  <c r="BN84" i="241" s="1"/>
  <c r="AK234" i="241"/>
  <c r="AO161" i="241"/>
  <c r="BN161" i="241" s="1"/>
  <c r="AS25" i="241"/>
  <c r="AS80" i="241"/>
  <c r="AW223" i="241"/>
  <c r="BN223" i="241" s="1"/>
  <c r="BA101" i="241"/>
  <c r="BE121" i="241"/>
  <c r="BN121" i="241" s="1"/>
  <c r="BI152" i="241"/>
  <c r="BN152" i="241" s="1"/>
  <c r="BI162" i="241"/>
  <c r="BN162" i="241" s="1"/>
  <c r="BM237" i="241"/>
  <c r="BN237" i="241" s="1"/>
  <c r="BN233" i="241"/>
  <c r="BM201" i="241"/>
  <c r="BN201" i="241" s="1"/>
  <c r="U206" i="241"/>
  <c r="BN206" i="241" s="1"/>
  <c r="AO265" i="241"/>
  <c r="BN265" i="241" s="1"/>
  <c r="AS195" i="241"/>
  <c r="BN195" i="241" s="1"/>
  <c r="AS234" i="241"/>
  <c r="BN234" i="241" s="1"/>
  <c r="AW94" i="241"/>
  <c r="BA25" i="241"/>
  <c r="BN25" i="241" s="1"/>
  <c r="BA61" i="241"/>
  <c r="BN61" i="241" s="1"/>
  <c r="BE101" i="241"/>
  <c r="BN101" i="241" s="1"/>
  <c r="BE134" i="241"/>
  <c r="BN134" i="241" s="1"/>
  <c r="BI185" i="241"/>
  <c r="AK99" i="241"/>
  <c r="BN99" i="241" s="1"/>
  <c r="AS123" i="241"/>
  <c r="BN123" i="241" s="1"/>
  <c r="AW59" i="241"/>
  <c r="BN59" i="241" s="1"/>
  <c r="BA185" i="241"/>
  <c r="BN185" i="241" s="1"/>
  <c r="BA47" i="241"/>
  <c r="BN47" i="241" s="1"/>
  <c r="BE67" i="241"/>
  <c r="BN67" i="241" s="1"/>
  <c r="BE80" i="241"/>
  <c r="BI182" i="241"/>
  <c r="BN182" i="241" s="1"/>
  <c r="BI80" i="241"/>
  <c r="BN80" i="241" s="1"/>
  <c r="BM170" i="241"/>
  <c r="BN170" i="241" s="1"/>
  <c r="BN190" i="241"/>
  <c r="BM94" i="241"/>
  <c r="BN94" i="241" s="1"/>
  <c r="BN224" i="241"/>
  <c r="A260" i="241" l="1"/>
  <c r="B261" i="241"/>
  <c r="A224" i="241"/>
  <c r="B225" i="241"/>
  <c r="A192" i="241"/>
  <c r="B193" i="241"/>
  <c r="A156" i="241"/>
  <c r="B157" i="241"/>
  <c r="A124" i="241"/>
  <c r="B125" i="241"/>
  <c r="A90" i="241"/>
  <c r="B91" i="241"/>
  <c r="A56" i="241"/>
  <c r="B57" i="241"/>
  <c r="A21" i="241"/>
  <c r="B22" i="241"/>
  <c r="A259" i="238"/>
  <c r="B260" i="238"/>
  <c r="A259" i="237"/>
  <c r="B260" i="237"/>
  <c r="A259" i="236"/>
  <c r="B260" i="236"/>
  <c r="A259" i="235"/>
  <c r="B260" i="235"/>
  <c r="A259" i="234"/>
  <c r="B260" i="234"/>
  <c r="A259" i="233"/>
  <c r="B260" i="233"/>
  <c r="A259" i="232"/>
  <c r="B260" i="232"/>
  <c r="A259" i="231"/>
  <c r="B260" i="231"/>
  <c r="A259" i="230"/>
  <c r="B260" i="230"/>
  <c r="A259" i="229"/>
  <c r="B260" i="229"/>
  <c r="A259" i="227"/>
  <c r="B260" i="227"/>
  <c r="A259" i="187"/>
  <c r="B260" i="187"/>
  <c r="T27" i="187"/>
  <c r="T251" i="187"/>
  <c r="T271" i="187"/>
  <c r="T267" i="187"/>
  <c r="T263" i="187"/>
  <c r="T259" i="187"/>
  <c r="T255" i="187"/>
  <c r="T250" i="187"/>
  <c r="T253" i="187"/>
  <c r="T274" i="187"/>
  <c r="T272" i="187"/>
  <c r="T270" i="187"/>
  <c r="T268" i="187"/>
  <c r="T264" i="187"/>
  <c r="T262" i="187"/>
  <c r="T258" i="187"/>
  <c r="T256" i="187"/>
  <c r="T254" i="187"/>
  <c r="T252" i="187"/>
  <c r="T269" i="187"/>
  <c r="T265" i="187"/>
  <c r="T257" i="187"/>
  <c r="B226" i="238"/>
  <c r="A225" i="238"/>
  <c r="A225" i="237"/>
  <c r="B226" i="237"/>
  <c r="A225" i="236"/>
  <c r="B226" i="236"/>
  <c r="A225" i="235"/>
  <c r="B226" i="235"/>
  <c r="A225" i="234"/>
  <c r="B226" i="234"/>
  <c r="A225" i="233"/>
  <c r="B226" i="233"/>
  <c r="A225" i="232"/>
  <c r="B226" i="232"/>
  <c r="A225" i="231"/>
  <c r="B226" i="231"/>
  <c r="T18" i="187"/>
  <c r="I1" i="187"/>
  <c r="T12" i="187"/>
  <c r="A225" i="230"/>
  <c r="B226" i="230"/>
  <c r="T17" i="187"/>
  <c r="T19" i="187"/>
  <c r="T29" i="187"/>
  <c r="T33" i="187"/>
  <c r="T24" i="187"/>
  <c r="T32" i="187"/>
  <c r="A225" i="229"/>
  <c r="B226" i="229"/>
  <c r="A225" i="227"/>
  <c r="B226" i="227"/>
  <c r="A225" i="187"/>
  <c r="B226" i="187"/>
  <c r="T25" i="187"/>
  <c r="T217" i="187"/>
  <c r="T240" i="187"/>
  <c r="T238" i="187"/>
  <c r="T236" i="187"/>
  <c r="T234" i="187"/>
  <c r="T230" i="187"/>
  <c r="T228" i="187"/>
  <c r="T224" i="187"/>
  <c r="T222" i="187"/>
  <c r="T220" i="187"/>
  <c r="T218" i="187"/>
  <c r="T237" i="187"/>
  <c r="T235" i="187"/>
  <c r="T233" i="187"/>
  <c r="T231" i="187"/>
  <c r="T229" i="187"/>
  <c r="T225" i="187"/>
  <c r="T223" i="187"/>
  <c r="T221" i="187"/>
  <c r="T216" i="187"/>
  <c r="T219" i="187"/>
  <c r="A191" i="238"/>
  <c r="B192" i="238"/>
  <c r="A191" i="237"/>
  <c r="B192" i="237"/>
  <c r="A191" i="236"/>
  <c r="B192" i="236"/>
  <c r="A191" i="235"/>
  <c r="B192" i="235"/>
  <c r="A191" i="234"/>
  <c r="B192" i="234"/>
  <c r="A191" i="233"/>
  <c r="B192" i="233"/>
  <c r="A191" i="232"/>
  <c r="B192" i="232"/>
  <c r="A191" i="231"/>
  <c r="B192" i="231"/>
  <c r="A191" i="230"/>
  <c r="B192" i="230"/>
  <c r="K1" i="187"/>
  <c r="T14" i="187"/>
  <c r="T20" i="187"/>
  <c r="T13" i="187"/>
  <c r="T34" i="187"/>
  <c r="T36" i="187"/>
  <c r="T31" i="187"/>
  <c r="T26" i="187"/>
  <c r="T16" i="187"/>
  <c r="T21" i="187"/>
  <c r="A191" i="229"/>
  <c r="B192" i="229"/>
  <c r="T30" i="187"/>
  <c r="T15" i="187"/>
  <c r="A191" i="227"/>
  <c r="B192" i="227"/>
  <c r="A191" i="187"/>
  <c r="B192" i="187"/>
  <c r="T183" i="187"/>
  <c r="T185" i="187"/>
  <c r="T206" i="187"/>
  <c r="T204" i="187"/>
  <c r="T202" i="187"/>
  <c r="T200" i="187"/>
  <c r="T196" i="187"/>
  <c r="T194" i="187"/>
  <c r="T190" i="187"/>
  <c r="T188" i="187"/>
  <c r="T186" i="187"/>
  <c r="T184" i="187"/>
  <c r="T203" i="187"/>
  <c r="T201" i="187"/>
  <c r="T199" i="187"/>
  <c r="T197" i="187"/>
  <c r="T195" i="187"/>
  <c r="T191" i="187"/>
  <c r="T189" i="187"/>
  <c r="T187" i="187"/>
  <c r="T182" i="187"/>
  <c r="A157" i="238"/>
  <c r="B158" i="238"/>
  <c r="A157" i="237"/>
  <c r="B158" i="237"/>
  <c r="A157" i="236"/>
  <c r="B158" i="236"/>
  <c r="A157" i="235"/>
  <c r="B158" i="235"/>
  <c r="A157" i="234"/>
  <c r="B158" i="234"/>
  <c r="A157" i="233"/>
  <c r="B158" i="233"/>
  <c r="A157" i="232"/>
  <c r="B158" i="232"/>
  <c r="A157" i="231"/>
  <c r="B158" i="231"/>
  <c r="A157" i="230"/>
  <c r="B158" i="230"/>
  <c r="A157" i="229"/>
  <c r="B158" i="229"/>
  <c r="A157" i="227"/>
  <c r="B158" i="227"/>
  <c r="A157" i="187"/>
  <c r="B158" i="187"/>
  <c r="T149" i="187"/>
  <c r="T172" i="187"/>
  <c r="T170" i="187"/>
  <c r="T168" i="187"/>
  <c r="T166" i="187"/>
  <c r="T162" i="187"/>
  <c r="T160" i="187"/>
  <c r="T156" i="187"/>
  <c r="T154" i="187"/>
  <c r="T152" i="187"/>
  <c r="T150" i="187"/>
  <c r="T169" i="187"/>
  <c r="T167" i="187"/>
  <c r="T165" i="187"/>
  <c r="T163" i="187"/>
  <c r="T161" i="187"/>
  <c r="T157" i="187"/>
  <c r="T155" i="187"/>
  <c r="T153" i="187"/>
  <c r="T148" i="187"/>
  <c r="T151" i="187"/>
  <c r="A123" i="238"/>
  <c r="B124" i="238"/>
  <c r="A123" i="237"/>
  <c r="B124" i="237"/>
  <c r="A123" i="236"/>
  <c r="B124" i="236"/>
  <c r="A123" i="235"/>
  <c r="B124" i="235"/>
  <c r="A123" i="234"/>
  <c r="B124" i="234"/>
  <c r="A123" i="233"/>
  <c r="B124" i="233"/>
  <c r="A123" i="232"/>
  <c r="B124" i="232"/>
  <c r="A123" i="231"/>
  <c r="B124" i="231"/>
  <c r="A123" i="230"/>
  <c r="B124" i="230"/>
  <c r="A123" i="229"/>
  <c r="B124" i="229"/>
  <c r="A123" i="227"/>
  <c r="B124" i="227"/>
  <c r="A123" i="187"/>
  <c r="B124" i="187"/>
  <c r="T115" i="187"/>
  <c r="T138" i="187"/>
  <c r="T136" i="187"/>
  <c r="T134" i="187"/>
  <c r="T132" i="187"/>
  <c r="T128" i="187"/>
  <c r="T126" i="187"/>
  <c r="T122" i="187"/>
  <c r="T120" i="187"/>
  <c r="T118" i="187"/>
  <c r="T116" i="187"/>
  <c r="T135" i="187"/>
  <c r="T133" i="187"/>
  <c r="T131" i="187"/>
  <c r="T129" i="187"/>
  <c r="T127" i="187"/>
  <c r="T123" i="187"/>
  <c r="T121" i="187"/>
  <c r="T119" i="187"/>
  <c r="T114" i="187"/>
  <c r="T117" i="187"/>
  <c r="A89" i="238"/>
  <c r="B90" i="238"/>
  <c r="A89" i="237"/>
  <c r="B90" i="237"/>
  <c r="A89" i="236"/>
  <c r="B90" i="236"/>
  <c r="A89" i="235"/>
  <c r="B90" i="235"/>
  <c r="A89" i="234"/>
  <c r="B90" i="234"/>
  <c r="A89" i="233"/>
  <c r="B90" i="233"/>
  <c r="A88" i="232"/>
  <c r="B89" i="232"/>
  <c r="A89" i="231"/>
  <c r="B90" i="231"/>
  <c r="A89" i="230"/>
  <c r="B90" i="230"/>
  <c r="A89" i="229"/>
  <c r="B90" i="229"/>
  <c r="A89" i="227"/>
  <c r="B90" i="227"/>
  <c r="A89" i="187"/>
  <c r="B90" i="187"/>
  <c r="T81" i="187"/>
  <c r="T104" i="187"/>
  <c r="T102" i="187"/>
  <c r="T100" i="187"/>
  <c r="T98" i="187"/>
  <c r="T94" i="187"/>
  <c r="T92" i="187"/>
  <c r="T88" i="187"/>
  <c r="T86" i="187"/>
  <c r="T84" i="187"/>
  <c r="T82" i="187"/>
  <c r="T101" i="187"/>
  <c r="T99" i="187"/>
  <c r="T97" i="187"/>
  <c r="T95" i="187"/>
  <c r="T93" i="187"/>
  <c r="T89" i="187"/>
  <c r="T87" i="187"/>
  <c r="T85" i="187"/>
  <c r="T80" i="187"/>
  <c r="T83" i="187"/>
  <c r="A55" i="238"/>
  <c r="B56" i="238"/>
  <c r="A55" i="237"/>
  <c r="B56" i="237"/>
  <c r="A55" i="236"/>
  <c r="B56" i="236"/>
  <c r="A54" i="235"/>
  <c r="B55" i="235"/>
  <c r="A55" i="234"/>
  <c r="B56" i="234"/>
  <c r="A55" i="233"/>
  <c r="B56" i="233"/>
  <c r="A55" i="232"/>
  <c r="B56" i="232"/>
  <c r="A55" i="231"/>
  <c r="B56" i="231"/>
  <c r="A55" i="230"/>
  <c r="B56" i="230"/>
  <c r="A55" i="229"/>
  <c r="B56" i="229"/>
  <c r="A55" i="227"/>
  <c r="B56" i="227"/>
  <c r="T47" i="187"/>
  <c r="T70" i="187"/>
  <c r="T68" i="187"/>
  <c r="T66" i="187"/>
  <c r="T64" i="187"/>
  <c r="T60" i="187"/>
  <c r="T58" i="187"/>
  <c r="T54" i="187"/>
  <c r="T52" i="187"/>
  <c r="T50" i="187"/>
  <c r="T49" i="187"/>
  <c r="T48" i="187"/>
  <c r="T67" i="187"/>
  <c r="T65" i="187"/>
  <c r="T63" i="187"/>
  <c r="T61" i="187"/>
  <c r="T59" i="187"/>
  <c r="T55" i="187"/>
  <c r="T53" i="187"/>
  <c r="T51" i="187"/>
  <c r="T46" i="187"/>
  <c r="A55" i="187"/>
  <c r="B56" i="187"/>
  <c r="A20" i="238"/>
  <c r="B21" i="238"/>
  <c r="A20" i="237"/>
  <c r="B21" i="237"/>
  <c r="A20" i="236"/>
  <c r="B21" i="236"/>
  <c r="A20" i="235"/>
  <c r="B21" i="235"/>
  <c r="A20" i="234"/>
  <c r="B21" i="234"/>
  <c r="A20" i="233"/>
  <c r="B21" i="233"/>
  <c r="A20" i="232"/>
  <c r="B21" i="232"/>
  <c r="B21" i="231"/>
  <c r="A20" i="231"/>
  <c r="A20" i="230"/>
  <c r="B21" i="230"/>
  <c r="A22" i="229"/>
  <c r="B23" i="229"/>
  <c r="A19" i="227"/>
  <c r="B20" i="227"/>
  <c r="F1" i="3"/>
  <c r="M4" i="3" s="1"/>
  <c r="I3" i="33"/>
  <c r="S5" i="187"/>
  <c r="A10" i="13"/>
  <c r="B11" i="13"/>
  <c r="A10" i="187"/>
  <c r="B11" i="187"/>
  <c r="T5" i="13"/>
  <c r="S5" i="13"/>
  <c r="U255" i="187"/>
  <c r="U265" i="187"/>
  <c r="U12" i="187"/>
  <c r="U222" i="187"/>
  <c r="U229" i="187"/>
  <c r="U240" i="187"/>
  <c r="U20" i="187"/>
  <c r="U204" i="187"/>
  <c r="U184" i="187"/>
  <c r="U187" i="187"/>
  <c r="U166" i="187"/>
  <c r="U151" i="187"/>
  <c r="U148" i="187"/>
  <c r="U128" i="187"/>
  <c r="U122" i="187"/>
  <c r="U84" i="187"/>
  <c r="U87" i="187"/>
  <c r="U88" i="187"/>
  <c r="U55" i="187"/>
  <c r="U54" i="187"/>
  <c r="U60" i="187"/>
  <c r="U253" i="187"/>
  <c r="U27" i="187"/>
  <c r="U250" i="187"/>
  <c r="U17" i="187"/>
  <c r="U233" i="187"/>
  <c r="U228" i="187"/>
  <c r="U224" i="187"/>
  <c r="U13" i="187"/>
  <c r="U188" i="187"/>
  <c r="U196" i="187"/>
  <c r="U206" i="187"/>
  <c r="U161" i="187"/>
  <c r="U149" i="187"/>
  <c r="U165" i="187"/>
  <c r="U123" i="187"/>
  <c r="U133" i="187"/>
  <c r="U95" i="187"/>
  <c r="U97" i="187"/>
  <c r="U99" i="187"/>
  <c r="U47" i="187"/>
  <c r="U67" i="187"/>
  <c r="U257" i="187"/>
  <c r="U271" i="187"/>
  <c r="U267" i="187"/>
  <c r="U19" i="187"/>
  <c r="U219" i="187"/>
  <c r="U218" i="187"/>
  <c r="U235" i="187"/>
  <c r="U34" i="187"/>
  <c r="U199" i="187"/>
  <c r="U191" i="187"/>
  <c r="U190" i="187"/>
  <c r="U150" i="187"/>
  <c r="U169" i="187"/>
  <c r="U134" i="187"/>
  <c r="U126" i="187"/>
  <c r="U114" i="187"/>
  <c r="U98" i="187"/>
  <c r="U82" i="187"/>
  <c r="U80" i="187"/>
  <c r="U53" i="187"/>
  <c r="U52" i="187"/>
  <c r="U251" i="187"/>
  <c r="U272" i="187"/>
  <c r="U270" i="187"/>
  <c r="U29" i="187"/>
  <c r="U236" i="187"/>
  <c r="U230" i="187"/>
  <c r="U216" i="187"/>
  <c r="U30" i="187"/>
  <c r="U202" i="187"/>
  <c r="U183" i="187"/>
  <c r="U201" i="187"/>
  <c r="U162" i="187"/>
  <c r="U153" i="187"/>
  <c r="U118" i="187"/>
  <c r="U121" i="187"/>
  <c r="U136" i="187"/>
  <c r="U93" i="187"/>
  <c r="U81" i="187"/>
  <c r="U102" i="187"/>
  <c r="U51" i="187"/>
  <c r="U46" i="187"/>
  <c r="U263" i="187"/>
  <c r="U24" i="187"/>
  <c r="U231" i="187"/>
  <c r="U16" i="187"/>
  <c r="U197" i="187"/>
  <c r="U189" i="187"/>
  <c r="U170" i="187"/>
  <c r="U172" i="187"/>
  <c r="U135" i="187"/>
  <c r="U89" i="187"/>
  <c r="U59" i="187"/>
  <c r="U65" i="187"/>
  <c r="U268" i="187"/>
  <c r="U264" i="187"/>
  <c r="U25" i="187"/>
  <c r="U14" i="187"/>
  <c r="U31" i="187"/>
  <c r="U185" i="187"/>
  <c r="U160" i="187"/>
  <c r="U127" i="187"/>
  <c r="U119" i="187"/>
  <c r="U86" i="187"/>
  <c r="U48" i="187"/>
  <c r="U66" i="187"/>
  <c r="U252" i="187"/>
  <c r="U238" i="187"/>
  <c r="U234" i="187"/>
  <c r="U21" i="187"/>
  <c r="U195" i="187"/>
  <c r="U163" i="187"/>
  <c r="U155" i="187"/>
  <c r="U116" i="187"/>
  <c r="U100" i="187"/>
  <c r="U92" i="187"/>
  <c r="U58" i="187"/>
  <c r="U61" i="187"/>
  <c r="U15" i="13"/>
  <c r="U262" i="187"/>
  <c r="U256" i="187"/>
  <c r="U254" i="187"/>
  <c r="U33" i="187"/>
  <c r="U220" i="187"/>
  <c r="U225" i="187"/>
  <c r="U223" i="187"/>
  <c r="U36" i="187"/>
  <c r="U186" i="187"/>
  <c r="U194" i="187"/>
  <c r="U182" i="187"/>
  <c r="U157" i="187"/>
  <c r="U154" i="187"/>
  <c r="U129" i="187"/>
  <c r="U115" i="187"/>
  <c r="U120" i="187"/>
  <c r="U94" i="187"/>
  <c r="U101" i="187"/>
  <c r="U49" i="187"/>
  <c r="U68" i="187"/>
  <c r="U63" i="187"/>
  <c r="U274" i="187"/>
  <c r="U259" i="187"/>
  <c r="U217" i="187"/>
  <c r="U15" i="187"/>
  <c r="U168" i="187"/>
  <c r="U132" i="187"/>
  <c r="U131" i="187"/>
  <c r="U85" i="187"/>
  <c r="U50" i="187"/>
  <c r="U258" i="187"/>
  <c r="U32" i="187"/>
  <c r="U237" i="187"/>
  <c r="U200" i="187"/>
  <c r="U152" i="187"/>
  <c r="U156" i="187"/>
  <c r="U117" i="187"/>
  <c r="U83" i="187"/>
  <c r="U64" i="187"/>
  <c r="U269" i="187"/>
  <c r="U18" i="187"/>
  <c r="U221" i="187"/>
  <c r="U26" i="187"/>
  <c r="U203" i="187"/>
  <c r="U167" i="187"/>
  <c r="U138" i="187"/>
  <c r="U104" i="187"/>
  <c r="U70" i="187"/>
  <c r="B262" i="241" l="1"/>
  <c r="A261" i="241"/>
  <c r="A225" i="241"/>
  <c r="B226" i="241"/>
  <c r="B194" i="241"/>
  <c r="A193" i="241"/>
  <c r="A157" i="241"/>
  <c r="B158" i="241"/>
  <c r="B126" i="241"/>
  <c r="A125" i="241"/>
  <c r="B92" i="241"/>
  <c r="A91" i="241"/>
  <c r="A57" i="241"/>
  <c r="B58" i="241"/>
  <c r="A22" i="241"/>
  <c r="B23" i="241"/>
  <c r="B261" i="238"/>
  <c r="A260" i="238"/>
  <c r="A260" i="237"/>
  <c r="B261" i="237"/>
  <c r="B261" i="236"/>
  <c r="A260" i="236"/>
  <c r="B261" i="235"/>
  <c r="A260" i="235"/>
  <c r="B261" i="234"/>
  <c r="A260" i="234"/>
  <c r="A260" i="233"/>
  <c r="B261" i="233"/>
  <c r="B261" i="232"/>
  <c r="A260" i="232"/>
  <c r="A260" i="231"/>
  <c r="B261" i="231"/>
  <c r="B261" i="230"/>
  <c r="A260" i="230"/>
  <c r="A260" i="229"/>
  <c r="B261" i="229"/>
  <c r="A260" i="227"/>
  <c r="B261" i="227"/>
  <c r="B261" i="187"/>
  <c r="A260" i="187"/>
  <c r="A226" i="238"/>
  <c r="B227" i="238"/>
  <c r="B227" i="237"/>
  <c r="A226" i="237"/>
  <c r="A226" i="236"/>
  <c r="B227" i="236"/>
  <c r="A226" i="235"/>
  <c r="B227" i="235"/>
  <c r="B227" i="234"/>
  <c r="A226" i="234"/>
  <c r="A226" i="233"/>
  <c r="B227" i="233"/>
  <c r="B227" i="232"/>
  <c r="A226" i="232"/>
  <c r="A226" i="231"/>
  <c r="B227" i="231"/>
  <c r="B227" i="230"/>
  <c r="A226" i="230"/>
  <c r="A226" i="229"/>
  <c r="B227" i="229"/>
  <c r="A226" i="227"/>
  <c r="B227" i="227"/>
  <c r="A226" i="187"/>
  <c r="B227" i="187"/>
  <c r="A192" i="238"/>
  <c r="B193" i="238"/>
  <c r="B193" i="237"/>
  <c r="A192" i="237"/>
  <c r="A192" i="236"/>
  <c r="B193" i="236"/>
  <c r="A192" i="235"/>
  <c r="B193" i="235"/>
  <c r="A192" i="234"/>
  <c r="B193" i="234"/>
  <c r="A192" i="233"/>
  <c r="B193" i="233"/>
  <c r="A192" i="232"/>
  <c r="B193" i="232"/>
  <c r="A192" i="231"/>
  <c r="B193" i="231"/>
  <c r="A192" i="230"/>
  <c r="B193" i="230"/>
  <c r="A192" i="229"/>
  <c r="B193" i="229"/>
  <c r="B193" i="227"/>
  <c r="A192" i="227"/>
  <c r="B193" i="187"/>
  <c r="A192" i="187"/>
  <c r="A158" i="238"/>
  <c r="B159" i="238"/>
  <c r="A158" i="237"/>
  <c r="B159" i="237"/>
  <c r="A158" i="236"/>
  <c r="B159" i="236"/>
  <c r="A158" i="235"/>
  <c r="B159" i="235"/>
  <c r="A158" i="234"/>
  <c r="B159" i="234"/>
  <c r="B159" i="233"/>
  <c r="A158" i="233"/>
  <c r="A158" i="232"/>
  <c r="B159" i="232"/>
  <c r="A158" i="231"/>
  <c r="B159" i="231"/>
  <c r="A158" i="230"/>
  <c r="B159" i="230"/>
  <c r="A158" i="229"/>
  <c r="B159" i="229"/>
  <c r="A158" i="227"/>
  <c r="B159" i="227"/>
  <c r="A158" i="187"/>
  <c r="B159" i="187"/>
  <c r="A124" i="238"/>
  <c r="B125" i="238"/>
  <c r="B125" i="237"/>
  <c r="A124" i="237"/>
  <c r="A124" i="236"/>
  <c r="B125" i="236"/>
  <c r="A124" i="235"/>
  <c r="B125" i="235"/>
  <c r="A124" i="234"/>
  <c r="B125" i="234"/>
  <c r="A124" i="233"/>
  <c r="B125" i="233"/>
  <c r="A124" i="232"/>
  <c r="B125" i="232"/>
  <c r="A124" i="231"/>
  <c r="B125" i="231"/>
  <c r="A124" i="230"/>
  <c r="B125" i="230"/>
  <c r="A124" i="229"/>
  <c r="B125" i="229"/>
  <c r="A124" i="227"/>
  <c r="B125" i="227"/>
  <c r="A124" i="187"/>
  <c r="B125" i="187"/>
  <c r="A90" i="238"/>
  <c r="B91" i="238"/>
  <c r="A90" i="237"/>
  <c r="B91" i="237"/>
  <c r="B91" i="236"/>
  <c r="A90" i="236"/>
  <c r="B91" i="235"/>
  <c r="A90" i="235"/>
  <c r="A90" i="234"/>
  <c r="B91" i="234"/>
  <c r="A90" i="233"/>
  <c r="B91" i="233"/>
  <c r="A89" i="232"/>
  <c r="B90" i="232"/>
  <c r="A90" i="231"/>
  <c r="B91" i="231"/>
  <c r="A90" i="230"/>
  <c r="B91" i="230"/>
  <c r="A90" i="229"/>
  <c r="B91" i="229"/>
  <c r="A90" i="227"/>
  <c r="B91" i="227"/>
  <c r="A90" i="187"/>
  <c r="B91" i="187"/>
  <c r="A56" i="238"/>
  <c r="B57" i="238"/>
  <c r="A56" i="237"/>
  <c r="B57" i="237"/>
  <c r="A56" i="236"/>
  <c r="B57" i="236"/>
  <c r="A55" i="235"/>
  <c r="B56" i="235"/>
  <c r="A56" i="234"/>
  <c r="B57" i="234"/>
  <c r="B57" i="233"/>
  <c r="A56" i="233"/>
  <c r="A56" i="232"/>
  <c r="B57" i="232"/>
  <c r="A56" i="231"/>
  <c r="B57" i="231"/>
  <c r="B57" i="230"/>
  <c r="A56" i="230"/>
  <c r="A56" i="229"/>
  <c r="B57" i="229"/>
  <c r="A56" i="227"/>
  <c r="B57" i="227"/>
  <c r="B57" i="187"/>
  <c r="A56" i="187"/>
  <c r="A21" i="238"/>
  <c r="B22" i="238"/>
  <c r="A21" i="237"/>
  <c r="B22" i="237"/>
  <c r="A21" i="236"/>
  <c r="B22" i="236"/>
  <c r="A21" i="235"/>
  <c r="B22" i="235"/>
  <c r="A21" i="234"/>
  <c r="B22" i="234"/>
  <c r="A21" i="233"/>
  <c r="B22" i="233"/>
  <c r="A21" i="232"/>
  <c r="B22" i="232"/>
  <c r="A21" i="231"/>
  <c r="B22" i="231"/>
  <c r="A21" i="230"/>
  <c r="B22" i="230"/>
  <c r="A23" i="229"/>
  <c r="B24" i="229"/>
  <c r="A20" i="227"/>
  <c r="B21" i="227"/>
  <c r="B12" i="13"/>
  <c r="A11" i="13"/>
  <c r="B12" i="187"/>
  <c r="A11" i="187"/>
  <c r="A262" i="241" l="1"/>
  <c r="B263" i="241"/>
  <c r="B227" i="241"/>
  <c r="A226" i="241"/>
  <c r="A194" i="241"/>
  <c r="B195" i="241"/>
  <c r="B159" i="241"/>
  <c r="A158" i="241"/>
  <c r="A126" i="241"/>
  <c r="B127" i="241"/>
  <c r="A92" i="241"/>
  <c r="B93" i="241"/>
  <c r="A58" i="241"/>
  <c r="B59" i="241"/>
  <c r="A23" i="241"/>
  <c r="B24" i="241"/>
  <c r="A261" i="238"/>
  <c r="B262" i="238"/>
  <c r="A261" i="237"/>
  <c r="B262" i="237"/>
  <c r="A261" i="236"/>
  <c r="B262" i="236"/>
  <c r="A261" i="235"/>
  <c r="B262" i="235"/>
  <c r="A261" i="234"/>
  <c r="B262" i="234"/>
  <c r="A261" i="233"/>
  <c r="B262" i="233"/>
  <c r="A261" i="232"/>
  <c r="B262" i="232"/>
  <c r="A261" i="231"/>
  <c r="B262" i="231"/>
  <c r="A261" i="230"/>
  <c r="B262" i="230"/>
  <c r="A261" i="229"/>
  <c r="B262" i="229"/>
  <c r="A261" i="227"/>
  <c r="B262" i="227"/>
  <c r="A261" i="187"/>
  <c r="B262" i="187"/>
  <c r="B228" i="238"/>
  <c r="A227" i="238"/>
  <c r="A227" i="237"/>
  <c r="B228" i="237"/>
  <c r="A227" i="236"/>
  <c r="B228" i="236"/>
  <c r="A227" i="235"/>
  <c r="B228" i="235"/>
  <c r="A227" i="234"/>
  <c r="B228" i="234"/>
  <c r="A227" i="233"/>
  <c r="B228" i="233"/>
  <c r="A227" i="232"/>
  <c r="B228" i="232"/>
  <c r="A227" i="231"/>
  <c r="B228" i="231"/>
  <c r="A227" i="230"/>
  <c r="B228" i="230"/>
  <c r="A227" i="229"/>
  <c r="B228" i="229"/>
  <c r="A227" i="227"/>
  <c r="B228" i="227"/>
  <c r="A227" i="187"/>
  <c r="B228" i="187"/>
  <c r="A193" i="238"/>
  <c r="B194" i="238"/>
  <c r="A193" i="237"/>
  <c r="B194" i="237"/>
  <c r="A193" i="236"/>
  <c r="B194" i="236"/>
  <c r="A193" i="235"/>
  <c r="B194" i="235"/>
  <c r="A193" i="234"/>
  <c r="B194" i="234"/>
  <c r="A193" i="233"/>
  <c r="B194" i="233"/>
  <c r="A193" i="232"/>
  <c r="B194" i="232"/>
  <c r="A193" i="231"/>
  <c r="B194" i="231"/>
  <c r="A193" i="230"/>
  <c r="B194" i="230"/>
  <c r="A193" i="229"/>
  <c r="B194" i="229"/>
  <c r="A193" i="227"/>
  <c r="B194" i="227"/>
  <c r="A193" i="187"/>
  <c r="B194" i="187"/>
  <c r="A159" i="238"/>
  <c r="B160" i="238"/>
  <c r="A159" i="237"/>
  <c r="B160" i="237"/>
  <c r="A159" i="236"/>
  <c r="B160" i="236"/>
  <c r="A159" i="235"/>
  <c r="B160" i="235"/>
  <c r="A159" i="234"/>
  <c r="B160" i="234"/>
  <c r="A159" i="233"/>
  <c r="B160" i="233"/>
  <c r="A159" i="232"/>
  <c r="B160" i="232"/>
  <c r="A159" i="231"/>
  <c r="B160" i="231"/>
  <c r="A159" i="230"/>
  <c r="B160" i="230"/>
  <c r="A159" i="229"/>
  <c r="B160" i="229"/>
  <c r="A159" i="227"/>
  <c r="B160" i="227"/>
  <c r="A159" i="187"/>
  <c r="B160" i="187"/>
  <c r="A125" i="238"/>
  <c r="B126" i="238"/>
  <c r="A125" i="237"/>
  <c r="B126" i="237"/>
  <c r="A125" i="236"/>
  <c r="B126" i="236"/>
  <c r="A125" i="235"/>
  <c r="B126" i="235"/>
  <c r="A125" i="234"/>
  <c r="B126" i="234"/>
  <c r="A125" i="233"/>
  <c r="B126" i="233"/>
  <c r="A125" i="232"/>
  <c r="B126" i="232"/>
  <c r="A125" i="231"/>
  <c r="B126" i="231"/>
  <c r="A125" i="230"/>
  <c r="B126" i="230"/>
  <c r="A125" i="229"/>
  <c r="B126" i="229"/>
  <c r="A125" i="227"/>
  <c r="B126" i="227"/>
  <c r="A125" i="187"/>
  <c r="B126" i="187"/>
  <c r="A91" i="238"/>
  <c r="B92" i="238"/>
  <c r="A91" i="237"/>
  <c r="B92" i="237"/>
  <c r="A91" i="236"/>
  <c r="B92" i="236"/>
  <c r="A91" i="235"/>
  <c r="B92" i="235"/>
  <c r="A91" i="234"/>
  <c r="B92" i="234"/>
  <c r="A91" i="233"/>
  <c r="B92" i="233"/>
  <c r="A90" i="232"/>
  <c r="B91" i="232"/>
  <c r="A91" i="231"/>
  <c r="B92" i="231"/>
  <c r="A91" i="230"/>
  <c r="B92" i="230"/>
  <c r="A91" i="229"/>
  <c r="B92" i="229"/>
  <c r="A91" i="227"/>
  <c r="B92" i="227"/>
  <c r="A91" i="187"/>
  <c r="B92" i="187"/>
  <c r="A57" i="238"/>
  <c r="B58" i="238"/>
  <c r="A57" i="237"/>
  <c r="B58" i="237"/>
  <c r="A57" i="236"/>
  <c r="B58" i="236"/>
  <c r="B57" i="235"/>
  <c r="A56" i="235"/>
  <c r="A57" i="234"/>
  <c r="B58" i="234"/>
  <c r="A57" i="233"/>
  <c r="B58" i="233"/>
  <c r="A57" i="232"/>
  <c r="B58" i="232"/>
  <c r="A57" i="231"/>
  <c r="B58" i="231"/>
  <c r="A57" i="230"/>
  <c r="B58" i="230"/>
  <c r="A57" i="229"/>
  <c r="B58" i="229"/>
  <c r="A57" i="227"/>
  <c r="B58" i="227"/>
  <c r="A57" i="187"/>
  <c r="B58" i="187"/>
  <c r="A22" i="238"/>
  <c r="B23" i="238"/>
  <c r="A22" i="237"/>
  <c r="B23" i="237"/>
  <c r="A22" i="236"/>
  <c r="B23" i="236"/>
  <c r="A22" i="235"/>
  <c r="B23" i="235"/>
  <c r="A22" i="234"/>
  <c r="B23" i="234"/>
  <c r="A22" i="233"/>
  <c r="B23" i="233"/>
  <c r="A22" i="232"/>
  <c r="B23" i="232"/>
  <c r="A22" i="231"/>
  <c r="B23" i="231"/>
  <c r="A22" i="230"/>
  <c r="B23" i="230"/>
  <c r="A24" i="229"/>
  <c r="B25" i="229"/>
  <c r="A21" i="227"/>
  <c r="B22" i="227"/>
  <c r="A12" i="13"/>
  <c r="B13" i="13"/>
  <c r="A12" i="187"/>
  <c r="B13" i="187"/>
  <c r="A263" i="241" l="1"/>
  <c r="B264" i="241"/>
  <c r="B228" i="241"/>
  <c r="A227" i="241"/>
  <c r="A195" i="241"/>
  <c r="B196" i="241"/>
  <c r="B160" i="241"/>
  <c r="A159" i="241"/>
  <c r="A127" i="241"/>
  <c r="B128" i="241"/>
  <c r="A93" i="241"/>
  <c r="B94" i="241"/>
  <c r="A59" i="241"/>
  <c r="B60" i="241"/>
  <c r="A24" i="241"/>
  <c r="B25" i="241"/>
  <c r="B263" i="238"/>
  <c r="A262" i="238"/>
  <c r="A262" i="237"/>
  <c r="B263" i="237"/>
  <c r="A262" i="236"/>
  <c r="B263" i="236"/>
  <c r="B263" i="235"/>
  <c r="A262" i="235"/>
  <c r="B263" i="234"/>
  <c r="A262" i="234"/>
  <c r="A262" i="233"/>
  <c r="B263" i="233"/>
  <c r="B263" i="232"/>
  <c r="A262" i="232"/>
  <c r="B263" i="231"/>
  <c r="A262" i="231"/>
  <c r="B263" i="230"/>
  <c r="A262" i="230"/>
  <c r="B263" i="229"/>
  <c r="A262" i="229"/>
  <c r="B263" i="227"/>
  <c r="A262" i="227"/>
  <c r="B263" i="187"/>
  <c r="A262" i="187"/>
  <c r="B229" i="238"/>
  <c r="A228" i="238"/>
  <c r="B229" i="237"/>
  <c r="A228" i="237"/>
  <c r="A228" i="236"/>
  <c r="B229" i="236"/>
  <c r="A228" i="235"/>
  <c r="B229" i="235"/>
  <c r="B229" i="234"/>
  <c r="A228" i="234"/>
  <c r="A228" i="233"/>
  <c r="B229" i="233"/>
  <c r="A228" i="232"/>
  <c r="B229" i="232"/>
  <c r="A228" i="231"/>
  <c r="B229" i="231"/>
  <c r="A228" i="230"/>
  <c r="B229" i="230"/>
  <c r="B229" i="229"/>
  <c r="A228" i="229"/>
  <c r="A228" i="227"/>
  <c r="B229" i="227"/>
  <c r="A228" i="187"/>
  <c r="B229" i="187"/>
  <c r="A194" i="238"/>
  <c r="B195" i="238"/>
  <c r="B195" i="237"/>
  <c r="A194" i="237"/>
  <c r="A194" i="236"/>
  <c r="B195" i="236"/>
  <c r="A194" i="235"/>
  <c r="B195" i="235"/>
  <c r="B195" i="234"/>
  <c r="A194" i="234"/>
  <c r="A194" i="233"/>
  <c r="B195" i="233"/>
  <c r="A194" i="232"/>
  <c r="B195" i="232"/>
  <c r="A194" i="231"/>
  <c r="B195" i="231"/>
  <c r="A194" i="230"/>
  <c r="B195" i="230"/>
  <c r="A194" i="229"/>
  <c r="B195" i="229"/>
  <c r="A194" i="227"/>
  <c r="B195" i="227"/>
  <c r="A194" i="187"/>
  <c r="B195" i="187"/>
  <c r="A160" i="238"/>
  <c r="B161" i="238"/>
  <c r="A160" i="237"/>
  <c r="B161" i="237"/>
  <c r="A160" i="236"/>
  <c r="B161" i="236"/>
  <c r="A160" i="235"/>
  <c r="B161" i="235"/>
  <c r="A160" i="234"/>
  <c r="B161" i="234"/>
  <c r="B161" i="233"/>
  <c r="A160" i="233"/>
  <c r="A160" i="232"/>
  <c r="B161" i="232"/>
  <c r="A160" i="231"/>
  <c r="B161" i="231"/>
  <c r="B161" i="230"/>
  <c r="A160" i="230"/>
  <c r="A160" i="229"/>
  <c r="B161" i="229"/>
  <c r="A160" i="227"/>
  <c r="B161" i="227"/>
  <c r="A160" i="187"/>
  <c r="B161" i="187"/>
  <c r="A126" i="238"/>
  <c r="B127" i="238"/>
  <c r="A126" i="237"/>
  <c r="B127" i="237"/>
  <c r="A126" i="236"/>
  <c r="B127" i="236"/>
  <c r="A126" i="235"/>
  <c r="B127" i="235"/>
  <c r="B127" i="234"/>
  <c r="A126" i="234"/>
  <c r="A126" i="233"/>
  <c r="B127" i="233"/>
  <c r="A126" i="232"/>
  <c r="B127" i="232"/>
  <c r="B127" i="231"/>
  <c r="A126" i="231"/>
  <c r="A126" i="230"/>
  <c r="B127" i="230"/>
  <c r="A126" i="229"/>
  <c r="B127" i="229"/>
  <c r="A126" i="227"/>
  <c r="B127" i="227"/>
  <c r="A126" i="187"/>
  <c r="B127" i="187"/>
  <c r="A92" i="238"/>
  <c r="B93" i="238"/>
  <c r="B93" i="237"/>
  <c r="A92" i="237"/>
  <c r="B93" i="236"/>
  <c r="A92" i="236"/>
  <c r="A92" i="235"/>
  <c r="B93" i="235"/>
  <c r="A92" i="234"/>
  <c r="B93" i="234"/>
  <c r="A92" i="233"/>
  <c r="B93" i="233"/>
  <c r="A91" i="232"/>
  <c r="B92" i="232"/>
  <c r="A92" i="231"/>
  <c r="B93" i="231"/>
  <c r="A92" i="230"/>
  <c r="B93" i="230"/>
  <c r="A92" i="229"/>
  <c r="B93" i="229"/>
  <c r="A92" i="227"/>
  <c r="B93" i="227"/>
  <c r="A92" i="187"/>
  <c r="B93" i="187"/>
  <c r="A58" i="238"/>
  <c r="B59" i="238"/>
  <c r="B59" i="237"/>
  <c r="A58" i="237"/>
  <c r="A58" i="236"/>
  <c r="B59" i="236"/>
  <c r="A57" i="235"/>
  <c r="B58" i="235"/>
  <c r="A58" i="234"/>
  <c r="B59" i="234"/>
  <c r="A58" i="233"/>
  <c r="B59" i="233"/>
  <c r="A58" i="232"/>
  <c r="B59" i="232"/>
  <c r="A58" i="231"/>
  <c r="B59" i="231"/>
  <c r="A58" i="230"/>
  <c r="B59" i="230"/>
  <c r="B59" i="229"/>
  <c r="A58" i="229"/>
  <c r="B59" i="227"/>
  <c r="A58" i="227"/>
  <c r="B59" i="187"/>
  <c r="A58" i="187"/>
  <c r="A23" i="238"/>
  <c r="B24" i="238"/>
  <c r="A23" i="237"/>
  <c r="B24" i="237"/>
  <c r="A23" i="236"/>
  <c r="B24" i="236"/>
  <c r="A23" i="235"/>
  <c r="B24" i="235"/>
  <c r="A23" i="234"/>
  <c r="B24" i="234"/>
  <c r="A23" i="233"/>
  <c r="B24" i="233"/>
  <c r="A23" i="232"/>
  <c r="B24" i="232"/>
  <c r="A23" i="231"/>
  <c r="B24" i="231"/>
  <c r="A23" i="230"/>
  <c r="B24" i="230"/>
  <c r="B26" i="229"/>
  <c r="A25" i="229"/>
  <c r="A22" i="227"/>
  <c r="B23" i="227"/>
  <c r="B14" i="13"/>
  <c r="A13" i="13"/>
  <c r="A13" i="187"/>
  <c r="B14" i="187"/>
  <c r="A264" i="241" l="1"/>
  <c r="B265" i="241"/>
  <c r="A228" i="241"/>
  <c r="B229" i="241"/>
  <c r="A196" i="241"/>
  <c r="B197" i="241"/>
  <c r="B161" i="241"/>
  <c r="A160" i="241"/>
  <c r="A128" i="241"/>
  <c r="B129" i="241"/>
  <c r="A94" i="241"/>
  <c r="B95" i="241"/>
  <c r="A60" i="241"/>
  <c r="B61" i="241"/>
  <c r="A25" i="241"/>
  <c r="B26" i="241"/>
  <c r="A263" i="238"/>
  <c r="B264" i="238"/>
  <c r="A263" i="237"/>
  <c r="B264" i="237"/>
  <c r="A263" i="236"/>
  <c r="B264" i="236"/>
  <c r="A263" i="235"/>
  <c r="B264" i="235"/>
  <c r="A263" i="234"/>
  <c r="B264" i="234"/>
  <c r="A263" i="233"/>
  <c r="B264" i="233"/>
  <c r="A263" i="232"/>
  <c r="B264" i="232"/>
  <c r="A263" i="231"/>
  <c r="B264" i="231"/>
  <c r="A263" i="230"/>
  <c r="B264" i="230"/>
  <c r="A263" i="229"/>
  <c r="B264" i="229"/>
  <c r="A263" i="227"/>
  <c r="B264" i="227"/>
  <c r="A263" i="187"/>
  <c r="B264" i="187"/>
  <c r="A229" i="238"/>
  <c r="B230" i="238"/>
  <c r="A229" i="237"/>
  <c r="B230" i="237"/>
  <c r="A229" i="236"/>
  <c r="B230" i="236"/>
  <c r="A229" i="235"/>
  <c r="B230" i="235"/>
  <c r="A229" i="234"/>
  <c r="B230" i="234"/>
  <c r="A229" i="233"/>
  <c r="B230" i="233"/>
  <c r="A229" i="232"/>
  <c r="B230" i="232"/>
  <c r="A229" i="231"/>
  <c r="B230" i="231"/>
  <c r="A229" i="230"/>
  <c r="B230" i="230"/>
  <c r="A229" i="229"/>
  <c r="B230" i="229"/>
  <c r="A229" i="227"/>
  <c r="B230" i="227"/>
  <c r="A229" i="187"/>
  <c r="B230" i="187"/>
  <c r="A195" i="238"/>
  <c r="B196" i="238"/>
  <c r="A195" i="237"/>
  <c r="B196" i="237"/>
  <c r="A195" i="236"/>
  <c r="B196" i="236"/>
  <c r="A195" i="235"/>
  <c r="B196" i="235"/>
  <c r="A195" i="234"/>
  <c r="B196" i="234"/>
  <c r="A195" i="233"/>
  <c r="B196" i="233"/>
  <c r="A195" i="232"/>
  <c r="B196" i="232"/>
  <c r="A195" i="231"/>
  <c r="B196" i="231"/>
  <c r="A195" i="230"/>
  <c r="B196" i="230"/>
  <c r="A195" i="229"/>
  <c r="B196" i="229"/>
  <c r="A195" i="227"/>
  <c r="B196" i="227"/>
  <c r="A195" i="187"/>
  <c r="B196" i="187"/>
  <c r="A161" i="238"/>
  <c r="B162" i="238"/>
  <c r="A161" i="237"/>
  <c r="B162" i="237"/>
  <c r="A161" i="236"/>
  <c r="B162" i="236"/>
  <c r="A161" i="235"/>
  <c r="B162" i="235"/>
  <c r="A161" i="234"/>
  <c r="B162" i="234"/>
  <c r="A161" i="233"/>
  <c r="B162" i="233"/>
  <c r="A161" i="232"/>
  <c r="B162" i="232"/>
  <c r="A161" i="231"/>
  <c r="B162" i="231"/>
  <c r="A161" i="230"/>
  <c r="B162" i="230"/>
  <c r="A161" i="229"/>
  <c r="B162" i="229"/>
  <c r="A161" i="227"/>
  <c r="B162" i="227"/>
  <c r="A161" i="187"/>
  <c r="B162" i="187"/>
  <c r="A127" i="238"/>
  <c r="B128" i="238"/>
  <c r="A127" i="237"/>
  <c r="B128" i="237"/>
  <c r="A127" i="236"/>
  <c r="B128" i="236"/>
  <c r="A127" i="235"/>
  <c r="B128" i="235"/>
  <c r="A127" i="234"/>
  <c r="B128" i="234"/>
  <c r="A127" i="233"/>
  <c r="B128" i="233"/>
  <c r="A127" i="232"/>
  <c r="B128" i="232"/>
  <c r="A127" i="231"/>
  <c r="B128" i="231"/>
  <c r="A127" i="230"/>
  <c r="B128" i="230"/>
  <c r="A127" i="229"/>
  <c r="B128" i="229"/>
  <c r="A127" i="227"/>
  <c r="B128" i="227"/>
  <c r="A127" i="187"/>
  <c r="B128" i="187"/>
  <c r="A93" i="238"/>
  <c r="B94" i="238"/>
  <c r="A93" i="237"/>
  <c r="B94" i="237"/>
  <c r="A93" i="236"/>
  <c r="B94" i="236"/>
  <c r="A93" i="235"/>
  <c r="B94" i="235"/>
  <c r="A93" i="234"/>
  <c r="B94" i="234"/>
  <c r="A93" i="233"/>
  <c r="B94" i="233"/>
  <c r="A92" i="232"/>
  <c r="B93" i="232"/>
  <c r="A93" i="231"/>
  <c r="B94" i="231"/>
  <c r="A93" i="230"/>
  <c r="B94" i="230"/>
  <c r="A93" i="229"/>
  <c r="B94" i="229"/>
  <c r="A93" i="227"/>
  <c r="B94" i="227"/>
  <c r="A93" i="187"/>
  <c r="B94" i="187"/>
  <c r="A59" i="238"/>
  <c r="B60" i="238"/>
  <c r="A59" i="237"/>
  <c r="B60" i="237"/>
  <c r="A59" i="236"/>
  <c r="B60" i="236"/>
  <c r="A58" i="235"/>
  <c r="B59" i="235"/>
  <c r="A59" i="234"/>
  <c r="B60" i="234"/>
  <c r="A59" i="233"/>
  <c r="B60" i="233"/>
  <c r="A59" i="232"/>
  <c r="B60" i="232"/>
  <c r="A59" i="231"/>
  <c r="B60" i="231"/>
  <c r="A59" i="230"/>
  <c r="B60" i="230"/>
  <c r="A59" i="229"/>
  <c r="B60" i="229"/>
  <c r="A59" i="227"/>
  <c r="B60" i="227"/>
  <c r="A59" i="187"/>
  <c r="B60" i="187"/>
  <c r="A24" i="238"/>
  <c r="B25" i="238"/>
  <c r="A24" i="237"/>
  <c r="B25" i="237"/>
  <c r="A24" i="236"/>
  <c r="B25" i="236"/>
  <c r="A24" i="235"/>
  <c r="B25" i="235"/>
  <c r="A24" i="234"/>
  <c r="B25" i="234"/>
  <c r="A24" i="233"/>
  <c r="B25" i="233"/>
  <c r="A24" i="232"/>
  <c r="B25" i="232"/>
  <c r="A24" i="231"/>
  <c r="B25" i="231"/>
  <c r="A24" i="230"/>
  <c r="B25" i="230"/>
  <c r="A26" i="229"/>
  <c r="B27" i="229"/>
  <c r="A23" i="227"/>
  <c r="B24" i="227"/>
  <c r="B15" i="13"/>
  <c r="A14" i="13"/>
  <c r="B15" i="187"/>
  <c r="A14" i="187"/>
  <c r="A265" i="241" l="1"/>
  <c r="B266" i="241"/>
  <c r="B230" i="241"/>
  <c r="A229" i="241"/>
  <c r="A197" i="241"/>
  <c r="B198" i="241"/>
  <c r="B162" i="241"/>
  <c r="A161" i="241"/>
  <c r="A129" i="241"/>
  <c r="B130" i="241"/>
  <c r="A95" i="241"/>
  <c r="B96" i="241"/>
  <c r="B62" i="241"/>
  <c r="A61" i="241"/>
  <c r="A26" i="241"/>
  <c r="B27" i="241"/>
  <c r="B265" i="238"/>
  <c r="A264" i="238"/>
  <c r="A264" i="237"/>
  <c r="B265" i="237"/>
  <c r="B265" i="236"/>
  <c r="A264" i="236"/>
  <c r="B265" i="235"/>
  <c r="A264" i="235"/>
  <c r="A264" i="234"/>
  <c r="B265" i="234"/>
  <c r="A264" i="233"/>
  <c r="B265" i="233"/>
  <c r="A264" i="232"/>
  <c r="B265" i="232"/>
  <c r="B265" i="231"/>
  <c r="A264" i="231"/>
  <c r="A264" i="230"/>
  <c r="B265" i="230"/>
  <c r="A264" i="229"/>
  <c r="B265" i="229"/>
  <c r="B265" i="227"/>
  <c r="A264" i="227"/>
  <c r="A264" i="187"/>
  <c r="B265" i="187"/>
  <c r="B231" i="238"/>
  <c r="A230" i="238"/>
  <c r="B231" i="237"/>
  <c r="A230" i="237"/>
  <c r="A230" i="236"/>
  <c r="B231" i="236"/>
  <c r="A230" i="235"/>
  <c r="B231" i="235"/>
  <c r="A230" i="234"/>
  <c r="B231" i="234"/>
  <c r="B231" i="233"/>
  <c r="A230" i="233"/>
  <c r="B231" i="232"/>
  <c r="A230" i="232"/>
  <c r="A230" i="231"/>
  <c r="B231" i="231"/>
  <c r="B231" i="230"/>
  <c r="A230" i="230"/>
  <c r="B231" i="229"/>
  <c r="A230" i="229"/>
  <c r="A230" i="227"/>
  <c r="B231" i="227"/>
  <c r="A230" i="187"/>
  <c r="B231" i="187"/>
  <c r="A196" i="238"/>
  <c r="B197" i="238"/>
  <c r="A196" i="237"/>
  <c r="B197" i="237"/>
  <c r="B197" i="236"/>
  <c r="A196" i="236"/>
  <c r="A196" i="235"/>
  <c r="B197" i="235"/>
  <c r="A196" i="234"/>
  <c r="B197" i="234"/>
  <c r="A196" i="233"/>
  <c r="B197" i="233"/>
  <c r="A196" i="232"/>
  <c r="B197" i="232"/>
  <c r="A196" i="231"/>
  <c r="B197" i="231"/>
  <c r="A196" i="230"/>
  <c r="B197" i="230"/>
  <c r="A196" i="229"/>
  <c r="B197" i="229"/>
  <c r="A196" i="227"/>
  <c r="B197" i="227"/>
  <c r="A196" i="187"/>
  <c r="B197" i="187"/>
  <c r="A162" i="238"/>
  <c r="B163" i="238"/>
  <c r="A162" i="237"/>
  <c r="B163" i="237"/>
  <c r="A162" i="236"/>
  <c r="B163" i="236"/>
  <c r="A162" i="235"/>
  <c r="B163" i="235"/>
  <c r="A162" i="234"/>
  <c r="B163" i="234"/>
  <c r="B163" i="233"/>
  <c r="A162" i="233"/>
  <c r="A162" i="232"/>
  <c r="B163" i="232"/>
  <c r="A162" i="231"/>
  <c r="B163" i="231"/>
  <c r="B163" i="230"/>
  <c r="A162" i="230"/>
  <c r="A162" i="229"/>
  <c r="B163" i="229"/>
  <c r="B163" i="227"/>
  <c r="A162" i="227"/>
  <c r="A162" i="187"/>
  <c r="B163" i="187"/>
  <c r="A128" i="238"/>
  <c r="B129" i="238"/>
  <c r="B129" i="237"/>
  <c r="A128" i="237"/>
  <c r="A128" i="236"/>
  <c r="B129" i="236"/>
  <c r="A128" i="235"/>
  <c r="B129" i="235"/>
  <c r="B129" i="234"/>
  <c r="A128" i="234"/>
  <c r="A128" i="233"/>
  <c r="B129" i="233"/>
  <c r="A128" i="232"/>
  <c r="B129" i="232"/>
  <c r="B129" i="231"/>
  <c r="A128" i="231"/>
  <c r="A128" i="230"/>
  <c r="B129" i="230"/>
  <c r="A128" i="229"/>
  <c r="B129" i="229"/>
  <c r="A128" i="227"/>
  <c r="B129" i="227"/>
  <c r="A128" i="187"/>
  <c r="B129" i="187"/>
  <c r="A94" i="238"/>
  <c r="B95" i="238"/>
  <c r="B95" i="237"/>
  <c r="A94" i="237"/>
  <c r="A94" i="236"/>
  <c r="B95" i="236"/>
  <c r="B95" i="235"/>
  <c r="A94" i="235"/>
  <c r="B95" i="234"/>
  <c r="A94" i="234"/>
  <c r="A94" i="233"/>
  <c r="B95" i="233"/>
  <c r="A93" i="232"/>
  <c r="B94" i="232"/>
  <c r="A94" i="231"/>
  <c r="B95" i="231"/>
  <c r="A94" i="230"/>
  <c r="B95" i="230"/>
  <c r="A94" i="229"/>
  <c r="B95" i="229"/>
  <c r="A94" i="227"/>
  <c r="B95" i="227"/>
  <c r="A94" i="187"/>
  <c r="B95" i="187"/>
  <c r="A60" i="238"/>
  <c r="B61" i="238"/>
  <c r="B61" i="237"/>
  <c r="A60" i="237"/>
  <c r="A60" i="236"/>
  <c r="B61" i="236"/>
  <c r="A59" i="235"/>
  <c r="B60" i="235"/>
  <c r="A60" i="234"/>
  <c r="B61" i="234"/>
  <c r="B61" i="233"/>
  <c r="A60" i="233"/>
  <c r="A60" i="232"/>
  <c r="B61" i="232"/>
  <c r="B61" i="231"/>
  <c r="A60" i="231"/>
  <c r="A60" i="230"/>
  <c r="B61" i="230"/>
  <c r="B61" i="229"/>
  <c r="A60" i="229"/>
  <c r="B61" i="227"/>
  <c r="A60" i="227"/>
  <c r="B61" i="187"/>
  <c r="A60" i="187"/>
  <c r="A25" i="238"/>
  <c r="B26" i="238"/>
  <c r="A25" i="237"/>
  <c r="B26" i="237"/>
  <c r="A25" i="236"/>
  <c r="B26" i="236"/>
  <c r="A25" i="235"/>
  <c r="B26" i="235"/>
  <c r="A25" i="234"/>
  <c r="B26" i="234"/>
  <c r="A25" i="233"/>
  <c r="B26" i="233"/>
  <c r="A25" i="232"/>
  <c r="B26" i="232"/>
  <c r="A25" i="231"/>
  <c r="B26" i="231"/>
  <c r="A25" i="230"/>
  <c r="B26" i="230"/>
  <c r="A27" i="229"/>
  <c r="B28" i="229"/>
  <c r="A24" i="227"/>
  <c r="B25" i="227"/>
  <c r="A15" i="13"/>
  <c r="B16" i="13"/>
  <c r="A15" i="187"/>
  <c r="B16" i="187"/>
  <c r="A266" i="241" l="1"/>
  <c r="B267" i="241"/>
  <c r="B231" i="241"/>
  <c r="A230" i="241"/>
  <c r="A198" i="241"/>
  <c r="B199" i="241"/>
  <c r="B163" i="241"/>
  <c r="A162" i="241"/>
  <c r="A130" i="241"/>
  <c r="B131" i="241"/>
  <c r="B97" i="241"/>
  <c r="A96" i="241"/>
  <c r="A62" i="241"/>
  <c r="B63" i="241"/>
  <c r="A27" i="241"/>
  <c r="B28" i="241"/>
  <c r="A265" i="238"/>
  <c r="B266" i="238"/>
  <c r="A265" i="237"/>
  <c r="B266" i="237"/>
  <c r="A265" i="236"/>
  <c r="B266" i="236"/>
  <c r="A265" i="235"/>
  <c r="B266" i="235"/>
  <c r="A265" i="234"/>
  <c r="B266" i="234"/>
  <c r="A265" i="233"/>
  <c r="B266" i="233"/>
  <c r="A265" i="232"/>
  <c r="B266" i="232"/>
  <c r="A265" i="231"/>
  <c r="B266" i="231"/>
  <c r="A265" i="230"/>
  <c r="B266" i="230"/>
  <c r="A265" i="229"/>
  <c r="B266" i="229"/>
  <c r="A265" i="227"/>
  <c r="B266" i="227"/>
  <c r="A265" i="187"/>
  <c r="B266" i="187"/>
  <c r="B232" i="238"/>
  <c r="A231" i="238"/>
  <c r="A231" i="237"/>
  <c r="B232" i="237"/>
  <c r="A231" i="236"/>
  <c r="B232" i="236"/>
  <c r="A231" i="235"/>
  <c r="B232" i="235"/>
  <c r="A231" i="234"/>
  <c r="B232" i="234"/>
  <c r="A231" i="233"/>
  <c r="B232" i="233"/>
  <c r="A231" i="232"/>
  <c r="B232" i="232"/>
  <c r="A231" i="231"/>
  <c r="B232" i="231"/>
  <c r="A231" i="230"/>
  <c r="B232" i="230"/>
  <c r="A231" i="229"/>
  <c r="B232" i="229"/>
  <c r="A231" i="227"/>
  <c r="B232" i="227"/>
  <c r="A231" i="187"/>
  <c r="B232" i="187"/>
  <c r="A197" i="238"/>
  <c r="B198" i="238"/>
  <c r="A197" i="237"/>
  <c r="B198" i="237"/>
  <c r="A197" i="236"/>
  <c r="B198" i="236"/>
  <c r="A197" i="235"/>
  <c r="B198" i="235"/>
  <c r="A197" i="234"/>
  <c r="B198" i="234"/>
  <c r="A197" i="233"/>
  <c r="B198" i="233"/>
  <c r="A197" i="232"/>
  <c r="B198" i="232"/>
  <c r="A197" i="231"/>
  <c r="B198" i="231"/>
  <c r="A197" i="230"/>
  <c r="B198" i="230"/>
  <c r="A197" i="229"/>
  <c r="B198" i="229"/>
  <c r="A197" i="227"/>
  <c r="B198" i="227"/>
  <c r="A197" i="187"/>
  <c r="B198" i="187"/>
  <c r="A163" i="238"/>
  <c r="B164" i="238"/>
  <c r="A163" i="237"/>
  <c r="B164" i="237"/>
  <c r="A163" i="236"/>
  <c r="B164" i="236"/>
  <c r="A163" i="235"/>
  <c r="B164" i="235"/>
  <c r="A163" i="234"/>
  <c r="B164" i="234"/>
  <c r="A163" i="233"/>
  <c r="B164" i="233"/>
  <c r="A163" i="232"/>
  <c r="B164" i="232"/>
  <c r="A163" i="231"/>
  <c r="B164" i="231"/>
  <c r="A163" i="230"/>
  <c r="B164" i="230"/>
  <c r="A163" i="229"/>
  <c r="B164" i="229"/>
  <c r="A163" i="227"/>
  <c r="B164" i="227"/>
  <c r="A163" i="187"/>
  <c r="B164" i="187"/>
  <c r="A129" i="238"/>
  <c r="B130" i="238"/>
  <c r="A129" i="237"/>
  <c r="B130" i="237"/>
  <c r="A129" i="236"/>
  <c r="B130" i="236"/>
  <c r="A129" i="235"/>
  <c r="B130" i="235"/>
  <c r="A129" i="234"/>
  <c r="B130" i="234"/>
  <c r="A129" i="233"/>
  <c r="B130" i="233"/>
  <c r="A129" i="232"/>
  <c r="B130" i="232"/>
  <c r="A129" i="231"/>
  <c r="B130" i="231"/>
  <c r="A129" i="230"/>
  <c r="B130" i="230"/>
  <c r="A129" i="229"/>
  <c r="B130" i="229"/>
  <c r="A129" i="227"/>
  <c r="B130" i="227"/>
  <c r="A129" i="187"/>
  <c r="B130" i="187"/>
  <c r="A95" i="238"/>
  <c r="B96" i="238"/>
  <c r="A95" i="237"/>
  <c r="B96" i="237"/>
  <c r="A95" i="236"/>
  <c r="B96" i="236"/>
  <c r="A95" i="235"/>
  <c r="B96" i="235"/>
  <c r="A95" i="234"/>
  <c r="B96" i="234"/>
  <c r="A95" i="233"/>
  <c r="B96" i="233"/>
  <c r="A94" i="232"/>
  <c r="B95" i="232"/>
  <c r="A95" i="231"/>
  <c r="B96" i="231"/>
  <c r="A95" i="230"/>
  <c r="B96" i="230"/>
  <c r="A95" i="229"/>
  <c r="B96" i="229"/>
  <c r="A95" i="227"/>
  <c r="B96" i="227"/>
  <c r="A95" i="187"/>
  <c r="B96" i="187"/>
  <c r="A61" i="238"/>
  <c r="B62" i="238"/>
  <c r="A61" i="237"/>
  <c r="B62" i="237"/>
  <c r="A61" i="236"/>
  <c r="B62" i="236"/>
  <c r="B61" i="235"/>
  <c r="A60" i="235"/>
  <c r="A61" i="234"/>
  <c r="B62" i="234"/>
  <c r="A61" i="233"/>
  <c r="B62" i="233"/>
  <c r="A61" i="232"/>
  <c r="B62" i="232"/>
  <c r="A61" i="231"/>
  <c r="B62" i="231"/>
  <c r="A61" i="230"/>
  <c r="B62" i="230"/>
  <c r="A61" i="229"/>
  <c r="B62" i="229"/>
  <c r="A61" i="227"/>
  <c r="B62" i="227"/>
  <c r="A61" i="187"/>
  <c r="B62" i="187"/>
  <c r="A26" i="238"/>
  <c r="B27" i="238"/>
  <c r="A26" i="237"/>
  <c r="B27" i="237"/>
  <c r="A26" i="236"/>
  <c r="B27" i="236"/>
  <c r="A26" i="235"/>
  <c r="B27" i="235"/>
  <c r="A26" i="234"/>
  <c r="B27" i="234"/>
  <c r="A26" i="233"/>
  <c r="B27" i="233"/>
  <c r="A26" i="232"/>
  <c r="B27" i="232"/>
  <c r="A26" i="231"/>
  <c r="B27" i="231"/>
  <c r="A26" i="230"/>
  <c r="B27" i="230"/>
  <c r="A28" i="229"/>
  <c r="B29" i="229"/>
  <c r="A25" i="227"/>
  <c r="B26" i="227"/>
  <c r="B17" i="13"/>
  <c r="A16" i="13"/>
  <c r="B17" i="187"/>
  <c r="A16" i="187"/>
  <c r="A267" i="241" l="1"/>
  <c r="B268" i="241"/>
  <c r="A231" i="241"/>
  <c r="B232" i="241"/>
  <c r="B200" i="241"/>
  <c r="A199" i="241"/>
  <c r="B164" i="241"/>
  <c r="A163" i="241"/>
  <c r="A131" i="241"/>
  <c r="B132" i="241"/>
  <c r="B98" i="241"/>
  <c r="A97" i="241"/>
  <c r="A63" i="241"/>
  <c r="B64" i="241"/>
  <c r="A28" i="241"/>
  <c r="B29" i="241"/>
  <c r="B267" i="238"/>
  <c r="A266" i="238"/>
  <c r="A266" i="237"/>
  <c r="B267" i="237"/>
  <c r="B267" i="236"/>
  <c r="A266" i="236"/>
  <c r="A266" i="235"/>
  <c r="B267" i="235"/>
  <c r="B267" i="234"/>
  <c r="A266" i="234"/>
  <c r="A266" i="233"/>
  <c r="B267" i="233"/>
  <c r="B267" i="232"/>
  <c r="A266" i="232"/>
  <c r="A266" i="231"/>
  <c r="B267" i="231"/>
  <c r="B267" i="230"/>
  <c r="A266" i="230"/>
  <c r="A266" i="229"/>
  <c r="B267" i="229"/>
  <c r="A266" i="227"/>
  <c r="B267" i="227"/>
  <c r="A266" i="187"/>
  <c r="B267" i="187"/>
  <c r="A232" i="238"/>
  <c r="B233" i="238"/>
  <c r="A232" i="237"/>
  <c r="B233" i="237"/>
  <c r="A232" i="236"/>
  <c r="B233" i="236"/>
  <c r="A232" i="235"/>
  <c r="B233" i="235"/>
  <c r="B233" i="234"/>
  <c r="A232" i="234"/>
  <c r="A232" i="233"/>
  <c r="B233" i="233"/>
  <c r="A232" i="232"/>
  <c r="B233" i="232"/>
  <c r="B233" i="231"/>
  <c r="A232" i="231"/>
  <c r="A232" i="230"/>
  <c r="B233" i="230"/>
  <c r="B233" i="229"/>
  <c r="A232" i="229"/>
  <c r="A232" i="227"/>
  <c r="B233" i="227"/>
  <c r="A232" i="187"/>
  <c r="B233" i="187"/>
  <c r="A198" i="238"/>
  <c r="B199" i="238"/>
  <c r="B199" i="237"/>
  <c r="A198" i="237"/>
  <c r="B199" i="236"/>
  <c r="A198" i="236"/>
  <c r="A198" i="235"/>
  <c r="B199" i="235"/>
  <c r="A198" i="234"/>
  <c r="B199" i="234"/>
  <c r="A198" i="233"/>
  <c r="B199" i="233"/>
  <c r="A198" i="232"/>
  <c r="B199" i="232"/>
  <c r="A198" i="231"/>
  <c r="B199" i="231"/>
  <c r="A198" i="230"/>
  <c r="B199" i="230"/>
  <c r="A198" i="229"/>
  <c r="B199" i="229"/>
  <c r="B199" i="227"/>
  <c r="A198" i="227"/>
  <c r="B199" i="187"/>
  <c r="A198" i="187"/>
  <c r="A164" i="238"/>
  <c r="B165" i="238"/>
  <c r="A164" i="237"/>
  <c r="B165" i="237"/>
  <c r="A164" i="236"/>
  <c r="B165" i="236"/>
  <c r="A164" i="235"/>
  <c r="B165" i="235"/>
  <c r="A164" i="234"/>
  <c r="B165" i="234"/>
  <c r="B165" i="233"/>
  <c r="A164" i="233"/>
  <c r="A164" i="232"/>
  <c r="B165" i="232"/>
  <c r="A164" i="231"/>
  <c r="B165" i="231"/>
  <c r="A164" i="230"/>
  <c r="B165" i="230"/>
  <c r="A164" i="229"/>
  <c r="B165" i="229"/>
  <c r="A164" i="227"/>
  <c r="B165" i="227"/>
  <c r="A164" i="187"/>
  <c r="B165" i="187"/>
  <c r="A130" i="238"/>
  <c r="B131" i="238"/>
  <c r="A130" i="237"/>
  <c r="B131" i="237"/>
  <c r="A130" i="236"/>
  <c r="B131" i="236"/>
  <c r="A130" i="235"/>
  <c r="B131" i="235"/>
  <c r="B131" i="234"/>
  <c r="A130" i="234"/>
  <c r="A130" i="233"/>
  <c r="B131" i="233"/>
  <c r="A130" i="232"/>
  <c r="B131" i="232"/>
  <c r="A130" i="231"/>
  <c r="B131" i="231"/>
  <c r="A130" i="230"/>
  <c r="B131" i="230"/>
  <c r="A130" i="229"/>
  <c r="B131" i="229"/>
  <c r="A130" i="227"/>
  <c r="B131" i="227"/>
  <c r="A130" i="187"/>
  <c r="B131" i="187"/>
  <c r="A96" i="238"/>
  <c r="B97" i="238"/>
  <c r="B97" i="237"/>
  <c r="A96" i="237"/>
  <c r="B97" i="236"/>
  <c r="A96" i="236"/>
  <c r="A96" i="235"/>
  <c r="B97" i="235"/>
  <c r="A96" i="234"/>
  <c r="B97" i="234"/>
  <c r="A96" i="233"/>
  <c r="B97" i="233"/>
  <c r="A95" i="232"/>
  <c r="B96" i="232"/>
  <c r="A96" i="231"/>
  <c r="B97" i="231"/>
  <c r="B97" i="230"/>
  <c r="A96" i="230"/>
  <c r="B97" i="229"/>
  <c r="A96" i="229"/>
  <c r="A96" i="227"/>
  <c r="B97" i="227"/>
  <c r="A96" i="187"/>
  <c r="B97" i="187"/>
  <c r="A62" i="238"/>
  <c r="B63" i="238"/>
  <c r="A62" i="237"/>
  <c r="B63" i="237"/>
  <c r="A62" i="236"/>
  <c r="B63" i="236"/>
  <c r="A61" i="235"/>
  <c r="B62" i="235"/>
  <c r="A62" i="234"/>
  <c r="B63" i="234"/>
  <c r="A62" i="233"/>
  <c r="B63" i="233"/>
  <c r="A62" i="232"/>
  <c r="B63" i="232"/>
  <c r="B63" i="231"/>
  <c r="A62" i="231"/>
  <c r="A62" i="230"/>
  <c r="B63" i="230"/>
  <c r="B63" i="229"/>
  <c r="A62" i="229"/>
  <c r="B63" i="227"/>
  <c r="A62" i="227"/>
  <c r="B63" i="187"/>
  <c r="A62" i="187"/>
  <c r="A27" i="238"/>
  <c r="B28" i="238"/>
  <c r="A27" i="237"/>
  <c r="B28" i="237"/>
  <c r="A27" i="236"/>
  <c r="B28" i="236"/>
  <c r="A27" i="235"/>
  <c r="B28" i="235"/>
  <c r="A27" i="234"/>
  <c r="B28" i="234"/>
  <c r="A27" i="233"/>
  <c r="B28" i="233"/>
  <c r="A27" i="232"/>
  <c r="B28" i="232"/>
  <c r="A27" i="231"/>
  <c r="B28" i="231"/>
  <c r="A27" i="230"/>
  <c r="B28" i="230"/>
  <c r="B30" i="229"/>
  <c r="A29" i="229"/>
  <c r="A26" i="227"/>
  <c r="B27" i="227"/>
  <c r="A17" i="13"/>
  <c r="B18" i="13"/>
  <c r="A17" i="187"/>
  <c r="B18" i="187"/>
  <c r="A268" i="241" l="1"/>
  <c r="B269" i="241"/>
  <c r="B233" i="241"/>
  <c r="A232" i="241"/>
  <c r="A200" i="241"/>
  <c r="B201" i="241"/>
  <c r="A164" i="241"/>
  <c r="B165" i="241"/>
  <c r="A132" i="241"/>
  <c r="B133" i="241"/>
  <c r="A98" i="241"/>
  <c r="B99" i="241"/>
  <c r="B65" i="241"/>
  <c r="A64" i="241"/>
  <c r="A29" i="241"/>
  <c r="B30" i="241"/>
  <c r="A267" i="238"/>
  <c r="B268" i="238"/>
  <c r="A267" i="237"/>
  <c r="B268" i="237"/>
  <c r="A267" i="236"/>
  <c r="B268" i="236"/>
  <c r="A267" i="235"/>
  <c r="B268" i="235"/>
  <c r="A267" i="234"/>
  <c r="B268" i="234"/>
  <c r="A267" i="233"/>
  <c r="B268" i="233"/>
  <c r="A267" i="232"/>
  <c r="B268" i="232"/>
  <c r="A267" i="231"/>
  <c r="B268" i="231"/>
  <c r="A267" i="230"/>
  <c r="B268" i="230"/>
  <c r="A267" i="229"/>
  <c r="B268" i="229"/>
  <c r="A267" i="227"/>
  <c r="B268" i="227"/>
  <c r="A267" i="187"/>
  <c r="B268" i="187"/>
  <c r="A233" i="238"/>
  <c r="B234" i="238"/>
  <c r="A233" i="237"/>
  <c r="B234" i="237"/>
  <c r="A233" i="236"/>
  <c r="B234" i="236"/>
  <c r="A233" i="235"/>
  <c r="B234" i="235"/>
  <c r="A233" i="234"/>
  <c r="B234" i="234"/>
  <c r="A233" i="233"/>
  <c r="B234" i="233"/>
  <c r="A233" i="232"/>
  <c r="B234" i="232"/>
  <c r="A233" i="231"/>
  <c r="B234" i="231"/>
  <c r="A233" i="230"/>
  <c r="B234" i="230"/>
  <c r="A233" i="229"/>
  <c r="B234" i="229"/>
  <c r="A233" i="227"/>
  <c r="B234" i="227"/>
  <c r="A233" i="187"/>
  <c r="B234" i="187"/>
  <c r="A199" i="238"/>
  <c r="B200" i="238"/>
  <c r="A199" i="237"/>
  <c r="B200" i="237"/>
  <c r="A199" i="236"/>
  <c r="B200" i="236"/>
  <c r="A199" i="235"/>
  <c r="B200" i="235"/>
  <c r="A199" i="234"/>
  <c r="B200" i="234"/>
  <c r="A199" i="233"/>
  <c r="B200" i="233"/>
  <c r="A199" i="232"/>
  <c r="B200" i="232"/>
  <c r="A199" i="231"/>
  <c r="B200" i="231"/>
  <c r="A199" i="230"/>
  <c r="B200" i="230"/>
  <c r="A199" i="229"/>
  <c r="B200" i="229"/>
  <c r="A199" i="227"/>
  <c r="B200" i="227"/>
  <c r="A199" i="187"/>
  <c r="B200" i="187"/>
  <c r="A165" i="238"/>
  <c r="B166" i="238"/>
  <c r="A165" i="237"/>
  <c r="B166" i="237"/>
  <c r="A165" i="236"/>
  <c r="B166" i="236"/>
  <c r="A165" i="235"/>
  <c r="B166" i="235"/>
  <c r="A165" i="234"/>
  <c r="B166" i="234"/>
  <c r="A165" i="233"/>
  <c r="B166" i="233"/>
  <c r="A165" i="232"/>
  <c r="B166" i="232"/>
  <c r="A165" i="231"/>
  <c r="B166" i="231"/>
  <c r="A165" i="230"/>
  <c r="B166" i="230"/>
  <c r="A165" i="229"/>
  <c r="B166" i="229"/>
  <c r="A165" i="227"/>
  <c r="B166" i="227"/>
  <c r="A165" i="187"/>
  <c r="B166" i="187"/>
  <c r="A131" i="238"/>
  <c r="B132" i="238"/>
  <c r="A131" i="237"/>
  <c r="B132" i="237"/>
  <c r="A131" i="236"/>
  <c r="B132" i="236"/>
  <c r="A131" i="235"/>
  <c r="B132" i="235"/>
  <c r="A131" i="234"/>
  <c r="B132" i="234"/>
  <c r="A131" i="233"/>
  <c r="B132" i="233"/>
  <c r="A131" i="232"/>
  <c r="B132" i="232"/>
  <c r="A131" i="231"/>
  <c r="B132" i="231"/>
  <c r="A131" i="230"/>
  <c r="B132" i="230"/>
  <c r="A131" i="229"/>
  <c r="B132" i="229"/>
  <c r="A131" i="227"/>
  <c r="B132" i="227"/>
  <c r="A131" i="187"/>
  <c r="B132" i="187"/>
  <c r="A97" i="238"/>
  <c r="B98" i="238"/>
  <c r="A97" i="237"/>
  <c r="B98" i="237"/>
  <c r="A97" i="236"/>
  <c r="B98" i="236"/>
  <c r="A97" i="235"/>
  <c r="B98" i="235"/>
  <c r="A97" i="234"/>
  <c r="B98" i="234"/>
  <c r="A97" i="233"/>
  <c r="B98" i="233"/>
  <c r="A96" i="232"/>
  <c r="B97" i="232"/>
  <c r="A97" i="231"/>
  <c r="B98" i="231"/>
  <c r="A97" i="230"/>
  <c r="B98" i="230"/>
  <c r="A97" i="229"/>
  <c r="B98" i="229"/>
  <c r="A97" i="227"/>
  <c r="B98" i="227"/>
  <c r="A97" i="187"/>
  <c r="B98" i="187"/>
  <c r="A63" i="238"/>
  <c r="B64" i="238"/>
  <c r="A63" i="237"/>
  <c r="B64" i="237"/>
  <c r="A63" i="236"/>
  <c r="B64" i="236"/>
  <c r="B63" i="235"/>
  <c r="A62" i="235"/>
  <c r="A63" i="234"/>
  <c r="B64" i="234"/>
  <c r="A63" i="233"/>
  <c r="B64" i="233"/>
  <c r="A63" i="232"/>
  <c r="B64" i="232"/>
  <c r="A63" i="231"/>
  <c r="B64" i="231"/>
  <c r="A63" i="230"/>
  <c r="B64" i="230"/>
  <c r="A63" i="229"/>
  <c r="B64" i="229"/>
  <c r="A63" i="227"/>
  <c r="B64" i="227"/>
  <c r="A63" i="187"/>
  <c r="B64" i="187"/>
  <c r="A28" i="238"/>
  <c r="B29" i="238"/>
  <c r="A28" i="237"/>
  <c r="B29" i="237"/>
  <c r="A28" i="236"/>
  <c r="B29" i="236"/>
  <c r="A28" i="235"/>
  <c r="B29" i="235"/>
  <c r="A28" i="234"/>
  <c r="B29" i="234"/>
  <c r="A28" i="233"/>
  <c r="B29" i="233"/>
  <c r="A28" i="232"/>
  <c r="B29" i="232"/>
  <c r="B29" i="231"/>
  <c r="A28" i="231"/>
  <c r="A28" i="230"/>
  <c r="B29" i="230"/>
  <c r="A30" i="229"/>
  <c r="B31" i="229"/>
  <c r="A27" i="227"/>
  <c r="B28" i="227"/>
  <c r="A18" i="13"/>
  <c r="B19" i="13"/>
  <c r="B19" i="187"/>
  <c r="A18" i="187"/>
  <c r="A269" i="241" l="1"/>
  <c r="B270" i="241"/>
  <c r="A233" i="241"/>
  <c r="B234" i="241"/>
  <c r="A201" i="241"/>
  <c r="B202" i="241"/>
  <c r="B166" i="241"/>
  <c r="A165" i="241"/>
  <c r="A133" i="241"/>
  <c r="B134" i="241"/>
  <c r="A99" i="241"/>
  <c r="B100" i="241"/>
  <c r="A65" i="241"/>
  <c r="B66" i="241"/>
  <c r="A30" i="241"/>
  <c r="B31" i="241"/>
  <c r="B269" i="238"/>
  <c r="A268" i="238"/>
  <c r="A268" i="237"/>
  <c r="B269" i="237"/>
  <c r="A268" i="236"/>
  <c r="B269" i="236"/>
  <c r="B269" i="235"/>
  <c r="A268" i="235"/>
  <c r="B269" i="234"/>
  <c r="A268" i="234"/>
  <c r="A268" i="233"/>
  <c r="B269" i="233"/>
  <c r="B269" i="232"/>
  <c r="A268" i="232"/>
  <c r="B269" i="231"/>
  <c r="A268" i="231"/>
  <c r="A268" i="230"/>
  <c r="B269" i="230"/>
  <c r="A268" i="229"/>
  <c r="B269" i="229"/>
  <c r="B269" i="227"/>
  <c r="A268" i="227"/>
  <c r="B269" i="187"/>
  <c r="A268" i="187"/>
  <c r="B235" i="238"/>
  <c r="A234" i="238"/>
  <c r="B235" i="237"/>
  <c r="A234" i="237"/>
  <c r="A234" i="236"/>
  <c r="B235" i="236"/>
  <c r="A234" i="235"/>
  <c r="B235" i="235"/>
  <c r="A234" i="234"/>
  <c r="B235" i="234"/>
  <c r="B235" i="233"/>
  <c r="A234" i="233"/>
  <c r="B235" i="232"/>
  <c r="A234" i="232"/>
  <c r="A234" i="231"/>
  <c r="B235" i="231"/>
  <c r="B235" i="230"/>
  <c r="A234" i="230"/>
  <c r="B235" i="229"/>
  <c r="A234" i="229"/>
  <c r="A234" i="227"/>
  <c r="B235" i="227"/>
  <c r="A234" i="187"/>
  <c r="B235" i="187"/>
  <c r="A200" i="238"/>
  <c r="B201" i="238"/>
  <c r="A200" i="237"/>
  <c r="B201" i="237"/>
  <c r="A200" i="236"/>
  <c r="B201" i="236"/>
  <c r="A200" i="235"/>
  <c r="B201" i="235"/>
  <c r="A200" i="234"/>
  <c r="B201" i="234"/>
  <c r="A200" i="233"/>
  <c r="B201" i="233"/>
  <c r="A200" i="232"/>
  <c r="B201" i="232"/>
  <c r="A200" i="231"/>
  <c r="B201" i="231"/>
  <c r="A200" i="230"/>
  <c r="B201" i="230"/>
  <c r="A200" i="229"/>
  <c r="B201" i="229"/>
  <c r="A200" i="227"/>
  <c r="B201" i="227"/>
  <c r="B201" i="187"/>
  <c r="A200" i="187"/>
  <c r="A166" i="238"/>
  <c r="B167" i="238"/>
  <c r="A166" i="237"/>
  <c r="B167" i="237"/>
  <c r="A166" i="236"/>
  <c r="B167" i="236"/>
  <c r="A166" i="235"/>
  <c r="B167" i="235"/>
  <c r="A166" i="234"/>
  <c r="B167" i="234"/>
  <c r="A166" i="233"/>
  <c r="B167" i="233"/>
  <c r="A166" i="232"/>
  <c r="B167" i="232"/>
  <c r="A166" i="231"/>
  <c r="B167" i="231"/>
  <c r="B167" i="230"/>
  <c r="A166" i="230"/>
  <c r="A166" i="229"/>
  <c r="B167" i="229"/>
  <c r="B167" i="227"/>
  <c r="A166" i="227"/>
  <c r="A166" i="187"/>
  <c r="B167" i="187"/>
  <c r="A132" i="238"/>
  <c r="B133" i="238"/>
  <c r="B133" i="237"/>
  <c r="A132" i="237"/>
  <c r="A132" i="236"/>
  <c r="B133" i="236"/>
  <c r="A132" i="235"/>
  <c r="B133" i="235"/>
  <c r="B133" i="234"/>
  <c r="A132" i="234"/>
  <c r="A132" i="233"/>
  <c r="B133" i="233"/>
  <c r="A132" i="232"/>
  <c r="B133" i="232"/>
  <c r="B133" i="231"/>
  <c r="A132" i="231"/>
  <c r="A132" i="230"/>
  <c r="B133" i="230"/>
  <c r="A132" i="229"/>
  <c r="B133" i="229"/>
  <c r="A132" i="227"/>
  <c r="B133" i="227"/>
  <c r="A132" i="187"/>
  <c r="B133" i="187"/>
  <c r="A98" i="238"/>
  <c r="B99" i="238"/>
  <c r="B99" i="237"/>
  <c r="A98" i="237"/>
  <c r="A98" i="236"/>
  <c r="B99" i="236"/>
  <c r="B99" i="235"/>
  <c r="A98" i="235"/>
  <c r="B99" i="234"/>
  <c r="A98" i="234"/>
  <c r="A98" i="233"/>
  <c r="B99" i="233"/>
  <c r="A97" i="232"/>
  <c r="B98" i="232"/>
  <c r="A98" i="231"/>
  <c r="B99" i="231"/>
  <c r="B99" i="230"/>
  <c r="A98" i="230"/>
  <c r="B99" i="229"/>
  <c r="A98" i="229"/>
  <c r="A98" i="227"/>
  <c r="B99" i="227"/>
  <c r="A98" i="187"/>
  <c r="B99" i="187"/>
  <c r="A64" i="238"/>
  <c r="B65" i="238"/>
  <c r="B65" i="237"/>
  <c r="A64" i="237"/>
  <c r="A64" i="236"/>
  <c r="B65" i="236"/>
  <c r="A63" i="235"/>
  <c r="B64" i="235"/>
  <c r="A64" i="234"/>
  <c r="B65" i="234"/>
  <c r="B65" i="233"/>
  <c r="A64" i="233"/>
  <c r="A64" i="232"/>
  <c r="B65" i="232"/>
  <c r="A64" i="231"/>
  <c r="B65" i="231"/>
  <c r="A64" i="230"/>
  <c r="B65" i="230"/>
  <c r="B65" i="229"/>
  <c r="A64" i="229"/>
  <c r="A64" i="227"/>
  <c r="B65" i="227"/>
  <c r="A64" i="187"/>
  <c r="B65" i="187"/>
  <c r="A29" i="238"/>
  <c r="B30" i="238"/>
  <c r="A29" i="237"/>
  <c r="B30" i="237"/>
  <c r="A29" i="236"/>
  <c r="B30" i="236"/>
  <c r="A29" i="235"/>
  <c r="B30" i="235"/>
  <c r="A29" i="234"/>
  <c r="B30" i="234"/>
  <c r="A29" i="233"/>
  <c r="B30" i="233"/>
  <c r="A29" i="232"/>
  <c r="B30" i="232"/>
  <c r="A29" i="231"/>
  <c r="B30" i="231"/>
  <c r="A29" i="230"/>
  <c r="B30" i="230"/>
  <c r="B32" i="229"/>
  <c r="A31" i="229"/>
  <c r="A28" i="227"/>
  <c r="B29" i="227"/>
  <c r="B20" i="13"/>
  <c r="A19" i="13"/>
  <c r="A19" i="187"/>
  <c r="B20" i="187"/>
  <c r="A270" i="241" l="1"/>
  <c r="B271" i="241"/>
  <c r="A234" i="241"/>
  <c r="B235" i="241"/>
  <c r="A202" i="241"/>
  <c r="B203" i="241"/>
  <c r="B167" i="241"/>
  <c r="A166" i="241"/>
  <c r="A134" i="241"/>
  <c r="B135" i="241"/>
  <c r="A100" i="241"/>
  <c r="B101" i="241"/>
  <c r="A66" i="241"/>
  <c r="B67" i="241"/>
  <c r="A31" i="241"/>
  <c r="B32" i="241"/>
  <c r="A269" i="238"/>
  <c r="B270" i="238"/>
  <c r="A269" i="237"/>
  <c r="B270" i="237"/>
  <c r="A269" i="236"/>
  <c r="B270" i="236"/>
  <c r="A269" i="235"/>
  <c r="B270" i="235"/>
  <c r="A269" i="234"/>
  <c r="B270" i="234"/>
  <c r="A269" i="233"/>
  <c r="B270" i="233"/>
  <c r="A269" i="232"/>
  <c r="B270" i="232"/>
  <c r="A269" i="231"/>
  <c r="B270" i="231"/>
  <c r="A269" i="230"/>
  <c r="B270" i="230"/>
  <c r="A269" i="229"/>
  <c r="B270" i="229"/>
  <c r="A269" i="227"/>
  <c r="B270" i="227"/>
  <c r="A269" i="187"/>
  <c r="B270" i="187"/>
  <c r="B236" i="238"/>
  <c r="A235" i="238"/>
  <c r="A235" i="237"/>
  <c r="B236" i="237"/>
  <c r="A235" i="236"/>
  <c r="B236" i="236"/>
  <c r="A235" i="235"/>
  <c r="B236" i="235"/>
  <c r="A235" i="234"/>
  <c r="B236" i="234"/>
  <c r="A235" i="233"/>
  <c r="B236" i="233"/>
  <c r="A235" i="232"/>
  <c r="B236" i="232"/>
  <c r="A235" i="231"/>
  <c r="B236" i="231"/>
  <c r="A235" i="230"/>
  <c r="B236" i="230"/>
  <c r="A235" i="229"/>
  <c r="B236" i="229"/>
  <c r="A235" i="227"/>
  <c r="B236" i="227"/>
  <c r="A235" i="187"/>
  <c r="B236" i="187"/>
  <c r="A201" i="238"/>
  <c r="B202" i="238"/>
  <c r="A201" i="237"/>
  <c r="B202" i="237"/>
  <c r="A201" i="236"/>
  <c r="B202" i="236"/>
  <c r="A201" i="235"/>
  <c r="B202" i="235"/>
  <c r="A201" i="234"/>
  <c r="B202" i="234"/>
  <c r="A201" i="233"/>
  <c r="B202" i="233"/>
  <c r="A201" i="232"/>
  <c r="B202" i="232"/>
  <c r="A201" i="231"/>
  <c r="B202" i="231"/>
  <c r="A201" i="230"/>
  <c r="B202" i="230"/>
  <c r="A201" i="229"/>
  <c r="B202" i="229"/>
  <c r="A201" i="227"/>
  <c r="B202" i="227"/>
  <c r="A201" i="187"/>
  <c r="B202" i="187"/>
  <c r="A167" i="238"/>
  <c r="B168" i="238"/>
  <c r="A167" i="237"/>
  <c r="B168" i="237"/>
  <c r="A167" i="236"/>
  <c r="B168" i="236"/>
  <c r="A167" i="235"/>
  <c r="B168" i="235"/>
  <c r="A167" i="234"/>
  <c r="B168" i="234"/>
  <c r="A167" i="233"/>
  <c r="B168" i="233"/>
  <c r="A167" i="232"/>
  <c r="B168" i="232"/>
  <c r="A167" i="231"/>
  <c r="B168" i="231"/>
  <c r="A167" i="230"/>
  <c r="B168" i="230"/>
  <c r="A167" i="229"/>
  <c r="B168" i="229"/>
  <c r="A167" i="227"/>
  <c r="B168" i="227"/>
  <c r="A167" i="187"/>
  <c r="B168" i="187"/>
  <c r="A133" i="238"/>
  <c r="B134" i="238"/>
  <c r="A133" i="237"/>
  <c r="B134" i="237"/>
  <c r="A133" i="236"/>
  <c r="B134" i="236"/>
  <c r="A133" i="235"/>
  <c r="B134" i="235"/>
  <c r="A133" i="234"/>
  <c r="B134" i="234"/>
  <c r="A133" i="233"/>
  <c r="B134" i="233"/>
  <c r="A133" i="232"/>
  <c r="B134" i="232"/>
  <c r="A133" i="231"/>
  <c r="B134" i="231"/>
  <c r="A133" i="230"/>
  <c r="B134" i="230"/>
  <c r="A133" i="229"/>
  <c r="B134" i="229"/>
  <c r="A133" i="227"/>
  <c r="B134" i="227"/>
  <c r="A133" i="187"/>
  <c r="B134" i="187"/>
  <c r="A99" i="238"/>
  <c r="B100" i="238"/>
  <c r="A99" i="237"/>
  <c r="B100" i="237"/>
  <c r="A99" i="236"/>
  <c r="B100" i="236"/>
  <c r="A99" i="235"/>
  <c r="B100" i="235"/>
  <c r="A99" i="234"/>
  <c r="B100" i="234"/>
  <c r="A99" i="233"/>
  <c r="B100" i="233"/>
  <c r="A98" i="232"/>
  <c r="B99" i="232"/>
  <c r="A99" i="231"/>
  <c r="B100" i="231"/>
  <c r="A99" i="230"/>
  <c r="B100" i="230"/>
  <c r="A99" i="229"/>
  <c r="B100" i="229"/>
  <c r="A99" i="227"/>
  <c r="B100" i="227"/>
  <c r="A99" i="187"/>
  <c r="B100" i="187"/>
  <c r="A65" i="238"/>
  <c r="B66" i="238"/>
  <c r="A65" i="237"/>
  <c r="B66" i="237"/>
  <c r="A65" i="236"/>
  <c r="B66" i="236"/>
  <c r="B65" i="235"/>
  <c r="A64" i="235"/>
  <c r="A65" i="234"/>
  <c r="B66" i="234"/>
  <c r="A65" i="233"/>
  <c r="B66" i="233"/>
  <c r="A65" i="232"/>
  <c r="B66" i="232"/>
  <c r="A65" i="231"/>
  <c r="B66" i="231"/>
  <c r="A65" i="230"/>
  <c r="B66" i="230"/>
  <c r="A65" i="229"/>
  <c r="B66" i="229"/>
  <c r="A65" i="227"/>
  <c r="B66" i="227"/>
  <c r="A65" i="187"/>
  <c r="B66" i="187"/>
  <c r="A30" i="238"/>
  <c r="B31" i="238"/>
  <c r="A30" i="237"/>
  <c r="B31" i="237"/>
  <c r="A30" i="236"/>
  <c r="B31" i="236"/>
  <c r="A30" i="235"/>
  <c r="B31" i="235"/>
  <c r="A30" i="234"/>
  <c r="B31" i="234"/>
  <c r="A30" i="233"/>
  <c r="B31" i="233"/>
  <c r="A30" i="232"/>
  <c r="B31" i="232"/>
  <c r="B31" i="231"/>
  <c r="A30" i="231"/>
  <c r="A30" i="230"/>
  <c r="B31" i="230"/>
  <c r="A32" i="229"/>
  <c r="B33" i="229"/>
  <c r="A29" i="227"/>
  <c r="B30" i="227"/>
  <c r="A20" i="13"/>
  <c r="B21" i="13"/>
  <c r="A20" i="187"/>
  <c r="B21" i="187"/>
  <c r="A271" i="241" l="1"/>
  <c r="B272" i="241"/>
  <c r="A235" i="241"/>
  <c r="B236" i="241"/>
  <c r="B204" i="241"/>
  <c r="A203" i="241"/>
  <c r="A167" i="241"/>
  <c r="B168" i="241"/>
  <c r="A135" i="241"/>
  <c r="B136" i="241"/>
  <c r="B102" i="241"/>
  <c r="A101" i="241"/>
  <c r="A67" i="241"/>
  <c r="B68" i="241"/>
  <c r="A32" i="241"/>
  <c r="B33" i="241"/>
  <c r="B271" i="238"/>
  <c r="A270" i="238"/>
  <c r="A270" i="237"/>
  <c r="B271" i="237"/>
  <c r="B271" i="236"/>
  <c r="A270" i="236"/>
  <c r="A270" i="235"/>
  <c r="B271" i="235"/>
  <c r="A270" i="234"/>
  <c r="B271" i="234"/>
  <c r="B271" i="233"/>
  <c r="A270" i="233"/>
  <c r="B271" i="232"/>
  <c r="A270" i="232"/>
  <c r="B271" i="231"/>
  <c r="A270" i="231"/>
  <c r="B271" i="230"/>
  <c r="A270" i="230"/>
  <c r="B271" i="229"/>
  <c r="A270" i="229"/>
  <c r="B271" i="227"/>
  <c r="A270" i="227"/>
  <c r="A270" i="187"/>
  <c r="B271" i="187"/>
  <c r="A236" i="238"/>
  <c r="B237" i="238"/>
  <c r="B237" i="237"/>
  <c r="A236" i="237"/>
  <c r="A236" i="236"/>
  <c r="B237" i="236"/>
  <c r="A236" i="235"/>
  <c r="B237" i="235"/>
  <c r="A236" i="234"/>
  <c r="B237" i="234"/>
  <c r="B237" i="233"/>
  <c r="A236" i="233"/>
  <c r="B237" i="232"/>
  <c r="A236" i="232"/>
  <c r="B237" i="231"/>
  <c r="A236" i="231"/>
  <c r="A236" i="230"/>
  <c r="B237" i="230"/>
  <c r="B237" i="229"/>
  <c r="A236" i="229"/>
  <c r="A236" i="227"/>
  <c r="B237" i="227"/>
  <c r="A236" i="187"/>
  <c r="B237" i="187"/>
  <c r="A202" i="238"/>
  <c r="B203" i="238"/>
  <c r="B203" i="237"/>
  <c r="A202" i="237"/>
  <c r="A202" i="236"/>
  <c r="B203" i="236"/>
  <c r="A202" i="235"/>
  <c r="B203" i="235"/>
  <c r="A202" i="234"/>
  <c r="B203" i="234"/>
  <c r="A202" i="233"/>
  <c r="B203" i="233"/>
  <c r="A202" i="232"/>
  <c r="B203" i="232"/>
  <c r="A202" i="231"/>
  <c r="B203" i="231"/>
  <c r="A202" i="230"/>
  <c r="B203" i="230"/>
  <c r="A202" i="229"/>
  <c r="B203" i="229"/>
  <c r="B203" i="227"/>
  <c r="A202" i="227"/>
  <c r="B203" i="187"/>
  <c r="A202" i="187"/>
  <c r="A168" i="238"/>
  <c r="B169" i="238"/>
  <c r="A168" i="237"/>
  <c r="B169" i="237"/>
  <c r="A168" i="236"/>
  <c r="B169" i="236"/>
  <c r="A168" i="235"/>
  <c r="B169" i="235"/>
  <c r="A168" i="234"/>
  <c r="B169" i="234"/>
  <c r="A168" i="233"/>
  <c r="B169" i="233"/>
  <c r="A168" i="232"/>
  <c r="B169" i="232"/>
  <c r="A168" i="231"/>
  <c r="B169" i="231"/>
  <c r="B169" i="230"/>
  <c r="A168" i="230"/>
  <c r="A168" i="229"/>
  <c r="B169" i="229"/>
  <c r="B169" i="227"/>
  <c r="A168" i="227"/>
  <c r="A168" i="187"/>
  <c r="B169" i="187"/>
  <c r="A134" i="238"/>
  <c r="B135" i="238"/>
  <c r="B135" i="237"/>
  <c r="A134" i="237"/>
  <c r="A134" i="236"/>
  <c r="B135" i="236"/>
  <c r="A134" i="235"/>
  <c r="B135" i="235"/>
  <c r="B135" i="234"/>
  <c r="A134" i="234"/>
  <c r="A134" i="233"/>
  <c r="B135" i="233"/>
  <c r="A134" i="232"/>
  <c r="B135" i="232"/>
  <c r="B135" i="231"/>
  <c r="A134" i="231"/>
  <c r="A134" i="230"/>
  <c r="B135" i="230"/>
  <c r="A134" i="229"/>
  <c r="B135" i="229"/>
  <c r="A134" i="227"/>
  <c r="B135" i="227"/>
  <c r="A134" i="187"/>
  <c r="B135" i="187"/>
  <c r="A100" i="238"/>
  <c r="B101" i="238"/>
  <c r="A100" i="237"/>
  <c r="B101" i="237"/>
  <c r="B101" i="236"/>
  <c r="A100" i="236"/>
  <c r="B101" i="235"/>
  <c r="A100" i="235"/>
  <c r="B101" i="234"/>
  <c r="A100" i="234"/>
  <c r="A100" i="233"/>
  <c r="B101" i="233"/>
  <c r="A99" i="232"/>
  <c r="B100" i="232"/>
  <c r="A100" i="231"/>
  <c r="B101" i="231"/>
  <c r="B101" i="230"/>
  <c r="A100" i="230"/>
  <c r="A100" i="229"/>
  <c r="B101" i="229"/>
  <c r="A100" i="227"/>
  <c r="B101" i="227"/>
  <c r="A100" i="187"/>
  <c r="B101" i="187"/>
  <c r="A66" i="238"/>
  <c r="B67" i="238"/>
  <c r="A66" i="237"/>
  <c r="B67" i="237"/>
  <c r="A66" i="236"/>
  <c r="B67" i="236"/>
  <c r="A65" i="235"/>
  <c r="B66" i="235"/>
  <c r="A66" i="234"/>
  <c r="B67" i="234"/>
  <c r="A66" i="233"/>
  <c r="B67" i="233"/>
  <c r="A66" i="232"/>
  <c r="B67" i="232"/>
  <c r="B67" i="231"/>
  <c r="A66" i="231"/>
  <c r="A66" i="230"/>
  <c r="B67" i="230"/>
  <c r="A66" i="229"/>
  <c r="B67" i="229"/>
  <c r="A66" i="227"/>
  <c r="B67" i="227"/>
  <c r="A66" i="187"/>
  <c r="B67" i="187"/>
  <c r="A31" i="238"/>
  <c r="B32" i="238"/>
  <c r="A31" i="237"/>
  <c r="B32" i="237"/>
  <c r="A31" i="236"/>
  <c r="B32" i="236"/>
  <c r="A31" i="235"/>
  <c r="B32" i="235"/>
  <c r="A31" i="234"/>
  <c r="B32" i="234"/>
  <c r="A31" i="233"/>
  <c r="B32" i="233"/>
  <c r="A31" i="232"/>
  <c r="B32" i="232"/>
  <c r="A31" i="231"/>
  <c r="B32" i="231"/>
  <c r="A31" i="230"/>
  <c r="B32" i="230"/>
  <c r="A33" i="229"/>
  <c r="B34" i="229"/>
  <c r="A30" i="227"/>
  <c r="B31" i="227"/>
  <c r="A21" i="13"/>
  <c r="B22" i="13"/>
  <c r="B22" i="187"/>
  <c r="A21" i="187"/>
  <c r="A272" i="241" l="1"/>
  <c r="B273" i="241"/>
  <c r="B237" i="241"/>
  <c r="A236" i="241"/>
  <c r="A204" i="241"/>
  <c r="B205" i="241"/>
  <c r="A168" i="241"/>
  <c r="B169" i="241"/>
  <c r="A136" i="241"/>
  <c r="B137" i="241"/>
  <c r="A102" i="241"/>
  <c r="B103" i="241"/>
  <c r="B69" i="241"/>
  <c r="A68" i="241"/>
  <c r="A33" i="241"/>
  <c r="B34" i="241"/>
  <c r="A271" i="238"/>
  <c r="B272" i="238"/>
  <c r="A271" i="237"/>
  <c r="B272" i="237"/>
  <c r="A271" i="236"/>
  <c r="B272" i="236"/>
  <c r="A271" i="235"/>
  <c r="B272" i="235"/>
  <c r="A271" i="234"/>
  <c r="B272" i="234"/>
  <c r="A271" i="233"/>
  <c r="B272" i="233"/>
  <c r="A271" i="232"/>
  <c r="B272" i="232"/>
  <c r="A271" i="231"/>
  <c r="B272" i="231"/>
  <c r="A271" i="230"/>
  <c r="B272" i="230"/>
  <c r="A271" i="229"/>
  <c r="B272" i="229"/>
  <c r="A271" i="227"/>
  <c r="B272" i="227"/>
  <c r="A271" i="187"/>
  <c r="B272" i="187"/>
  <c r="B238" i="238"/>
  <c r="A237" i="238"/>
  <c r="A237" i="237"/>
  <c r="B238" i="237"/>
  <c r="A237" i="236"/>
  <c r="B238" i="236"/>
  <c r="A237" i="235"/>
  <c r="B238" i="235"/>
  <c r="A237" i="234"/>
  <c r="B238" i="234"/>
  <c r="A237" i="233"/>
  <c r="B238" i="233"/>
  <c r="A237" i="232"/>
  <c r="B238" i="232"/>
  <c r="A237" i="231"/>
  <c r="B238" i="231"/>
  <c r="A237" i="230"/>
  <c r="B238" i="230"/>
  <c r="A237" i="229"/>
  <c r="B238" i="229"/>
  <c r="A237" i="227"/>
  <c r="B238" i="227"/>
  <c r="A237" i="187"/>
  <c r="B238" i="187"/>
  <c r="A203" i="238"/>
  <c r="B204" i="238"/>
  <c r="A203" i="237"/>
  <c r="B204" i="237"/>
  <c r="A203" i="236"/>
  <c r="B204" i="236"/>
  <c r="A203" i="235"/>
  <c r="B204" i="235"/>
  <c r="A203" i="234"/>
  <c r="B204" i="234"/>
  <c r="A203" i="233"/>
  <c r="B204" i="233"/>
  <c r="A203" i="232"/>
  <c r="B204" i="232"/>
  <c r="A203" i="231"/>
  <c r="B204" i="231"/>
  <c r="A203" i="230"/>
  <c r="B204" i="230"/>
  <c r="A203" i="229"/>
  <c r="B204" i="229"/>
  <c r="A203" i="227"/>
  <c r="B204" i="227"/>
  <c r="A203" i="187"/>
  <c r="B204" i="187"/>
  <c r="A169" i="238"/>
  <c r="B170" i="238"/>
  <c r="A169" i="237"/>
  <c r="B170" i="237"/>
  <c r="A169" i="236"/>
  <c r="B170" i="236"/>
  <c r="A169" i="235"/>
  <c r="B170" i="235"/>
  <c r="A169" i="234"/>
  <c r="B170" i="234"/>
  <c r="A169" i="233"/>
  <c r="B170" i="233"/>
  <c r="A169" i="232"/>
  <c r="B170" i="232"/>
  <c r="A169" i="231"/>
  <c r="B170" i="231"/>
  <c r="A169" i="230"/>
  <c r="B170" i="230"/>
  <c r="A169" i="229"/>
  <c r="B170" i="229"/>
  <c r="A169" i="227"/>
  <c r="B170" i="227"/>
  <c r="A169" i="187"/>
  <c r="B170" i="187"/>
  <c r="A135" i="238"/>
  <c r="B136" i="238"/>
  <c r="A135" i="237"/>
  <c r="B136" i="237"/>
  <c r="A135" i="236"/>
  <c r="B136" i="236"/>
  <c r="A135" i="235"/>
  <c r="B136" i="235"/>
  <c r="A135" i="234"/>
  <c r="B136" i="234"/>
  <c r="A135" i="233"/>
  <c r="B136" i="233"/>
  <c r="A135" i="232"/>
  <c r="B136" i="232"/>
  <c r="A135" i="231"/>
  <c r="B136" i="231"/>
  <c r="A135" i="230"/>
  <c r="B136" i="230"/>
  <c r="A135" i="229"/>
  <c r="B136" i="229"/>
  <c r="A135" i="227"/>
  <c r="B136" i="227"/>
  <c r="A135" i="187"/>
  <c r="B136" i="187"/>
  <c r="A101" i="238"/>
  <c r="B102" i="238"/>
  <c r="A101" i="237"/>
  <c r="B102" i="237"/>
  <c r="A101" i="236"/>
  <c r="B102" i="236"/>
  <c r="A101" i="235"/>
  <c r="B102" i="235"/>
  <c r="A101" i="234"/>
  <c r="B102" i="234"/>
  <c r="A101" i="233"/>
  <c r="B102" i="233"/>
  <c r="A100" i="232"/>
  <c r="B101" i="232"/>
  <c r="A101" i="231"/>
  <c r="B102" i="231"/>
  <c r="A101" i="230"/>
  <c r="B102" i="230"/>
  <c r="A101" i="229"/>
  <c r="B102" i="229"/>
  <c r="A101" i="227"/>
  <c r="B102" i="227"/>
  <c r="A101" i="187"/>
  <c r="B102" i="187"/>
  <c r="A67" i="238"/>
  <c r="B68" i="238"/>
  <c r="A67" i="237"/>
  <c r="B68" i="237"/>
  <c r="A67" i="236"/>
  <c r="B68" i="236"/>
  <c r="A66" i="235"/>
  <c r="B67" i="235"/>
  <c r="A67" i="234"/>
  <c r="B68" i="234"/>
  <c r="A67" i="233"/>
  <c r="B68" i="233"/>
  <c r="A67" i="232"/>
  <c r="B68" i="232"/>
  <c r="A67" i="231"/>
  <c r="B68" i="231"/>
  <c r="A67" i="230"/>
  <c r="B68" i="230"/>
  <c r="A67" i="229"/>
  <c r="B68" i="229"/>
  <c r="A67" i="227"/>
  <c r="B68" i="227"/>
  <c r="A67" i="187"/>
  <c r="B68" i="187"/>
  <c r="A32" i="238"/>
  <c r="B33" i="238"/>
  <c r="A32" i="237"/>
  <c r="B33" i="237"/>
  <c r="A32" i="236"/>
  <c r="B33" i="236"/>
  <c r="A32" i="235"/>
  <c r="B33" i="235"/>
  <c r="A32" i="234"/>
  <c r="B33" i="234"/>
  <c r="A32" i="233"/>
  <c r="B33" i="233"/>
  <c r="A32" i="232"/>
  <c r="B33" i="232"/>
  <c r="A32" i="231"/>
  <c r="B33" i="231"/>
  <c r="A32" i="230"/>
  <c r="B33" i="230"/>
  <c r="A34" i="229"/>
  <c r="B35" i="229"/>
  <c r="A31" i="227"/>
  <c r="B32" i="227"/>
  <c r="B23" i="13"/>
  <c r="A22" i="13"/>
  <c r="A22" i="187"/>
  <c r="B23" i="187"/>
  <c r="A273" i="241" l="1"/>
  <c r="B274" i="241"/>
  <c r="A237" i="241"/>
  <c r="B238" i="241"/>
  <c r="A205" i="241"/>
  <c r="B206" i="241"/>
  <c r="A169" i="241"/>
  <c r="B170" i="241"/>
  <c r="A137" i="241"/>
  <c r="B138" i="241"/>
  <c r="A103" i="241"/>
  <c r="B104" i="241"/>
  <c r="A69" i="241"/>
  <c r="B70" i="241"/>
  <c r="A34" i="241"/>
  <c r="B35" i="241"/>
  <c r="A272" i="238"/>
  <c r="B273" i="238"/>
  <c r="A272" i="237"/>
  <c r="B273" i="237"/>
  <c r="A272" i="236"/>
  <c r="B273" i="236"/>
  <c r="B273" i="235"/>
  <c r="A272" i="235"/>
  <c r="A272" i="234"/>
  <c r="B273" i="234"/>
  <c r="A272" i="233"/>
  <c r="B273" i="233"/>
  <c r="A272" i="232"/>
  <c r="B273" i="232"/>
  <c r="B273" i="231"/>
  <c r="A272" i="231"/>
  <c r="B273" i="230"/>
  <c r="A272" i="230"/>
  <c r="B273" i="229"/>
  <c r="A272" i="229"/>
  <c r="B273" i="227"/>
  <c r="A272" i="227"/>
  <c r="B273" i="187"/>
  <c r="A272" i="187"/>
  <c r="A238" i="238"/>
  <c r="B239" i="238"/>
  <c r="A238" i="237"/>
  <c r="B239" i="237"/>
  <c r="A238" i="236"/>
  <c r="B239" i="236"/>
  <c r="A238" i="235"/>
  <c r="B239" i="235"/>
  <c r="B239" i="234"/>
  <c r="A238" i="234"/>
  <c r="A238" i="233"/>
  <c r="B239" i="233"/>
  <c r="A238" i="232"/>
  <c r="B239" i="232"/>
  <c r="A238" i="231"/>
  <c r="B239" i="231"/>
  <c r="B239" i="230"/>
  <c r="A238" i="230"/>
  <c r="B239" i="229"/>
  <c r="A238" i="229"/>
  <c r="A238" i="227"/>
  <c r="B239" i="227"/>
  <c r="A238" i="187"/>
  <c r="B239" i="187"/>
  <c r="A204" i="238"/>
  <c r="B205" i="238"/>
  <c r="B205" i="237"/>
  <c r="A204" i="237"/>
  <c r="A204" i="236"/>
  <c r="B205" i="236"/>
  <c r="A204" i="235"/>
  <c r="B205" i="235"/>
  <c r="B205" i="234"/>
  <c r="A204" i="234"/>
  <c r="A204" i="233"/>
  <c r="B205" i="233"/>
  <c r="A204" i="232"/>
  <c r="B205" i="232"/>
  <c r="A204" i="231"/>
  <c r="B205" i="231"/>
  <c r="A204" i="230"/>
  <c r="B205" i="230"/>
  <c r="A204" i="229"/>
  <c r="B205" i="229"/>
  <c r="A204" i="227"/>
  <c r="B205" i="227"/>
  <c r="A204" i="187"/>
  <c r="B205" i="187"/>
  <c r="A170" i="238"/>
  <c r="B171" i="238"/>
  <c r="A170" i="237"/>
  <c r="B171" i="237"/>
  <c r="A170" i="236"/>
  <c r="B171" i="236"/>
  <c r="A170" i="235"/>
  <c r="B171" i="235"/>
  <c r="A170" i="234"/>
  <c r="B171" i="234"/>
  <c r="B171" i="233"/>
  <c r="A170" i="233"/>
  <c r="A170" i="232"/>
  <c r="B171" i="232"/>
  <c r="A170" i="231"/>
  <c r="B171" i="231"/>
  <c r="B171" i="230"/>
  <c r="A170" i="230"/>
  <c r="A170" i="229"/>
  <c r="B171" i="229"/>
  <c r="A170" i="227"/>
  <c r="B171" i="227"/>
  <c r="A170" i="187"/>
  <c r="B171" i="187"/>
  <c r="A136" i="238"/>
  <c r="B137" i="238"/>
  <c r="B137" i="237"/>
  <c r="A136" i="237"/>
  <c r="A136" i="236"/>
  <c r="B137" i="236"/>
  <c r="A136" i="235"/>
  <c r="B137" i="235"/>
  <c r="A136" i="234"/>
  <c r="B137" i="234"/>
  <c r="A136" i="233"/>
  <c r="B137" i="233"/>
  <c r="A136" i="232"/>
  <c r="B137" i="232"/>
  <c r="B137" i="231"/>
  <c r="A136" i="231"/>
  <c r="A136" i="230"/>
  <c r="B137" i="230"/>
  <c r="A136" i="229"/>
  <c r="B137" i="229"/>
  <c r="A136" i="227"/>
  <c r="B137" i="227"/>
  <c r="A136" i="187"/>
  <c r="B137" i="187"/>
  <c r="A102" i="238"/>
  <c r="B103" i="238"/>
  <c r="B103" i="237"/>
  <c r="A102" i="237"/>
  <c r="B103" i="236"/>
  <c r="A102" i="236"/>
  <c r="B103" i="235"/>
  <c r="A102" i="235"/>
  <c r="A102" i="234"/>
  <c r="B103" i="234"/>
  <c r="A102" i="233"/>
  <c r="B103" i="233"/>
  <c r="A101" i="232"/>
  <c r="B102" i="232"/>
  <c r="A102" i="231"/>
  <c r="B103" i="231"/>
  <c r="A102" i="230"/>
  <c r="B103" i="230"/>
  <c r="A102" i="229"/>
  <c r="B103" i="229"/>
  <c r="A102" i="227"/>
  <c r="B103" i="227"/>
  <c r="A102" i="187"/>
  <c r="B103" i="187"/>
  <c r="A68" i="238"/>
  <c r="B69" i="238"/>
  <c r="B69" i="237"/>
  <c r="A68" i="237"/>
  <c r="A68" i="236"/>
  <c r="B69" i="236"/>
  <c r="A67" i="235"/>
  <c r="B68" i="235"/>
  <c r="A68" i="234"/>
  <c r="B69" i="234"/>
  <c r="A68" i="233"/>
  <c r="B69" i="233"/>
  <c r="A68" i="232"/>
  <c r="B69" i="232"/>
  <c r="B69" i="231"/>
  <c r="A68" i="231"/>
  <c r="B69" i="230"/>
  <c r="A68" i="230"/>
  <c r="B69" i="229"/>
  <c r="A68" i="229"/>
  <c r="B69" i="227"/>
  <c r="A68" i="227"/>
  <c r="B69" i="187"/>
  <c r="A68" i="187"/>
  <c r="A33" i="238"/>
  <c r="B34" i="238"/>
  <c r="A33" i="237"/>
  <c r="B34" i="237"/>
  <c r="A33" i="236"/>
  <c r="B34" i="236"/>
  <c r="A33" i="235"/>
  <c r="B34" i="235"/>
  <c r="A33" i="234"/>
  <c r="B34" i="234"/>
  <c r="A33" i="233"/>
  <c r="B34" i="233"/>
  <c r="A33" i="232"/>
  <c r="B34" i="232"/>
  <c r="A33" i="231"/>
  <c r="B34" i="231"/>
  <c r="A33" i="230"/>
  <c r="B34" i="230"/>
  <c r="B36" i="229"/>
  <c r="A35" i="229"/>
  <c r="A32" i="227"/>
  <c r="B33" i="227"/>
  <c r="A23" i="13"/>
  <c r="B24" i="13"/>
  <c r="A23" i="187"/>
  <c r="B24" i="187"/>
  <c r="A274" i="241" l="1"/>
  <c r="B275" i="241"/>
  <c r="A238" i="241"/>
  <c r="B239" i="241"/>
  <c r="A206" i="241"/>
  <c r="B207" i="241"/>
  <c r="A170" i="241"/>
  <c r="B171" i="241"/>
  <c r="A138" i="241"/>
  <c r="B139" i="241"/>
  <c r="B105" i="241"/>
  <c r="A104" i="241"/>
  <c r="A70" i="241"/>
  <c r="B71" i="241"/>
  <c r="A35" i="241"/>
  <c r="B36" i="241"/>
  <c r="A273" i="238"/>
  <c r="B274" i="238"/>
  <c r="A273" i="237"/>
  <c r="B274" i="237"/>
  <c r="A273" i="236"/>
  <c r="B274" i="236"/>
  <c r="A273" i="235"/>
  <c r="B274" i="235"/>
  <c r="A273" i="234"/>
  <c r="B274" i="234"/>
  <c r="A273" i="233"/>
  <c r="B274" i="233"/>
  <c r="A273" i="232"/>
  <c r="B274" i="232"/>
  <c r="A273" i="231"/>
  <c r="B274" i="231"/>
  <c r="A273" i="230"/>
  <c r="B274" i="230"/>
  <c r="A273" i="229"/>
  <c r="B274" i="229"/>
  <c r="A273" i="227"/>
  <c r="B274" i="227"/>
  <c r="A273" i="187"/>
  <c r="B274" i="187"/>
  <c r="B240" i="238"/>
  <c r="A239" i="238"/>
  <c r="A239" i="237"/>
  <c r="B240" i="237"/>
  <c r="A239" i="236"/>
  <c r="B240" i="236"/>
  <c r="A239" i="235"/>
  <c r="B240" i="235"/>
  <c r="A239" i="234"/>
  <c r="B240" i="234"/>
  <c r="A239" i="233"/>
  <c r="B240" i="233"/>
  <c r="A239" i="232"/>
  <c r="B240" i="232"/>
  <c r="A239" i="231"/>
  <c r="B240" i="231"/>
  <c r="A239" i="230"/>
  <c r="B240" i="230"/>
  <c r="A239" i="229"/>
  <c r="B240" i="229"/>
  <c r="A239" i="227"/>
  <c r="B240" i="227"/>
  <c r="A239" i="187"/>
  <c r="B240" i="187"/>
  <c r="A205" i="238"/>
  <c r="B206" i="238"/>
  <c r="A205" i="237"/>
  <c r="B206" i="237"/>
  <c r="A205" i="236"/>
  <c r="B206" i="236"/>
  <c r="A205" i="235"/>
  <c r="B206" i="235"/>
  <c r="A205" i="234"/>
  <c r="B206" i="234"/>
  <c r="A205" i="233"/>
  <c r="B206" i="233"/>
  <c r="A205" i="232"/>
  <c r="B206" i="232"/>
  <c r="A205" i="231"/>
  <c r="B206" i="231"/>
  <c r="A205" i="230"/>
  <c r="B206" i="230"/>
  <c r="A205" i="229"/>
  <c r="B206" i="229"/>
  <c r="A205" i="227"/>
  <c r="B206" i="227"/>
  <c r="A205" i="187"/>
  <c r="B206" i="187"/>
  <c r="A171" i="238"/>
  <c r="B172" i="238"/>
  <c r="A171" i="237"/>
  <c r="B172" i="237"/>
  <c r="A171" i="236"/>
  <c r="B172" i="236"/>
  <c r="A171" i="235"/>
  <c r="B172" i="235"/>
  <c r="A171" i="234"/>
  <c r="B172" i="234"/>
  <c r="A171" i="233"/>
  <c r="B172" i="233"/>
  <c r="A171" i="232"/>
  <c r="B172" i="232"/>
  <c r="A171" i="231"/>
  <c r="B172" i="231"/>
  <c r="A171" i="230"/>
  <c r="B172" i="230"/>
  <c r="A171" i="229"/>
  <c r="B172" i="229"/>
  <c r="A171" i="227"/>
  <c r="B172" i="227"/>
  <c r="A171" i="187"/>
  <c r="B172" i="187"/>
  <c r="A137" i="238"/>
  <c r="B138" i="238"/>
  <c r="A137" i="237"/>
  <c r="B138" i="237"/>
  <c r="A137" i="236"/>
  <c r="B138" i="236"/>
  <c r="A137" i="235"/>
  <c r="B138" i="235"/>
  <c r="A137" i="234"/>
  <c r="B138" i="234"/>
  <c r="A137" i="233"/>
  <c r="B138" i="233"/>
  <c r="A137" i="232"/>
  <c r="B138" i="232"/>
  <c r="A137" i="231"/>
  <c r="B138" i="231"/>
  <c r="A137" i="230"/>
  <c r="B138" i="230"/>
  <c r="A137" i="229"/>
  <c r="B138" i="229"/>
  <c r="A137" i="227"/>
  <c r="B138" i="227"/>
  <c r="A137" i="187"/>
  <c r="B138" i="187"/>
  <c r="A103" i="238"/>
  <c r="B104" i="238"/>
  <c r="A103" i="237"/>
  <c r="B104" i="237"/>
  <c r="A103" i="236"/>
  <c r="B104" i="236"/>
  <c r="A103" i="235"/>
  <c r="B104" i="235"/>
  <c r="A103" i="234"/>
  <c r="B104" i="234"/>
  <c r="A103" i="233"/>
  <c r="B104" i="233"/>
  <c r="A102" i="232"/>
  <c r="B103" i="232"/>
  <c r="A103" i="231"/>
  <c r="B104" i="231"/>
  <c r="A103" i="230"/>
  <c r="B104" i="230"/>
  <c r="A103" i="229"/>
  <c r="B104" i="229"/>
  <c r="A103" i="227"/>
  <c r="B104" i="227"/>
  <c r="A103" i="187"/>
  <c r="B104" i="187"/>
  <c r="A69" i="238"/>
  <c r="B70" i="238"/>
  <c r="A69" i="237"/>
  <c r="B70" i="237"/>
  <c r="A69" i="236"/>
  <c r="B70" i="236"/>
  <c r="B69" i="235"/>
  <c r="A68" i="235"/>
  <c r="A69" i="234"/>
  <c r="B70" i="234"/>
  <c r="A69" i="233"/>
  <c r="B70" i="233"/>
  <c r="A69" i="232"/>
  <c r="B70" i="232"/>
  <c r="A69" i="231"/>
  <c r="B70" i="231"/>
  <c r="A69" i="230"/>
  <c r="B70" i="230"/>
  <c r="A69" i="229"/>
  <c r="B70" i="229"/>
  <c r="A69" i="227"/>
  <c r="B70" i="227"/>
  <c r="A69" i="187"/>
  <c r="B70" i="187"/>
  <c r="A34" i="238"/>
  <c r="B35" i="238"/>
  <c r="A34" i="237"/>
  <c r="B35" i="237"/>
  <c r="A34" i="236"/>
  <c r="B35" i="236"/>
  <c r="A34" i="235"/>
  <c r="B35" i="235"/>
  <c r="A34" i="234"/>
  <c r="B35" i="234"/>
  <c r="A34" i="233"/>
  <c r="B35" i="233"/>
  <c r="A34" i="232"/>
  <c r="B35" i="232"/>
  <c r="A34" i="231"/>
  <c r="B35" i="231"/>
  <c r="A34" i="230"/>
  <c r="B35" i="230"/>
  <c r="A36" i="229"/>
  <c r="B37" i="229"/>
  <c r="A33" i="227"/>
  <c r="B34" i="227"/>
  <c r="B25" i="13"/>
  <c r="A24" i="13"/>
  <c r="A24" i="187"/>
  <c r="B25" i="187"/>
  <c r="A275" i="241" l="1"/>
  <c r="B276" i="241"/>
  <c r="B240" i="241"/>
  <c r="A239" i="241"/>
  <c r="A207" i="241"/>
  <c r="B208" i="241"/>
  <c r="B172" i="241"/>
  <c r="A171" i="241"/>
  <c r="A139" i="241"/>
  <c r="B140" i="241"/>
  <c r="A105" i="241"/>
  <c r="B106" i="241"/>
  <c r="B72" i="241"/>
  <c r="A71" i="241"/>
  <c r="A36" i="241"/>
  <c r="B37" i="241"/>
  <c r="B275" i="238"/>
  <c r="A274" i="238"/>
  <c r="A274" i="237"/>
  <c r="B275" i="237"/>
  <c r="B275" i="236"/>
  <c r="A274" i="236"/>
  <c r="A274" i="235"/>
  <c r="B275" i="235"/>
  <c r="B275" i="234"/>
  <c r="A274" i="234"/>
  <c r="B275" i="233"/>
  <c r="A274" i="233"/>
  <c r="B275" i="232"/>
  <c r="A274" i="232"/>
  <c r="B275" i="231"/>
  <c r="A274" i="231"/>
  <c r="A274" i="230"/>
  <c r="B275" i="230"/>
  <c r="A274" i="229"/>
  <c r="B275" i="229"/>
  <c r="A274" i="227"/>
  <c r="B275" i="227"/>
  <c r="A274" i="187"/>
  <c r="B275" i="187"/>
  <c r="B241" i="238"/>
  <c r="A240" i="238"/>
  <c r="B241" i="237"/>
  <c r="A240" i="237"/>
  <c r="A240" i="236"/>
  <c r="B241" i="236"/>
  <c r="B241" i="235"/>
  <c r="A240" i="235"/>
  <c r="B241" i="234"/>
  <c r="A240" i="234"/>
  <c r="B241" i="233"/>
  <c r="A240" i="233"/>
  <c r="B241" i="232"/>
  <c r="A240" i="232"/>
  <c r="B241" i="231"/>
  <c r="A240" i="231"/>
  <c r="A240" i="230"/>
  <c r="B241" i="230"/>
  <c r="B241" i="229"/>
  <c r="A240" i="229"/>
  <c r="A240" i="227"/>
  <c r="B241" i="227"/>
  <c r="A240" i="187"/>
  <c r="B241" i="187"/>
  <c r="A206" i="238"/>
  <c r="B207" i="238"/>
  <c r="B207" i="237"/>
  <c r="A206" i="237"/>
  <c r="B207" i="236"/>
  <c r="A206" i="236"/>
  <c r="A206" i="235"/>
  <c r="B207" i="235"/>
  <c r="A206" i="234"/>
  <c r="B207" i="234"/>
  <c r="A206" i="233"/>
  <c r="B207" i="233"/>
  <c r="A206" i="232"/>
  <c r="B207" i="232"/>
  <c r="A206" i="231"/>
  <c r="B207" i="231"/>
  <c r="A206" i="230"/>
  <c r="B207" i="230"/>
  <c r="A206" i="229"/>
  <c r="B207" i="229"/>
  <c r="B207" i="227"/>
  <c r="A206" i="227"/>
  <c r="B207" i="187"/>
  <c r="A206" i="187"/>
  <c r="A172" i="238"/>
  <c r="B173" i="238"/>
  <c r="A172" i="237"/>
  <c r="B173" i="237"/>
  <c r="A172" i="236"/>
  <c r="B173" i="236"/>
  <c r="A172" i="235"/>
  <c r="B173" i="235"/>
  <c r="A172" i="234"/>
  <c r="B173" i="234"/>
  <c r="B173" i="233"/>
  <c r="A172" i="233"/>
  <c r="A172" i="232"/>
  <c r="B173" i="232"/>
  <c r="A172" i="231"/>
  <c r="B173" i="231"/>
  <c r="B173" i="230"/>
  <c r="A172" i="230"/>
  <c r="A172" i="229"/>
  <c r="B173" i="229"/>
  <c r="B173" i="227"/>
  <c r="A172" i="227"/>
  <c r="A172" i="187"/>
  <c r="B173" i="187"/>
  <c r="A138" i="238"/>
  <c r="B139" i="238"/>
  <c r="A138" i="237"/>
  <c r="B139" i="237"/>
  <c r="A138" i="236"/>
  <c r="B139" i="236"/>
  <c r="A138" i="235"/>
  <c r="B139" i="235"/>
  <c r="A138" i="234"/>
  <c r="B139" i="234"/>
  <c r="A138" i="233"/>
  <c r="B139" i="233"/>
  <c r="A138" i="232"/>
  <c r="B139" i="232"/>
  <c r="A138" i="231"/>
  <c r="B139" i="231"/>
  <c r="A138" i="230"/>
  <c r="B139" i="230"/>
  <c r="A138" i="229"/>
  <c r="B139" i="229"/>
  <c r="A138" i="227"/>
  <c r="B139" i="227"/>
  <c r="A138" i="187"/>
  <c r="B139" i="187"/>
  <c r="A104" i="238"/>
  <c r="B105" i="238"/>
  <c r="B105" i="237"/>
  <c r="A104" i="237"/>
  <c r="B105" i="236"/>
  <c r="A104" i="236"/>
  <c r="A104" i="235"/>
  <c r="B105" i="235"/>
  <c r="B105" i="234"/>
  <c r="A104" i="234"/>
  <c r="A104" i="233"/>
  <c r="B105" i="233"/>
  <c r="A103" i="232"/>
  <c r="B104" i="232"/>
  <c r="A104" i="231"/>
  <c r="B105" i="231"/>
  <c r="A104" i="230"/>
  <c r="B105" i="230"/>
  <c r="A104" i="229"/>
  <c r="B105" i="229"/>
  <c r="A104" i="227"/>
  <c r="B105" i="227"/>
  <c r="A104" i="187"/>
  <c r="B105" i="187"/>
  <c r="A70" i="238"/>
  <c r="B71" i="238"/>
  <c r="B71" i="237"/>
  <c r="A70" i="237"/>
  <c r="A70" i="236"/>
  <c r="B71" i="236"/>
  <c r="A69" i="235"/>
  <c r="B70" i="235"/>
  <c r="A70" i="234"/>
  <c r="B71" i="234"/>
  <c r="B71" i="233"/>
  <c r="A70" i="233"/>
  <c r="A70" i="232"/>
  <c r="B71" i="232"/>
  <c r="A70" i="231"/>
  <c r="B71" i="231"/>
  <c r="A70" i="230"/>
  <c r="B71" i="230"/>
  <c r="B71" i="229"/>
  <c r="A70" i="229"/>
  <c r="B71" i="227"/>
  <c r="A70" i="227"/>
  <c r="B71" i="187"/>
  <c r="A70" i="187"/>
  <c r="A35" i="238"/>
  <c r="B36" i="238"/>
  <c r="A35" i="237"/>
  <c r="B36" i="237"/>
  <c r="A35" i="236"/>
  <c r="B36" i="236"/>
  <c r="A35" i="235"/>
  <c r="B36" i="235"/>
  <c r="A35" i="234"/>
  <c r="B36" i="234"/>
  <c r="A35" i="233"/>
  <c r="B36" i="233"/>
  <c r="A35" i="232"/>
  <c r="B36" i="232"/>
  <c r="A35" i="231"/>
  <c r="B36" i="231"/>
  <c r="A35" i="230"/>
  <c r="B36" i="230"/>
  <c r="A37" i="229"/>
  <c r="B38" i="229"/>
  <c r="A34" i="227"/>
  <c r="B35" i="227"/>
  <c r="B26" i="13"/>
  <c r="A25" i="13"/>
  <c r="B26" i="187"/>
  <c r="A25" i="187"/>
  <c r="B277" i="241" l="1"/>
  <c r="A276" i="241"/>
  <c r="A240" i="241"/>
  <c r="B241" i="241"/>
  <c r="B209" i="241"/>
  <c r="A208" i="241"/>
  <c r="B173" i="241"/>
  <c r="A172" i="241"/>
  <c r="B141" i="241"/>
  <c r="A140" i="241"/>
  <c r="B107" i="241"/>
  <c r="A106" i="241"/>
  <c r="A72" i="241"/>
  <c r="B73" i="241"/>
  <c r="A37" i="241"/>
  <c r="B38" i="241"/>
  <c r="A275" i="238"/>
  <c r="B276" i="238"/>
  <c r="A275" i="237"/>
  <c r="B276" i="237"/>
  <c r="A275" i="236"/>
  <c r="B276" i="236"/>
  <c r="A275" i="235"/>
  <c r="B276" i="235"/>
  <c r="A275" i="234"/>
  <c r="B276" i="234"/>
  <c r="A275" i="233"/>
  <c r="B276" i="233"/>
  <c r="A275" i="232"/>
  <c r="B276" i="232"/>
  <c r="A275" i="231"/>
  <c r="B276" i="231"/>
  <c r="A275" i="230"/>
  <c r="B276" i="230"/>
  <c r="A275" i="229"/>
  <c r="B276" i="229"/>
  <c r="A275" i="227"/>
  <c r="B276" i="227"/>
  <c r="A275" i="187"/>
  <c r="B276" i="187"/>
  <c r="A241" i="238"/>
  <c r="B242" i="238"/>
  <c r="A241" i="237"/>
  <c r="B242" i="237"/>
  <c r="A241" i="236"/>
  <c r="B242" i="236"/>
  <c r="A241" i="235"/>
  <c r="B242" i="235"/>
  <c r="A241" i="234"/>
  <c r="B242" i="234"/>
  <c r="A241" i="233"/>
  <c r="B242" i="233"/>
  <c r="A241" i="232"/>
  <c r="B242" i="232"/>
  <c r="A241" i="231"/>
  <c r="B242" i="231"/>
  <c r="A241" i="230"/>
  <c r="B242" i="230"/>
  <c r="A241" i="229"/>
  <c r="B242" i="229"/>
  <c r="A241" i="227"/>
  <c r="B242" i="227"/>
  <c r="A241" i="187"/>
  <c r="B242" i="187"/>
  <c r="A207" i="238"/>
  <c r="B208" i="238"/>
  <c r="A207" i="237"/>
  <c r="B208" i="237"/>
  <c r="A207" i="236"/>
  <c r="B208" i="236"/>
  <c r="A207" i="235"/>
  <c r="B208" i="235"/>
  <c r="A207" i="234"/>
  <c r="B208" i="234"/>
  <c r="A207" i="233"/>
  <c r="B208" i="233"/>
  <c r="A207" i="232"/>
  <c r="B208" i="232"/>
  <c r="A207" i="231"/>
  <c r="B208" i="231"/>
  <c r="A207" i="230"/>
  <c r="B208" i="230"/>
  <c r="A207" i="229"/>
  <c r="B208" i="229"/>
  <c r="A207" i="227"/>
  <c r="B208" i="227"/>
  <c r="A207" i="187"/>
  <c r="B208" i="187"/>
  <c r="A173" i="238"/>
  <c r="B174" i="238"/>
  <c r="A173" i="237"/>
  <c r="B174" i="237"/>
  <c r="A173" i="236"/>
  <c r="B174" i="236"/>
  <c r="A173" i="235"/>
  <c r="B174" i="235"/>
  <c r="A173" i="234"/>
  <c r="B174" i="234"/>
  <c r="A173" i="233"/>
  <c r="B174" i="233"/>
  <c r="A173" i="232"/>
  <c r="B174" i="232"/>
  <c r="A173" i="231"/>
  <c r="B174" i="231"/>
  <c r="A173" i="230"/>
  <c r="B174" i="230"/>
  <c r="A173" i="229"/>
  <c r="B174" i="229"/>
  <c r="A173" i="227"/>
  <c r="B174" i="227"/>
  <c r="A173" i="187"/>
  <c r="B174" i="187"/>
  <c r="A139" i="238"/>
  <c r="B140" i="238"/>
  <c r="A139" i="237"/>
  <c r="B140" i="237"/>
  <c r="A139" i="236"/>
  <c r="B140" i="236"/>
  <c r="A139" i="235"/>
  <c r="B140" i="235"/>
  <c r="A139" i="234"/>
  <c r="B140" i="234"/>
  <c r="A139" i="233"/>
  <c r="B140" i="233"/>
  <c r="A139" i="232"/>
  <c r="B140" i="232"/>
  <c r="A139" i="231"/>
  <c r="B140" i="231"/>
  <c r="A139" i="230"/>
  <c r="B140" i="230"/>
  <c r="A139" i="229"/>
  <c r="B140" i="229"/>
  <c r="A139" i="227"/>
  <c r="B140" i="227"/>
  <c r="A139" i="187"/>
  <c r="B140" i="187"/>
  <c r="A105" i="238"/>
  <c r="B106" i="238"/>
  <c r="A105" i="237"/>
  <c r="B106" i="237"/>
  <c r="A105" i="236"/>
  <c r="B106" i="236"/>
  <c r="A105" i="235"/>
  <c r="B106" i="235"/>
  <c r="A105" i="234"/>
  <c r="B106" i="234"/>
  <c r="A105" i="233"/>
  <c r="B106" i="233"/>
  <c r="A104" i="232"/>
  <c r="B105" i="232"/>
  <c r="A105" i="231"/>
  <c r="B106" i="231"/>
  <c r="A105" i="230"/>
  <c r="B106" i="230"/>
  <c r="A105" i="229"/>
  <c r="B106" i="229"/>
  <c r="A105" i="227"/>
  <c r="B106" i="227"/>
  <c r="A105" i="187"/>
  <c r="B106" i="187"/>
  <c r="A71" i="238"/>
  <c r="B72" i="238"/>
  <c r="A71" i="237"/>
  <c r="B72" i="237"/>
  <c r="A71" i="236"/>
  <c r="B72" i="236"/>
  <c r="B71" i="235"/>
  <c r="A70" i="235"/>
  <c r="A71" i="234"/>
  <c r="B72" i="234"/>
  <c r="A71" i="233"/>
  <c r="B72" i="233"/>
  <c r="A71" i="232"/>
  <c r="B72" i="232"/>
  <c r="A71" i="231"/>
  <c r="B72" i="231"/>
  <c r="A71" i="230"/>
  <c r="B72" i="230"/>
  <c r="A71" i="229"/>
  <c r="B72" i="229"/>
  <c r="A71" i="227"/>
  <c r="B72" i="227"/>
  <c r="A71" i="187"/>
  <c r="B72" i="187"/>
  <c r="A36" i="238"/>
  <c r="B37" i="238"/>
  <c r="A36" i="237"/>
  <c r="B37" i="237"/>
  <c r="A36" i="236"/>
  <c r="B37" i="236"/>
  <c r="A36" i="235"/>
  <c r="B37" i="235"/>
  <c r="A36" i="234"/>
  <c r="B37" i="234"/>
  <c r="A36" i="233"/>
  <c r="B37" i="233"/>
  <c r="A36" i="232"/>
  <c r="B37" i="232"/>
  <c r="A36" i="231"/>
  <c r="B37" i="231"/>
  <c r="A36" i="230"/>
  <c r="B37" i="230"/>
  <c r="B39" i="229"/>
  <c r="A38" i="229"/>
  <c r="A35" i="227"/>
  <c r="B36" i="227"/>
  <c r="A26" i="13"/>
  <c r="B27" i="13"/>
  <c r="A26" i="187"/>
  <c r="B27" i="187"/>
  <c r="A277" i="241" l="1"/>
  <c r="B278" i="241"/>
  <c r="A241" i="241"/>
  <c r="B242" i="241"/>
  <c r="A209" i="241"/>
  <c r="B210" i="241"/>
  <c r="A173" i="241"/>
  <c r="B174" i="241"/>
  <c r="A141" i="241"/>
  <c r="B142" i="241"/>
  <c r="A107" i="241"/>
  <c r="B108" i="241"/>
  <c r="A73" i="241"/>
  <c r="B74" i="241"/>
  <c r="A38" i="241"/>
  <c r="B39" i="241"/>
  <c r="B277" i="238"/>
  <c r="A276" i="238"/>
  <c r="B277" i="237"/>
  <c r="A276" i="237"/>
  <c r="A276" i="236"/>
  <c r="B277" i="236"/>
  <c r="B277" i="235"/>
  <c r="A276" i="235"/>
  <c r="B277" i="234"/>
  <c r="A276" i="234"/>
  <c r="B277" i="233"/>
  <c r="A276" i="233"/>
  <c r="B277" i="232"/>
  <c r="A276" i="232"/>
  <c r="B277" i="231"/>
  <c r="A276" i="231"/>
  <c r="B277" i="230"/>
  <c r="A276" i="230"/>
  <c r="B277" i="229"/>
  <c r="A276" i="229"/>
  <c r="B277" i="227"/>
  <c r="A276" i="227"/>
  <c r="B277" i="187"/>
  <c r="A276" i="187"/>
  <c r="B243" i="238"/>
  <c r="A242" i="238"/>
  <c r="B243" i="237"/>
  <c r="A242" i="237"/>
  <c r="B243" i="236"/>
  <c r="A242" i="236"/>
  <c r="B243" i="235"/>
  <c r="A242" i="235"/>
  <c r="B243" i="234"/>
  <c r="A242" i="234"/>
  <c r="B243" i="233"/>
  <c r="A242" i="233"/>
  <c r="B243" i="232"/>
  <c r="A242" i="232"/>
  <c r="B243" i="231"/>
  <c r="A242" i="231"/>
  <c r="B243" i="230"/>
  <c r="A242" i="230"/>
  <c r="B243" i="229"/>
  <c r="A242" i="229"/>
  <c r="B243" i="227"/>
  <c r="A242" i="227"/>
  <c r="B243" i="187"/>
  <c r="A242" i="187"/>
  <c r="B209" i="238"/>
  <c r="A208" i="238"/>
  <c r="B209" i="237"/>
  <c r="A208" i="237"/>
  <c r="B209" i="236"/>
  <c r="A208" i="236"/>
  <c r="B209" i="235"/>
  <c r="A208" i="235"/>
  <c r="B209" i="234"/>
  <c r="A208" i="234"/>
  <c r="B209" i="233"/>
  <c r="A208" i="233"/>
  <c r="B209" i="232"/>
  <c r="A208" i="232"/>
  <c r="B209" i="231"/>
  <c r="A208" i="231"/>
  <c r="B209" i="230"/>
  <c r="A208" i="230"/>
  <c r="B209" i="229"/>
  <c r="A208" i="229"/>
  <c r="B209" i="227"/>
  <c r="A208" i="227"/>
  <c r="B209" i="187"/>
  <c r="A208" i="187"/>
  <c r="B175" i="238"/>
  <c r="A174" i="238"/>
  <c r="B175" i="237"/>
  <c r="A174" i="237"/>
  <c r="B175" i="236"/>
  <c r="A174" i="236"/>
  <c r="B175" i="235"/>
  <c r="A174" i="235"/>
  <c r="B175" i="234"/>
  <c r="A174" i="234"/>
  <c r="B175" i="233"/>
  <c r="A174" i="233"/>
  <c r="B175" i="232"/>
  <c r="A174" i="232"/>
  <c r="B175" i="231"/>
  <c r="A174" i="231"/>
  <c r="B175" i="230"/>
  <c r="A174" i="230"/>
  <c r="B175" i="229"/>
  <c r="A174" i="229"/>
  <c r="B175" i="227"/>
  <c r="A174" i="227"/>
  <c r="B175" i="187"/>
  <c r="A174" i="187"/>
  <c r="B141" i="238"/>
  <c r="A140" i="238"/>
  <c r="B141" i="237"/>
  <c r="A140" i="237"/>
  <c r="B141" i="236"/>
  <c r="A140" i="236"/>
  <c r="B141" i="235"/>
  <c r="A140" i="235"/>
  <c r="B141" i="234"/>
  <c r="A140" i="234"/>
  <c r="B141" i="233"/>
  <c r="A140" i="233"/>
  <c r="B141" i="232"/>
  <c r="A140" i="232"/>
  <c r="B141" i="231"/>
  <c r="A140" i="231"/>
  <c r="B141" i="230"/>
  <c r="A140" i="230"/>
  <c r="B141" i="229"/>
  <c r="A140" i="229"/>
  <c r="B141" i="227"/>
  <c r="A140" i="227"/>
  <c r="B141" i="187"/>
  <c r="A140" i="187"/>
  <c r="B107" i="238"/>
  <c r="A106" i="238"/>
  <c r="B107" i="237"/>
  <c r="A106" i="237"/>
  <c r="B107" i="236"/>
  <c r="A106" i="236"/>
  <c r="B107" i="235"/>
  <c r="A106" i="235"/>
  <c r="B107" i="234"/>
  <c r="A106" i="234"/>
  <c r="B107" i="233"/>
  <c r="A106" i="233"/>
  <c r="A105" i="232"/>
  <c r="B106" i="232"/>
  <c r="B107" i="231"/>
  <c r="A106" i="231"/>
  <c r="B107" i="230"/>
  <c r="A106" i="230"/>
  <c r="B107" i="229"/>
  <c r="A106" i="229"/>
  <c r="B107" i="227"/>
  <c r="A106" i="227"/>
  <c r="B107" i="187"/>
  <c r="A106" i="187"/>
  <c r="B73" i="238"/>
  <c r="A72" i="238"/>
  <c r="B73" i="237"/>
  <c r="A72" i="237"/>
  <c r="B73" i="236"/>
  <c r="A72" i="236"/>
  <c r="A71" i="235"/>
  <c r="B72" i="235"/>
  <c r="B73" i="234"/>
  <c r="A72" i="234"/>
  <c r="B73" i="233"/>
  <c r="A72" i="233"/>
  <c r="B73" i="232"/>
  <c r="A72" i="232"/>
  <c r="B73" i="231"/>
  <c r="A72" i="231"/>
  <c r="B73" i="230"/>
  <c r="A72" i="230"/>
  <c r="B73" i="229"/>
  <c r="A72" i="229"/>
  <c r="B73" i="227"/>
  <c r="A72" i="227"/>
  <c r="B73" i="187"/>
  <c r="A72" i="187"/>
  <c r="A37" i="238"/>
  <c r="B38" i="238"/>
  <c r="A37" i="237"/>
  <c r="B38" i="237"/>
  <c r="A37" i="236"/>
  <c r="B38" i="236"/>
  <c r="A37" i="235"/>
  <c r="B38" i="235"/>
  <c r="A37" i="234"/>
  <c r="B38" i="234"/>
  <c r="A37" i="233"/>
  <c r="B38" i="233"/>
  <c r="A37" i="232"/>
  <c r="B38" i="232"/>
  <c r="A37" i="231"/>
  <c r="B38" i="231"/>
  <c r="A37" i="230"/>
  <c r="B38" i="230"/>
  <c r="A39" i="229"/>
  <c r="B40" i="229"/>
  <c r="A36" i="227"/>
  <c r="B37" i="227"/>
  <c r="B28" i="13"/>
  <c r="A27" i="13"/>
  <c r="A27" i="187"/>
  <c r="B28" i="187"/>
  <c r="B279" i="241" l="1"/>
  <c r="A278" i="241"/>
  <c r="B243" i="241"/>
  <c r="A242" i="241"/>
  <c r="B211" i="241"/>
  <c r="A210" i="241"/>
  <c r="A174" i="241"/>
  <c r="B175" i="241"/>
  <c r="B143" i="241"/>
  <c r="A142" i="241"/>
  <c r="B109" i="241"/>
  <c r="A108" i="241"/>
  <c r="B75" i="241"/>
  <c r="A74" i="241"/>
  <c r="B40" i="241"/>
  <c r="A39" i="241"/>
  <c r="A277" i="238"/>
  <c r="B278" i="238"/>
  <c r="A277" i="237"/>
  <c r="B278" i="237"/>
  <c r="A277" i="236"/>
  <c r="B278" i="236"/>
  <c r="A277" i="235"/>
  <c r="B278" i="235"/>
  <c r="A277" i="234"/>
  <c r="B278" i="234"/>
  <c r="B278" i="233"/>
  <c r="A277" i="233"/>
  <c r="B278" i="232"/>
  <c r="A277" i="232"/>
  <c r="A277" i="231"/>
  <c r="B278" i="231"/>
  <c r="A277" i="230"/>
  <c r="B278" i="230"/>
  <c r="A277" i="229"/>
  <c r="B278" i="229"/>
  <c r="A277" i="227"/>
  <c r="B278" i="227"/>
  <c r="A277" i="187"/>
  <c r="B278" i="187"/>
  <c r="A243" i="238"/>
  <c r="B244" i="238"/>
  <c r="A243" i="237"/>
  <c r="B244" i="237"/>
  <c r="A243" i="236"/>
  <c r="B244" i="236"/>
  <c r="A243" i="235"/>
  <c r="B244" i="235"/>
  <c r="A243" i="234"/>
  <c r="B244" i="234"/>
  <c r="B244" i="233"/>
  <c r="A243" i="233"/>
  <c r="A243" i="232"/>
  <c r="B244" i="232"/>
  <c r="B244" i="231"/>
  <c r="A243" i="231"/>
  <c r="A243" i="230"/>
  <c r="B244" i="230"/>
  <c r="A243" i="229"/>
  <c r="B244" i="229"/>
  <c r="A243" i="227"/>
  <c r="B244" i="227"/>
  <c r="A243" i="187"/>
  <c r="B244" i="187"/>
  <c r="A209" i="238"/>
  <c r="B210" i="238"/>
  <c r="A209" i="237"/>
  <c r="B210" i="237"/>
  <c r="A209" i="236"/>
  <c r="B210" i="236"/>
  <c r="A209" i="235"/>
  <c r="B210" i="235"/>
  <c r="A209" i="234"/>
  <c r="B210" i="234"/>
  <c r="A209" i="233"/>
  <c r="B210" i="233"/>
  <c r="A209" i="232"/>
  <c r="B210" i="232"/>
  <c r="A209" i="231"/>
  <c r="B210" i="231"/>
  <c r="A209" i="230"/>
  <c r="B210" i="230"/>
  <c r="A209" i="229"/>
  <c r="B210" i="229"/>
  <c r="A209" i="227"/>
  <c r="B210" i="227"/>
  <c r="A209" i="187"/>
  <c r="B210" i="187"/>
  <c r="A175" i="238"/>
  <c r="B176" i="238"/>
  <c r="A175" i="237"/>
  <c r="B176" i="237"/>
  <c r="A175" i="236"/>
  <c r="B176" i="236"/>
  <c r="A175" i="235"/>
  <c r="B176" i="235"/>
  <c r="A175" i="234"/>
  <c r="B176" i="234"/>
  <c r="A175" i="233"/>
  <c r="B176" i="233"/>
  <c r="A175" i="232"/>
  <c r="B176" i="232"/>
  <c r="A175" i="231"/>
  <c r="B176" i="231"/>
  <c r="A175" i="230"/>
  <c r="B176" i="230"/>
  <c r="A175" i="229"/>
  <c r="B176" i="229"/>
  <c r="A175" i="227"/>
  <c r="B176" i="227"/>
  <c r="A175" i="187"/>
  <c r="B176" i="187"/>
  <c r="A141" i="238"/>
  <c r="B142" i="238"/>
  <c r="A141" i="237"/>
  <c r="B142" i="237"/>
  <c r="A141" i="236"/>
  <c r="B142" i="236"/>
  <c r="A141" i="235"/>
  <c r="B142" i="235"/>
  <c r="A141" i="234"/>
  <c r="B142" i="234"/>
  <c r="A141" i="233"/>
  <c r="B142" i="233"/>
  <c r="A141" i="232"/>
  <c r="B142" i="232"/>
  <c r="A141" i="231"/>
  <c r="B142" i="231"/>
  <c r="A141" i="230"/>
  <c r="B142" i="230"/>
  <c r="A141" i="229"/>
  <c r="B142" i="229"/>
  <c r="A141" i="227"/>
  <c r="B142" i="227"/>
  <c r="A141" i="187"/>
  <c r="B142" i="187"/>
  <c r="A107" i="238"/>
  <c r="B108" i="238"/>
  <c r="A107" i="237"/>
  <c r="B108" i="237"/>
  <c r="A107" i="236"/>
  <c r="B108" i="236"/>
  <c r="A107" i="235"/>
  <c r="B108" i="235"/>
  <c r="A107" i="234"/>
  <c r="B108" i="234"/>
  <c r="A107" i="233"/>
  <c r="B108" i="233"/>
  <c r="B107" i="232"/>
  <c r="A106" i="232"/>
  <c r="A107" i="231"/>
  <c r="B108" i="231"/>
  <c r="A107" i="230"/>
  <c r="B108" i="230"/>
  <c r="A107" i="229"/>
  <c r="B108" i="229"/>
  <c r="A107" i="227"/>
  <c r="B108" i="227"/>
  <c r="A107" i="187"/>
  <c r="B108" i="187"/>
  <c r="B74" i="238"/>
  <c r="A73" i="238"/>
  <c r="A73" i="237"/>
  <c r="B74" i="237"/>
  <c r="A73" i="236"/>
  <c r="B74" i="236"/>
  <c r="B73" i="235"/>
  <c r="A72" i="235"/>
  <c r="B74" i="234"/>
  <c r="A73" i="234"/>
  <c r="A73" i="233"/>
  <c r="B74" i="233"/>
  <c r="A73" i="232"/>
  <c r="B74" i="232"/>
  <c r="A73" i="231"/>
  <c r="B74" i="231"/>
  <c r="A73" i="230"/>
  <c r="B74" i="230"/>
  <c r="B74" i="229"/>
  <c r="A73" i="229"/>
  <c r="A73" i="227"/>
  <c r="B74" i="227"/>
  <c r="A73" i="187"/>
  <c r="B74" i="187"/>
  <c r="B39" i="238"/>
  <c r="A38" i="238"/>
  <c r="B39" i="237"/>
  <c r="A38" i="237"/>
  <c r="B39" i="236"/>
  <c r="A38" i="236"/>
  <c r="B39" i="235"/>
  <c r="A38" i="235"/>
  <c r="B39" i="234"/>
  <c r="A38" i="234"/>
  <c r="B39" i="233"/>
  <c r="A38" i="233"/>
  <c r="B39" i="232"/>
  <c r="A38" i="232"/>
  <c r="B39" i="231"/>
  <c r="A38" i="231"/>
  <c r="B39" i="230"/>
  <c r="A38" i="230"/>
  <c r="B41" i="229"/>
  <c r="A40" i="229"/>
  <c r="A37" i="227"/>
  <c r="B38" i="227"/>
  <c r="B29" i="13"/>
  <c r="A28" i="13"/>
  <c r="A28" i="187"/>
  <c r="B29" i="187"/>
  <c r="A279" i="241" l="1"/>
  <c r="A243" i="241"/>
  <c r="B244" i="241"/>
  <c r="A211" i="241"/>
  <c r="B176" i="241"/>
  <c r="A175" i="241"/>
  <c r="A143" i="241"/>
  <c r="A109" i="241"/>
  <c r="A75" i="241"/>
  <c r="B41" i="241"/>
  <c r="A40" i="241"/>
  <c r="A278" i="238"/>
  <c r="B279" i="238"/>
  <c r="B279" i="237"/>
  <c r="A278" i="237"/>
  <c r="A278" i="236"/>
  <c r="B279" i="236"/>
  <c r="B279" i="235"/>
  <c r="A278" i="235"/>
  <c r="B279" i="234"/>
  <c r="A278" i="234"/>
  <c r="A278" i="233"/>
  <c r="B279" i="233"/>
  <c r="A278" i="232"/>
  <c r="B279" i="232"/>
  <c r="A278" i="231"/>
  <c r="B279" i="231"/>
  <c r="B279" i="230"/>
  <c r="A278" i="230"/>
  <c r="B279" i="229"/>
  <c r="A278" i="229"/>
  <c r="A278" i="227"/>
  <c r="B279" i="227"/>
  <c r="B279" i="187"/>
  <c r="A278" i="187"/>
  <c r="B245" i="238"/>
  <c r="A244" i="238"/>
  <c r="B245" i="237"/>
  <c r="A244" i="237"/>
  <c r="B245" i="236"/>
  <c r="A244" i="236"/>
  <c r="B245" i="235"/>
  <c r="A244" i="235"/>
  <c r="B245" i="234"/>
  <c r="A244" i="234"/>
  <c r="B245" i="233"/>
  <c r="A244" i="233"/>
  <c r="A244" i="232"/>
  <c r="B245" i="232"/>
  <c r="A244" i="231"/>
  <c r="B245" i="231"/>
  <c r="B245" i="230"/>
  <c r="A244" i="230"/>
  <c r="B245" i="229"/>
  <c r="A244" i="229"/>
  <c r="B245" i="227"/>
  <c r="A244" i="227"/>
  <c r="B245" i="187"/>
  <c r="A244" i="187"/>
  <c r="B211" i="238"/>
  <c r="A210" i="238"/>
  <c r="B211" i="237"/>
  <c r="A210" i="237"/>
  <c r="B211" i="236"/>
  <c r="A210" i="236"/>
  <c r="B211" i="235"/>
  <c r="A210" i="235"/>
  <c r="B211" i="234"/>
  <c r="A210" i="234"/>
  <c r="B211" i="233"/>
  <c r="A210" i="233"/>
  <c r="B211" i="232"/>
  <c r="A210" i="232"/>
  <c r="B211" i="231"/>
  <c r="A210" i="231"/>
  <c r="B211" i="230"/>
  <c r="A210" i="230"/>
  <c r="B211" i="229"/>
  <c r="A210" i="229"/>
  <c r="B211" i="227"/>
  <c r="A210" i="227"/>
  <c r="B211" i="187"/>
  <c r="A210" i="187"/>
  <c r="B177" i="238"/>
  <c r="A176" i="238"/>
  <c r="B177" i="237"/>
  <c r="A176" i="237"/>
  <c r="B177" i="236"/>
  <c r="A176" i="236"/>
  <c r="B177" i="235"/>
  <c r="A176" i="235"/>
  <c r="B177" i="234"/>
  <c r="A176" i="234"/>
  <c r="B177" i="233"/>
  <c r="A176" i="233"/>
  <c r="B177" i="232"/>
  <c r="A176" i="232"/>
  <c r="B177" i="231"/>
  <c r="A176" i="231"/>
  <c r="B177" i="230"/>
  <c r="A176" i="230"/>
  <c r="B177" i="229"/>
  <c r="A176" i="229"/>
  <c r="B177" i="227"/>
  <c r="A176" i="227"/>
  <c r="B177" i="187"/>
  <c r="A176" i="187"/>
  <c r="B143" i="238"/>
  <c r="A142" i="238"/>
  <c r="B143" i="237"/>
  <c r="A142" i="237"/>
  <c r="B143" i="236"/>
  <c r="A142" i="236"/>
  <c r="B143" i="235"/>
  <c r="A142" i="235"/>
  <c r="B143" i="234"/>
  <c r="A142" i="234"/>
  <c r="B143" i="233"/>
  <c r="A142" i="233"/>
  <c r="B143" i="232"/>
  <c r="A142" i="232"/>
  <c r="B143" i="231"/>
  <c r="A142" i="231"/>
  <c r="B143" i="230"/>
  <c r="A142" i="230"/>
  <c r="B143" i="229"/>
  <c r="A142" i="229"/>
  <c r="B143" i="227"/>
  <c r="A142" i="227"/>
  <c r="B143" i="187"/>
  <c r="A142" i="187"/>
  <c r="B109" i="238"/>
  <c r="A108" i="238"/>
  <c r="B109" i="237"/>
  <c r="A108" i="237"/>
  <c r="B109" i="236"/>
  <c r="A108" i="236"/>
  <c r="B109" i="235"/>
  <c r="A108" i="235"/>
  <c r="B109" i="234"/>
  <c r="A108" i="234"/>
  <c r="B109" i="233"/>
  <c r="A108" i="233"/>
  <c r="A107" i="232"/>
  <c r="B108" i="232"/>
  <c r="B109" i="231"/>
  <c r="A108" i="231"/>
  <c r="B109" i="230"/>
  <c r="A108" i="230"/>
  <c r="B109" i="229"/>
  <c r="A108" i="229"/>
  <c r="B109" i="227"/>
  <c r="A108" i="227"/>
  <c r="B109" i="187"/>
  <c r="A108" i="187"/>
  <c r="B75" i="238"/>
  <c r="A74" i="238"/>
  <c r="A74" i="237"/>
  <c r="B75" i="237"/>
  <c r="B75" i="236"/>
  <c r="A74" i="236"/>
  <c r="A73" i="235"/>
  <c r="B74" i="235"/>
  <c r="B75" i="234"/>
  <c r="A74" i="234"/>
  <c r="B75" i="233"/>
  <c r="A74" i="233"/>
  <c r="B75" i="232"/>
  <c r="A74" i="232"/>
  <c r="B75" i="231"/>
  <c r="A74" i="231"/>
  <c r="B75" i="230"/>
  <c r="A74" i="230"/>
  <c r="B75" i="229"/>
  <c r="A74" i="229"/>
  <c r="B75" i="227"/>
  <c r="A74" i="227"/>
  <c r="B75" i="187"/>
  <c r="A74" i="187"/>
  <c r="A39" i="238"/>
  <c r="B40" i="238"/>
  <c r="A39" i="237"/>
  <c r="B40" i="237"/>
  <c r="A39" i="236"/>
  <c r="B40" i="236"/>
  <c r="B40" i="235"/>
  <c r="A39" i="235"/>
  <c r="A39" i="234"/>
  <c r="B40" i="234"/>
  <c r="A39" i="233"/>
  <c r="B40" i="233"/>
  <c r="A39" i="232"/>
  <c r="B40" i="232"/>
  <c r="A39" i="231"/>
  <c r="B40" i="231"/>
  <c r="A39" i="230"/>
  <c r="B40" i="230"/>
  <c r="A41" i="229"/>
  <c r="B39" i="227"/>
  <c r="A38" i="227"/>
  <c r="B30" i="13"/>
  <c r="A29" i="13"/>
  <c r="B30" i="187"/>
  <c r="A29" i="187"/>
  <c r="B245" i="241" l="1"/>
  <c r="A244" i="241"/>
  <c r="A176" i="241"/>
  <c r="B177" i="241"/>
  <c r="A41" i="241"/>
  <c r="A279" i="238"/>
  <c r="A279" i="237"/>
  <c r="A279" i="236"/>
  <c r="A279" i="235"/>
  <c r="A279" i="234"/>
  <c r="A279" i="233"/>
  <c r="A279" i="232"/>
  <c r="A279" i="231"/>
  <c r="A279" i="230"/>
  <c r="A279" i="229"/>
  <c r="A279" i="227"/>
  <c r="A279" i="187"/>
  <c r="A245" i="238"/>
  <c r="A245" i="237"/>
  <c r="A245" i="236"/>
  <c r="A245" i="235"/>
  <c r="A245" i="234"/>
  <c r="A245" i="233"/>
  <c r="A245" i="232"/>
  <c r="A245" i="231"/>
  <c r="A245" i="230"/>
  <c r="A245" i="229"/>
  <c r="A245" i="227"/>
  <c r="A245" i="187"/>
  <c r="A211" i="238"/>
  <c r="A211" i="237"/>
  <c r="A211" i="236"/>
  <c r="A211" i="235"/>
  <c r="A211" i="234"/>
  <c r="A211" i="233"/>
  <c r="A211" i="232"/>
  <c r="A211" i="231"/>
  <c r="A211" i="230"/>
  <c r="A211" i="229"/>
  <c r="A211" i="227"/>
  <c r="A211" i="187"/>
  <c r="A177" i="238"/>
  <c r="A177" i="237"/>
  <c r="A177" i="236"/>
  <c r="A177" i="235"/>
  <c r="A177" i="234"/>
  <c r="A177" i="233"/>
  <c r="A177" i="232"/>
  <c r="A177" i="231"/>
  <c r="A177" i="230"/>
  <c r="A177" i="229"/>
  <c r="A177" i="227"/>
  <c r="A177" i="187"/>
  <c r="A143" i="238"/>
  <c r="A143" i="237"/>
  <c r="A143" i="236"/>
  <c r="A143" i="235"/>
  <c r="A143" i="234"/>
  <c r="A143" i="233"/>
  <c r="A143" i="232"/>
  <c r="A143" i="231"/>
  <c r="A143" i="230"/>
  <c r="A143" i="229"/>
  <c r="A143" i="227"/>
  <c r="A143" i="187"/>
  <c r="A109" i="238"/>
  <c r="A109" i="237"/>
  <c r="A109" i="236"/>
  <c r="A109" i="235"/>
  <c r="A109" i="234"/>
  <c r="A109" i="233"/>
  <c r="B109" i="232"/>
  <c r="A109" i="232" s="1"/>
  <c r="A108" i="232"/>
  <c r="A109" i="231"/>
  <c r="A109" i="230"/>
  <c r="A109" i="229"/>
  <c r="A109" i="227"/>
  <c r="A109" i="187"/>
  <c r="A75" i="238"/>
  <c r="A75" i="237"/>
  <c r="A75" i="236"/>
  <c r="B75" i="235"/>
  <c r="A74" i="235"/>
  <c r="A75" i="234"/>
  <c r="A75" i="233"/>
  <c r="A75" i="232"/>
  <c r="A75" i="231"/>
  <c r="A75" i="230"/>
  <c r="A75" i="229"/>
  <c r="A75" i="227"/>
  <c r="A75" i="187"/>
  <c r="B41" i="238"/>
  <c r="A40" i="238"/>
  <c r="B41" i="237"/>
  <c r="A40" i="237"/>
  <c r="B41" i="236"/>
  <c r="A40" i="236"/>
  <c r="B41" i="235"/>
  <c r="A40" i="235"/>
  <c r="B41" i="234"/>
  <c r="A40" i="234"/>
  <c r="B41" i="233"/>
  <c r="A40" i="233"/>
  <c r="B41" i="232"/>
  <c r="A41" i="232" s="1"/>
  <c r="A40" i="232"/>
  <c r="B41" i="231"/>
  <c r="A40" i="231"/>
  <c r="B41" i="230"/>
  <c r="A40" i="230"/>
  <c r="A39" i="227"/>
  <c r="B40" i="227"/>
  <c r="B31" i="13"/>
  <c r="A30" i="13"/>
  <c r="A30" i="187"/>
  <c r="B31" i="187"/>
  <c r="T23" i="229"/>
  <c r="BL69" i="241"/>
  <c r="AD113" i="241"/>
  <c r="T79" i="241"/>
  <c r="T35" i="229"/>
  <c r="BL45" i="241"/>
  <c r="AF35" i="241"/>
  <c r="AB57" i="241"/>
  <c r="T91" i="241"/>
  <c r="AR28" i="241"/>
  <c r="AF45" i="241"/>
  <c r="X23" i="241"/>
  <c r="AT11" i="241"/>
  <c r="AF44" i="241"/>
  <c r="R113" i="241"/>
  <c r="T11" i="229"/>
  <c r="AP11" i="241"/>
  <c r="X130" i="241"/>
  <c r="Y130" i="241" s="1"/>
  <c r="AR57" i="241"/>
  <c r="BD23" i="241"/>
  <c r="Z45" i="241"/>
  <c r="R11" i="229"/>
  <c r="BD35" i="241"/>
  <c r="AB23" i="241"/>
  <c r="T28" i="232"/>
  <c r="T28" i="229"/>
  <c r="AZ11" i="241"/>
  <c r="AB79" i="241"/>
  <c r="AZ79" i="241"/>
  <c r="AC79" i="241"/>
  <c r="AV137" i="241"/>
  <c r="T96" i="241"/>
  <c r="AR79" i="241"/>
  <c r="T45" i="241"/>
  <c r="T23" i="232"/>
  <c r="U23" i="232" s="1"/>
  <c r="BD62" i="241"/>
  <c r="T10" i="229"/>
  <c r="T22" i="229"/>
  <c r="U10" i="229"/>
  <c r="T37" i="229"/>
  <c r="U37" i="229" s="1"/>
  <c r="A177" i="241" l="1"/>
  <c r="A245" i="241"/>
  <c r="B1" i="229"/>
  <c r="D1" i="229"/>
  <c r="F1" i="229"/>
  <c r="A75" i="235"/>
  <c r="A41" i="238"/>
  <c r="A41" i="237"/>
  <c r="A41" i="236"/>
  <c r="A41" i="235"/>
  <c r="A41" i="234"/>
  <c r="A41" i="233"/>
  <c r="D1" i="232"/>
  <c r="B1" i="232"/>
  <c r="F1" i="232"/>
  <c r="A41" i="231"/>
  <c r="A41" i="230"/>
  <c r="T39" i="229"/>
  <c r="B41" i="227"/>
  <c r="A40" i="227"/>
  <c r="A31" i="13"/>
  <c r="B32" i="13"/>
  <c r="A31" i="187"/>
  <c r="B32" i="187"/>
  <c r="U22" i="229"/>
  <c r="U35" i="229"/>
  <c r="T62" i="241"/>
  <c r="AF130" i="241"/>
  <c r="AG130" i="241" s="1"/>
  <c r="AZ23" i="241"/>
  <c r="AB130" i="241"/>
  <c r="AC130" i="241" s="1"/>
  <c r="BL113" i="241"/>
  <c r="BL79" i="241"/>
  <c r="BL130" i="241"/>
  <c r="BF79" i="241"/>
  <c r="BH96" i="241"/>
  <c r="BD137" i="241"/>
  <c r="BD28" i="241"/>
  <c r="AZ57" i="241"/>
  <c r="AZ125" i="241"/>
  <c r="AV125" i="241"/>
  <c r="AV11" i="241"/>
  <c r="AV69" i="241"/>
  <c r="AP79" i="241"/>
  <c r="AR45" i="241"/>
  <c r="AR62" i="241"/>
  <c r="AN125" i="241"/>
  <c r="AN11" i="241"/>
  <c r="AJ125" i="241"/>
  <c r="AJ35" i="241"/>
  <c r="AF11" i="241"/>
  <c r="AF23" i="241"/>
  <c r="AB45" i="241"/>
  <c r="AB96" i="241"/>
  <c r="V113" i="241"/>
  <c r="V45" i="241"/>
  <c r="X45" i="241"/>
  <c r="T28" i="241"/>
  <c r="T239" i="238"/>
  <c r="T215" i="232"/>
  <c r="T205" i="238"/>
  <c r="T181" i="232"/>
  <c r="R147" i="232"/>
  <c r="T113" i="238"/>
  <c r="R113" i="232"/>
  <c r="T113" i="229"/>
  <c r="T103" i="232"/>
  <c r="T62" i="238"/>
  <c r="T214" i="232"/>
  <c r="X44" i="241"/>
  <c r="AC23" i="241"/>
  <c r="AK35" i="241"/>
  <c r="AS79" i="241"/>
  <c r="AS45" i="241"/>
  <c r="AW125" i="241"/>
  <c r="BA57" i="241"/>
  <c r="AB113" i="241"/>
  <c r="AC113" i="241" s="1"/>
  <c r="X125" i="241"/>
  <c r="T137" i="241"/>
  <c r="T261" i="232"/>
  <c r="T232" i="232"/>
  <c r="R181" i="232"/>
  <c r="R146" i="232"/>
  <c r="T125" i="238"/>
  <c r="T112" i="229"/>
  <c r="T45" i="232"/>
  <c r="T41" i="229"/>
  <c r="U103" i="232"/>
  <c r="U215" i="232"/>
  <c r="T90" i="241"/>
  <c r="Y125" i="241"/>
  <c r="AW137" i="241"/>
  <c r="BE28" i="241"/>
  <c r="T180" i="232"/>
  <c r="X124" i="241"/>
  <c r="AG23" i="241"/>
  <c r="AO125" i="241"/>
  <c r="AS62" i="241"/>
  <c r="AW11" i="241"/>
  <c r="BA125" i="241"/>
  <c r="U28" i="229"/>
  <c r="AF91" i="241"/>
  <c r="T113" i="241"/>
  <c r="AV28" i="241"/>
  <c r="BL103" i="241"/>
  <c r="BL35" i="241"/>
  <c r="BH57" i="241"/>
  <c r="BD130" i="241"/>
  <c r="BD45" i="241"/>
  <c r="BE45" i="241" s="1"/>
  <c r="AZ96" i="241"/>
  <c r="BA96" i="241" s="1"/>
  <c r="AX79" i="241"/>
  <c r="AV45" i="241"/>
  <c r="AV113" i="241"/>
  <c r="AR113" i="241"/>
  <c r="AR112" i="241" s="1"/>
  <c r="AR96" i="241"/>
  <c r="AR23" i="241"/>
  <c r="AL11" i="241"/>
  <c r="AL10" i="241" s="1"/>
  <c r="AJ113" i="241"/>
  <c r="AJ112" i="241" s="1"/>
  <c r="AF28" i="241"/>
  <c r="AB112" i="241"/>
  <c r="U45" i="241"/>
  <c r="U79" i="241"/>
  <c r="T125" i="241"/>
  <c r="BL62" i="241"/>
  <c r="T35" i="232"/>
  <c r="AF137" i="241"/>
  <c r="BL137" i="241"/>
  <c r="BM137" i="241" s="1"/>
  <c r="BL11" i="241"/>
  <c r="BL23" i="241"/>
  <c r="BH91" i="241"/>
  <c r="BI91" i="241" s="1"/>
  <c r="BH45" i="241"/>
  <c r="BF45" i="241"/>
  <c r="AT79" i="241"/>
  <c r="AT10" i="241"/>
  <c r="AT113" i="241"/>
  <c r="AR130" i="241"/>
  <c r="AN103" i="241"/>
  <c r="AN113" i="241"/>
  <c r="AL113" i="241"/>
  <c r="AJ130" i="241"/>
  <c r="AJ62" i="241"/>
  <c r="AF10" i="241"/>
  <c r="X91" i="241"/>
  <c r="X35" i="241"/>
  <c r="T35" i="241"/>
  <c r="T232" i="238"/>
  <c r="T193" i="229"/>
  <c r="R147" i="229"/>
  <c r="T113" i="232"/>
  <c r="T69" i="229"/>
  <c r="T112" i="232"/>
  <c r="AW113" i="241"/>
  <c r="U113" i="232"/>
  <c r="AK62" i="241"/>
  <c r="BI96" i="241"/>
  <c r="R11" i="232"/>
  <c r="R79" i="241"/>
  <c r="BL96" i="241"/>
  <c r="BH103" i="241"/>
  <c r="BH125" i="241"/>
  <c r="BB113" i="241"/>
  <c r="AZ137" i="241"/>
  <c r="BA137" i="241" s="1"/>
  <c r="AV103" i="241"/>
  <c r="AW103" i="241" s="1"/>
  <c r="AN137" i="241"/>
  <c r="X137" i="241"/>
  <c r="U96" i="241"/>
  <c r="U23" i="229"/>
  <c r="X103" i="241"/>
  <c r="T57" i="241"/>
  <c r="T96" i="232"/>
  <c r="AJ91" i="241"/>
  <c r="BL112" i="241"/>
  <c r="BJ45" i="241"/>
  <c r="BH44" i="241"/>
  <c r="BH90" i="241"/>
  <c r="BI90" i="241" s="1"/>
  <c r="BD103" i="241"/>
  <c r="BE103" i="241" s="1"/>
  <c r="BD113" i="241"/>
  <c r="AZ78" i="241"/>
  <c r="AX45" i="241"/>
  <c r="AX113" i="241"/>
  <c r="AV35" i="241"/>
  <c r="AV23" i="241"/>
  <c r="AR69" i="241"/>
  <c r="AR44" i="241"/>
  <c r="AS44" i="241" s="1"/>
  <c r="AP10" i="241"/>
  <c r="AN62" i="241"/>
  <c r="AO62" i="241" s="1"/>
  <c r="AN130" i="241"/>
  <c r="AO130" i="241" s="1"/>
  <c r="AN79" i="241"/>
  <c r="AH11" i="241"/>
  <c r="AH10" i="241" s="1"/>
  <c r="AH113" i="241"/>
  <c r="AF69" i="241"/>
  <c r="AG69" i="241" s="1"/>
  <c r="AB125" i="241"/>
  <c r="AB11" i="241"/>
  <c r="AB78" i="241"/>
  <c r="X113" i="241"/>
  <c r="V11" i="241"/>
  <c r="T103" i="241"/>
  <c r="T266" i="232"/>
  <c r="T227" i="232"/>
  <c r="T215" i="229"/>
  <c r="T198" i="232"/>
  <c r="T198" i="229"/>
  <c r="T147" i="232"/>
  <c r="R146" i="229"/>
  <c r="T125" i="232"/>
  <c r="T125" i="229"/>
  <c r="R79" i="229"/>
  <c r="T57" i="232"/>
  <c r="R45" i="229"/>
  <c r="U39" i="229"/>
  <c r="T226" i="232"/>
  <c r="Y35" i="241"/>
  <c r="AS57" i="241"/>
  <c r="AB35" i="241"/>
  <c r="U28" i="232"/>
  <c r="AD11" i="241"/>
  <c r="AD10" i="241" s="1"/>
  <c r="AF62" i="241"/>
  <c r="BL57" i="241"/>
  <c r="BF113" i="241"/>
  <c r="BD69" i="241"/>
  <c r="BE69" i="241" s="1"/>
  <c r="BD125" i="241"/>
  <c r="AZ130" i="241"/>
  <c r="BA130" i="241" s="1"/>
  <c r="AV62" i="241"/>
  <c r="AR78" i="241"/>
  <c r="AN91" i="241"/>
  <c r="AN124" i="241"/>
  <c r="AO124" i="241" s="1"/>
  <c r="AJ11" i="241"/>
  <c r="AJ137" i="241"/>
  <c r="AF103" i="241"/>
  <c r="AG103" i="241" s="1"/>
  <c r="AF57" i="241"/>
  <c r="AB69" i="241"/>
  <c r="Z113" i="241"/>
  <c r="Z112" i="241" s="1"/>
  <c r="X69" i="241"/>
  <c r="T249" i="229"/>
  <c r="U249" i="229" s="1"/>
  <c r="R181" i="229"/>
  <c r="T130" i="232"/>
  <c r="T103" i="237"/>
  <c r="R45" i="232"/>
  <c r="R44" i="232" s="1"/>
  <c r="T57" i="229"/>
  <c r="T44" i="232"/>
  <c r="U44" i="232" s="1"/>
  <c r="U125" i="232"/>
  <c r="U198" i="232"/>
  <c r="U227" i="232"/>
  <c r="Y103" i="241"/>
  <c r="AC125" i="241"/>
  <c r="AG137" i="241"/>
  <c r="AG45" i="241"/>
  <c r="AK11" i="241"/>
  <c r="AO103" i="241"/>
  <c r="AS113" i="241"/>
  <c r="BE130" i="241"/>
  <c r="BI45" i="241"/>
  <c r="BM130" i="241"/>
  <c r="BM103" i="241"/>
  <c r="BJ11" i="241"/>
  <c r="BJ10" i="241" s="1"/>
  <c r="BH69" i="241"/>
  <c r="AR137" i="241"/>
  <c r="T23" i="241"/>
  <c r="T232" i="237"/>
  <c r="AC69" i="241"/>
  <c r="AO113" i="241"/>
  <c r="BB79" i="241"/>
  <c r="AB261" i="241"/>
  <c r="T227" i="237"/>
  <c r="T171" i="229"/>
  <c r="AK137" i="241"/>
  <c r="BJ249" i="241"/>
  <c r="AR103" i="241"/>
  <c r="T273" i="231"/>
  <c r="T130" i="237"/>
  <c r="AV79" i="241"/>
  <c r="BH113" i="241"/>
  <c r="AZ10" i="241"/>
  <c r="AP113" i="241"/>
  <c r="AJ239" i="241"/>
  <c r="R181" i="231"/>
  <c r="T130" i="233"/>
  <c r="R10" i="229"/>
  <c r="AV130" i="241"/>
  <c r="AV124" i="241" s="1"/>
  <c r="AW124" i="241" s="1"/>
  <c r="AT45" i="241"/>
  <c r="BL28" i="241"/>
  <c r="BH62" i="241"/>
  <c r="BI62" i="241" s="1"/>
  <c r="BH35" i="241"/>
  <c r="BD57" i="241"/>
  <c r="AX78" i="241"/>
  <c r="AV96" i="241"/>
  <c r="AR11" i="241"/>
  <c r="AP45" i="241"/>
  <c r="AL45" i="241"/>
  <c r="AN23" i="241"/>
  <c r="AH79" i="241"/>
  <c r="AH78" i="241" s="1"/>
  <c r="AJ96" i="241"/>
  <c r="AD112" i="241"/>
  <c r="AF125" i="241"/>
  <c r="AB124" i="241"/>
  <c r="AB62" i="241"/>
  <c r="V79" i="241"/>
  <c r="X62" i="241"/>
  <c r="Y62" i="241" s="1"/>
  <c r="T266" i="238"/>
  <c r="T261" i="229"/>
  <c r="T181" i="229"/>
  <c r="T147" i="229"/>
  <c r="T137" i="232"/>
  <c r="T96" i="237"/>
  <c r="T91" i="229"/>
  <c r="U91" i="229" s="1"/>
  <c r="T62" i="232"/>
  <c r="T62" i="229"/>
  <c r="U45" i="232"/>
  <c r="Y69" i="241"/>
  <c r="AC124" i="241"/>
  <c r="AG44" i="241"/>
  <c r="AK125" i="241"/>
  <c r="AO23" i="241"/>
  <c r="AS137" i="241"/>
  <c r="AW96" i="241"/>
  <c r="BA23" i="241"/>
  <c r="BE62" i="241"/>
  <c r="AC57" i="241"/>
  <c r="AC45" i="241"/>
  <c r="AG62" i="241"/>
  <c r="AK113" i="241"/>
  <c r="AK130" i="241"/>
  <c r="AO79" i="241"/>
  <c r="AO11" i="241"/>
  <c r="AS103" i="241"/>
  <c r="BA79" i="241"/>
  <c r="BA11" i="241"/>
  <c r="BE137" i="241"/>
  <c r="BI44" i="241"/>
  <c r="U91" i="241"/>
  <c r="T22" i="232"/>
  <c r="T130" i="241"/>
  <c r="T193" i="237"/>
  <c r="BL91" i="241"/>
  <c r="BH11" i="241"/>
  <c r="BI11" i="241" s="1"/>
  <c r="BH23" i="241"/>
  <c r="BF11" i="241"/>
  <c r="BD44" i="241"/>
  <c r="BE44" i="241" s="1"/>
  <c r="AZ91" i="241"/>
  <c r="AZ90" i="241" s="1"/>
  <c r="AV78" i="241"/>
  <c r="AN96" i="241"/>
  <c r="AO96" i="241" s="1"/>
  <c r="X57" i="241"/>
  <c r="T69" i="241"/>
  <c r="R249" i="232"/>
  <c r="T227" i="229"/>
  <c r="R113" i="229"/>
  <c r="T103" i="229"/>
  <c r="U41" i="229"/>
  <c r="T56" i="241"/>
  <c r="R112" i="241"/>
  <c r="AK91" i="241"/>
  <c r="AJ124" i="241"/>
  <c r="AW45" i="241"/>
  <c r="T11" i="232"/>
  <c r="U11" i="232" s="1"/>
  <c r="BL147" i="241"/>
  <c r="BD11" i="241"/>
  <c r="AZ28" i="241"/>
  <c r="AZ22" i="241" s="1"/>
  <c r="AT78" i="241"/>
  <c r="AT44" i="241"/>
  <c r="AL79" i="241"/>
  <c r="AL78" i="241" s="1"/>
  <c r="T193" i="241"/>
  <c r="T249" i="236"/>
  <c r="T239" i="232"/>
  <c r="T159" i="237"/>
  <c r="R112" i="229"/>
  <c r="T79" i="232"/>
  <c r="R45" i="231"/>
  <c r="U125" i="229"/>
  <c r="U198" i="229"/>
  <c r="U227" i="229"/>
  <c r="T248" i="229"/>
  <c r="Y23" i="241"/>
  <c r="AC62" i="241"/>
  <c r="AG57" i="241"/>
  <c r="AG28" i="241"/>
  <c r="AS112" i="241"/>
  <c r="BE57" i="241"/>
  <c r="T10" i="232"/>
  <c r="BL44" i="241"/>
  <c r="BH159" i="241"/>
  <c r="AZ35" i="241"/>
  <c r="AX11" i="241"/>
  <c r="AR273" i="241"/>
  <c r="AJ69" i="241"/>
  <c r="AK69" i="241" s="1"/>
  <c r="Z79" i="241"/>
  <c r="X28" i="241"/>
  <c r="T227" i="241"/>
  <c r="R11" i="241"/>
  <c r="T261" i="235"/>
  <c r="R215" i="229"/>
  <c r="T159" i="232"/>
  <c r="T130" i="229"/>
  <c r="T69" i="236"/>
  <c r="AS23" i="241"/>
  <c r="AW69" i="241"/>
  <c r="BA22" i="241"/>
  <c r="BM69" i="241"/>
  <c r="AZ147" i="241"/>
  <c r="AR125" i="241"/>
  <c r="AJ79" i="241"/>
  <c r="Z44" i="241"/>
  <c r="X96" i="241"/>
  <c r="T232" i="241"/>
  <c r="T11" i="241"/>
  <c r="T215" i="236"/>
  <c r="T232" i="229"/>
  <c r="T159" i="235"/>
  <c r="R79" i="232"/>
  <c r="T45" i="229"/>
  <c r="U248" i="229"/>
  <c r="AG10" i="241"/>
  <c r="AW79" i="241"/>
  <c r="BA90" i="241"/>
  <c r="BI103" i="241"/>
  <c r="BH79" i="241"/>
  <c r="BD193" i="241"/>
  <c r="AN215" i="241"/>
  <c r="AB249" i="241"/>
  <c r="T266" i="241"/>
  <c r="R249" i="229"/>
  <c r="T215" i="231"/>
  <c r="T198" i="238"/>
  <c r="T171" i="232"/>
  <c r="T113" i="236"/>
  <c r="T79" i="229"/>
  <c r="T44" i="229"/>
  <c r="U57" i="229"/>
  <c r="AO137" i="241"/>
  <c r="AS28" i="241"/>
  <c r="AW28" i="241"/>
  <c r="BI23" i="241"/>
  <c r="U11" i="229"/>
  <c r="AZ62" i="241"/>
  <c r="BA62" i="241" s="1"/>
  <c r="R45" i="241"/>
  <c r="R44" i="241" s="1"/>
  <c r="BJ113" i="241"/>
  <c r="BJ112" i="241" s="1"/>
  <c r="BL10" i="241"/>
  <c r="BH137" i="241"/>
  <c r="BI137" i="241" s="1"/>
  <c r="BB11" i="241"/>
  <c r="BB10" i="241" s="1"/>
  <c r="BB78" i="241"/>
  <c r="AX44" i="241"/>
  <c r="AV57" i="241"/>
  <c r="AW57" i="241" s="1"/>
  <c r="AV56" i="241"/>
  <c r="AW56" i="241" s="1"/>
  <c r="AR35" i="241"/>
  <c r="AN69" i="241"/>
  <c r="AO69" i="241" s="1"/>
  <c r="AH45" i="241"/>
  <c r="AJ103" i="241"/>
  <c r="AK103" i="241" s="1"/>
  <c r="AF96" i="241"/>
  <c r="AB103" i="241"/>
  <c r="AC103" i="241" s="1"/>
  <c r="AB137" i="241"/>
  <c r="AC137" i="241" s="1"/>
  <c r="T273" i="238"/>
  <c r="T273" i="232"/>
  <c r="T273" i="229"/>
  <c r="T205" i="229"/>
  <c r="T146" i="229"/>
  <c r="T91" i="232"/>
  <c r="T96" i="229"/>
  <c r="T69" i="232"/>
  <c r="T56" i="232"/>
  <c r="U112" i="229"/>
  <c r="U112" i="232"/>
  <c r="U180" i="232"/>
  <c r="U214" i="232"/>
  <c r="T96" i="231"/>
  <c r="AZ113" i="241"/>
  <c r="Z11" i="241"/>
  <c r="Z10" i="241" s="1"/>
  <c r="T266" i="229"/>
  <c r="U266" i="229" s="1"/>
  <c r="T159" i="229"/>
  <c r="T69" i="231"/>
  <c r="T192" i="229"/>
  <c r="U192" i="229" s="1"/>
  <c r="Y113" i="241"/>
  <c r="BA28" i="241"/>
  <c r="X79" i="241"/>
  <c r="Y79" i="241" s="1"/>
  <c r="BH205" i="241"/>
  <c r="AN57" i="241"/>
  <c r="AJ23" i="241"/>
  <c r="AB91" i="241"/>
  <c r="AC91" i="241" s="1"/>
  <c r="T249" i="232"/>
  <c r="T193" i="232"/>
  <c r="T164" i="229"/>
  <c r="T45" i="236"/>
  <c r="T44" i="241"/>
  <c r="X112" i="241"/>
  <c r="AW130" i="241"/>
  <c r="BA10" i="241"/>
  <c r="BE23" i="241"/>
  <c r="AD45" i="241"/>
  <c r="AD44" i="241" s="1"/>
  <c r="BL90" i="241"/>
  <c r="BH130" i="241"/>
  <c r="BI130" i="241" s="1"/>
  <c r="AV91" i="241"/>
  <c r="AN112" i="241"/>
  <c r="AO112" i="241" s="1"/>
  <c r="AF79" i="241"/>
  <c r="T273" i="241"/>
  <c r="T147" i="236"/>
  <c r="T69" i="230"/>
  <c r="R78" i="241"/>
  <c r="Y91" i="241"/>
  <c r="AO91" i="241"/>
  <c r="BA91" i="241"/>
  <c r="BI113" i="241"/>
  <c r="X11" i="241"/>
  <c r="BJ79" i="241"/>
  <c r="BD91" i="241"/>
  <c r="AV215" i="241"/>
  <c r="AD249" i="241"/>
  <c r="T266" i="235"/>
  <c r="T164" i="232"/>
  <c r="T62" i="236"/>
  <c r="X90" i="241"/>
  <c r="AS96" i="241"/>
  <c r="BE125" i="241"/>
  <c r="BL198" i="241"/>
  <c r="AZ45" i="241"/>
  <c r="AZ44" i="241" s="1"/>
  <c r="AN45" i="241"/>
  <c r="AN44" i="241" s="1"/>
  <c r="AJ28" i="241"/>
  <c r="AK28" i="241" s="1"/>
  <c r="AD79" i="241"/>
  <c r="X78" i="241"/>
  <c r="Y78" i="241" s="1"/>
  <c r="R10" i="241"/>
  <c r="T261" i="234"/>
  <c r="T164" i="234"/>
  <c r="T96" i="238"/>
  <c r="T62" i="233"/>
  <c r="T124" i="232"/>
  <c r="T78" i="241"/>
  <c r="AS125" i="241"/>
  <c r="BA45" i="241"/>
  <c r="AF113" i="241"/>
  <c r="R215" i="232"/>
  <c r="R214" i="232" s="1"/>
  <c r="T147" i="238"/>
  <c r="T90" i="232"/>
  <c r="U57" i="232"/>
  <c r="T226" i="229"/>
  <c r="AC96" i="241"/>
  <c r="AG11" i="241"/>
  <c r="AS69" i="241"/>
  <c r="BA78" i="241"/>
  <c r="BI125" i="241"/>
  <c r="T239" i="229"/>
  <c r="T146" i="232"/>
  <c r="BB45" i="241"/>
  <c r="AN90" i="241"/>
  <c r="AO90" i="241" s="1"/>
  <c r="AJ45" i="241"/>
  <c r="AF261" i="241"/>
  <c r="T260" i="232"/>
  <c r="T205" i="232"/>
  <c r="T78" i="232"/>
  <c r="T90" i="229"/>
  <c r="U90" i="229" s="1"/>
  <c r="AC78" i="241"/>
  <c r="AG35" i="241"/>
  <c r="AW62" i="241"/>
  <c r="AJ57" i="241"/>
  <c r="AK57" i="241" s="1"/>
  <c r="BH10" i="241"/>
  <c r="BI10" i="241" s="1"/>
  <c r="BH28" i="241"/>
  <c r="BD79" i="241"/>
  <c r="AZ69" i="241"/>
  <c r="BA69" i="241" s="1"/>
  <c r="AR91" i="241"/>
  <c r="AN28" i="241"/>
  <c r="AO28" i="241" s="1"/>
  <c r="AJ10" i="241"/>
  <c r="AK10" i="241" s="1"/>
  <c r="AF215" i="241"/>
  <c r="R215" i="241"/>
  <c r="R214" i="241" s="1"/>
  <c r="R215" i="231"/>
  <c r="T205" i="231"/>
  <c r="T137" i="229"/>
  <c r="T56" i="229"/>
  <c r="U56" i="229" s="1"/>
  <c r="U181" i="232"/>
  <c r="AC112" i="241"/>
  <c r="AG91" i="241"/>
  <c r="AK112" i="241"/>
  <c r="AS11" i="241"/>
  <c r="AZ103" i="241"/>
  <c r="BA103" i="241" s="1"/>
  <c r="BL125" i="241"/>
  <c r="BL124" i="241" s="1"/>
  <c r="BD96" i="241"/>
  <c r="BE96" i="241" s="1"/>
  <c r="AV44" i="241"/>
  <c r="AL249" i="241"/>
  <c r="AB28" i="241"/>
  <c r="AB171" i="241"/>
  <c r="T239" i="241"/>
  <c r="T227" i="236"/>
  <c r="Y137" i="241"/>
  <c r="Y45" i="241"/>
  <c r="AC35" i="241"/>
  <c r="AK23" i="241"/>
  <c r="AO45" i="241"/>
  <c r="AW78" i="241"/>
  <c r="BE113" i="241"/>
  <c r="BI69" i="241"/>
  <c r="T125" i="236"/>
  <c r="R215" i="230"/>
  <c r="X249" i="241"/>
  <c r="Y249" i="241" s="1"/>
  <c r="T130" i="234"/>
  <c r="T113" i="233"/>
  <c r="R181" i="235"/>
  <c r="T112" i="241"/>
  <c r="BI57" i="241"/>
  <c r="T124" i="241"/>
  <c r="AS130" i="241"/>
  <c r="AW23" i="241"/>
  <c r="AC11" i="241"/>
  <c r="U215" i="229"/>
  <c r="T214" i="229"/>
  <c r="AS78" i="241"/>
  <c r="T22" i="241"/>
  <c r="AK96" i="241"/>
  <c r="AG125" i="241"/>
  <c r="T260" i="229"/>
  <c r="T180" i="229"/>
  <c r="X56" i="241"/>
  <c r="BE11" i="241"/>
  <c r="T241" i="232"/>
  <c r="U241" i="232" s="1"/>
  <c r="T37" i="232"/>
  <c r="U10" i="232"/>
  <c r="Y28" i="241"/>
  <c r="T158" i="232"/>
  <c r="U158" i="232" s="1"/>
  <c r="U159" i="232"/>
  <c r="T124" i="229"/>
  <c r="AK79" i="241"/>
  <c r="T10" i="241"/>
  <c r="BI79" i="241"/>
  <c r="AB248" i="241"/>
  <c r="AC249" i="241"/>
  <c r="T78" i="229"/>
  <c r="U44" i="229"/>
  <c r="T71" i="229"/>
  <c r="U71" i="229" s="1"/>
  <c r="AG96" i="241"/>
  <c r="U146" i="229"/>
  <c r="T71" i="232"/>
  <c r="U71" i="232" s="1"/>
  <c r="BA113" i="241"/>
  <c r="AZ112" i="241"/>
  <c r="U159" i="229"/>
  <c r="T158" i="229"/>
  <c r="AO57" i="241"/>
  <c r="U249" i="232"/>
  <c r="T248" i="232"/>
  <c r="T192" i="232"/>
  <c r="T71" i="241"/>
  <c r="X139" i="241"/>
  <c r="Y112" i="241"/>
  <c r="AV90" i="241"/>
  <c r="AW91" i="241"/>
  <c r="AF78" i="241"/>
  <c r="AG79" i="241"/>
  <c r="Y11" i="241"/>
  <c r="X10" i="241"/>
  <c r="Y10" i="241" s="1"/>
  <c r="BE91" i="241"/>
  <c r="BA44" i="241"/>
  <c r="AO44" i="241"/>
  <c r="T139" i="232"/>
  <c r="U139" i="232" s="1"/>
  <c r="T105" i="241"/>
  <c r="AF112" i="241"/>
  <c r="AG113" i="241"/>
  <c r="U146" i="232"/>
  <c r="T173" i="232"/>
  <c r="U173" i="232" s="1"/>
  <c r="AJ44" i="241"/>
  <c r="AK44" i="241" s="1"/>
  <c r="AK45" i="241"/>
  <c r="T105" i="232"/>
  <c r="U105" i="232" s="1"/>
  <c r="BI28" i="241"/>
  <c r="BD78" i="241"/>
  <c r="BE78" i="241" s="1"/>
  <c r="BE79" i="241"/>
  <c r="AR90" i="241"/>
  <c r="AS90" i="241" s="1"/>
  <c r="AS91" i="241"/>
  <c r="BM124" i="241"/>
  <c r="AV71" i="241"/>
  <c r="AW44" i="241"/>
  <c r="AC28" i="241"/>
  <c r="AB22" i="241"/>
  <c r="AC22" i="241" s="1"/>
  <c r="T139" i="241"/>
  <c r="U214" i="229"/>
  <c r="T241" i="229"/>
  <c r="U241" i="229" s="1"/>
  <c r="T275" i="229"/>
  <c r="U275" i="229" s="1"/>
  <c r="U180" i="229"/>
  <c r="T207" i="229"/>
  <c r="U207" i="229" s="1"/>
  <c r="U37" i="232"/>
  <c r="T139" i="229"/>
  <c r="U139" i="229" s="1"/>
  <c r="U124" i="229"/>
  <c r="T37" i="241"/>
  <c r="T105" i="229"/>
  <c r="U105" i="229" s="1"/>
  <c r="U78" i="229"/>
  <c r="BA112" i="241"/>
  <c r="T173" i="229"/>
  <c r="U173" i="229" s="1"/>
  <c r="U158" i="229"/>
  <c r="U248" i="232"/>
  <c r="T275" i="232"/>
  <c r="U275" i="232" s="1"/>
  <c r="T207" i="232"/>
  <c r="U207" i="232" s="1"/>
  <c r="AW90" i="241"/>
  <c r="AG78" i="241"/>
  <c r="AG112" i="241"/>
  <c r="T39" i="232" l="1"/>
  <c r="AV73" i="241"/>
  <c r="X141" i="241"/>
  <c r="B1" i="241"/>
  <c r="F1" i="241"/>
  <c r="D1" i="241"/>
  <c r="T141" i="241"/>
  <c r="T107" i="241"/>
  <c r="T73" i="241"/>
  <c r="T39" i="241"/>
  <c r="T277" i="232"/>
  <c r="T277" i="229"/>
  <c r="T243" i="232"/>
  <c r="T243" i="229"/>
  <c r="T209" i="232"/>
  <c r="T209" i="229"/>
  <c r="T175" i="232"/>
  <c r="T175" i="229"/>
  <c r="T141" i="232"/>
  <c r="T141" i="229"/>
  <c r="T107" i="232"/>
  <c r="T107" i="229"/>
  <c r="T73" i="232"/>
  <c r="T73" i="229"/>
  <c r="F1" i="238"/>
  <c r="B1" i="238"/>
  <c r="D1" i="238"/>
  <c r="F1" i="237"/>
  <c r="B1" i="237"/>
  <c r="D1" i="237"/>
  <c r="F1" i="236"/>
  <c r="D1" i="236"/>
  <c r="B1" i="236"/>
  <c r="F1" i="235"/>
  <c r="D1" i="235"/>
  <c r="B1" i="235"/>
  <c r="F1" i="234"/>
  <c r="B1" i="234"/>
  <c r="D1" i="234"/>
  <c r="B1" i="233"/>
  <c r="F1" i="233"/>
  <c r="D1" i="233"/>
  <c r="F1" i="231"/>
  <c r="D1" i="231"/>
  <c r="B1" i="231"/>
  <c r="D1" i="230"/>
  <c r="B1" i="230"/>
  <c r="F1" i="230"/>
  <c r="A41" i="227"/>
  <c r="B33" i="13"/>
  <c r="A32" i="13"/>
  <c r="A32" i="187"/>
  <c r="B33" i="187"/>
  <c r="U37" i="241"/>
  <c r="U192" i="232"/>
  <c r="U124" i="241"/>
  <c r="BL139" i="241"/>
  <c r="U260" i="232"/>
  <c r="U78" i="241"/>
  <c r="U62" i="236"/>
  <c r="U273" i="241"/>
  <c r="U69" i="231"/>
  <c r="U273" i="232"/>
  <c r="U171" i="232"/>
  <c r="U159" i="235"/>
  <c r="U130" i="229"/>
  <c r="U79" i="232"/>
  <c r="BL146" i="241"/>
  <c r="BF10" i="241"/>
  <c r="U96" i="237"/>
  <c r="AF124" i="241"/>
  <c r="AG124" i="241" s="1"/>
  <c r="BM62" i="241"/>
  <c r="U227" i="237"/>
  <c r="AF56" i="241"/>
  <c r="AG56" i="241" s="1"/>
  <c r="I9" i="144"/>
  <c r="AV22" i="241"/>
  <c r="AW22" i="241" s="1"/>
  <c r="BH124" i="241"/>
  <c r="BI124" i="241" s="1"/>
  <c r="AJ56" i="241"/>
  <c r="AK56" i="241" s="1"/>
  <c r="U125" i="241"/>
  <c r="U125" i="238"/>
  <c r="U113" i="229"/>
  <c r="AB90" i="241"/>
  <c r="AC90" i="241" s="1"/>
  <c r="AZ56" i="241"/>
  <c r="BL181" i="241"/>
  <c r="R147" i="241"/>
  <c r="T147" i="241"/>
  <c r="AN261" i="241"/>
  <c r="BD198" i="241"/>
  <c r="AJ215" i="241"/>
  <c r="BF215" i="241"/>
  <c r="AD147" i="241"/>
  <c r="T261" i="241"/>
  <c r="R146" i="241"/>
  <c r="AF171" i="241"/>
  <c r="T125" i="235"/>
  <c r="T159" i="230"/>
  <c r="T266" i="233"/>
  <c r="T159" i="234"/>
  <c r="R147" i="230"/>
  <c r="Z181" i="241"/>
  <c r="Z21" i="110"/>
  <c r="X21" i="110"/>
  <c r="AC21" i="110"/>
  <c r="O20" i="110"/>
  <c r="I20" i="110"/>
  <c r="AE19" i="110"/>
  <c r="Q19" i="110"/>
  <c r="N19" i="110"/>
  <c r="M18" i="110"/>
  <c r="AA18" i="110"/>
  <c r="Q17" i="110"/>
  <c r="W17" i="110"/>
  <c r="O17" i="110"/>
  <c r="P16" i="110"/>
  <c r="I16" i="110"/>
  <c r="AA16" i="110"/>
  <c r="L15" i="110"/>
  <c r="AE15" i="110"/>
  <c r="AG14" i="110"/>
  <c r="I14" i="110"/>
  <c r="J14" i="110"/>
  <c r="V13" i="110"/>
  <c r="N13" i="110"/>
  <c r="AA13" i="110"/>
  <c r="K12" i="110"/>
  <c r="I12" i="110"/>
  <c r="N11" i="110"/>
  <c r="P11" i="110"/>
  <c r="O11" i="110"/>
  <c r="AG10" i="110"/>
  <c r="O10" i="110"/>
  <c r="AC10" i="110"/>
  <c r="AA9" i="110"/>
  <c r="N9" i="110"/>
  <c r="AD9" i="110"/>
  <c r="BJ248" i="241"/>
  <c r="BL273" i="241"/>
  <c r="BL180" i="241"/>
  <c r="BF249" i="241"/>
  <c r="AZ215" i="241"/>
  <c r="AZ205" i="241"/>
  <c r="AV147" i="241"/>
  <c r="AV261" i="241"/>
  <c r="AV266" i="241"/>
  <c r="AR193" i="241"/>
  <c r="AN227" i="241"/>
  <c r="AN139" i="241"/>
  <c r="AN249" i="241"/>
  <c r="AJ198" i="241"/>
  <c r="AJ205" i="241"/>
  <c r="AF232" i="241"/>
  <c r="AB139" i="241"/>
  <c r="X239" i="241"/>
  <c r="X193" i="241"/>
  <c r="X227" i="241"/>
  <c r="T261" i="238"/>
  <c r="T273" i="236"/>
  <c r="T273" i="233"/>
  <c r="T273" i="230"/>
  <c r="R215" i="236"/>
  <c r="T239" i="234"/>
  <c r="T239" i="230"/>
  <c r="T181" i="237"/>
  <c r="T181" i="235"/>
  <c r="T181" i="233"/>
  <c r="T205" i="230"/>
  <c r="R147" i="238"/>
  <c r="R147" i="236"/>
  <c r="T177" i="232"/>
  <c r="T147" i="230"/>
  <c r="T125" i="237"/>
  <c r="R113" i="234"/>
  <c r="T113" i="231"/>
  <c r="T91" i="238"/>
  <c r="T91" i="236"/>
  <c r="T91" i="234"/>
  <c r="T109" i="232"/>
  <c r="T79" i="230"/>
  <c r="T45" i="238"/>
  <c r="R45" i="235"/>
  <c r="T45" i="234"/>
  <c r="T57" i="231"/>
  <c r="T28" i="238"/>
  <c r="T11" i="237"/>
  <c r="T35" i="236"/>
  <c r="T35" i="235"/>
  <c r="R11" i="233"/>
  <c r="T11" i="231"/>
  <c r="T44" i="238"/>
  <c r="T78" i="230"/>
  <c r="T180" i="233"/>
  <c r="R180" i="235"/>
  <c r="R214" i="230"/>
  <c r="R214" i="231"/>
  <c r="BA35" i="241"/>
  <c r="AW71" i="241"/>
  <c r="U125" i="236"/>
  <c r="Y96" i="241"/>
  <c r="U193" i="241"/>
  <c r="BM44" i="241"/>
  <c r="U103" i="237"/>
  <c r="U96" i="232"/>
  <c r="BM91" i="241"/>
  <c r="BN91" i="241" s="1"/>
  <c r="AP78" i="241"/>
  <c r="AF249" i="241"/>
  <c r="AG249" i="241" s="1"/>
  <c r="U139" i="241"/>
  <c r="BM57" i="241"/>
  <c r="U137" i="229"/>
  <c r="BB44" i="241"/>
  <c r="U124" i="232"/>
  <c r="U164" i="232"/>
  <c r="U96" i="231"/>
  <c r="U273" i="238"/>
  <c r="U198" i="238"/>
  <c r="U232" i="229"/>
  <c r="R214" i="229"/>
  <c r="H9" i="144"/>
  <c r="AK124" i="241"/>
  <c r="BM11" i="241"/>
  <c r="U137" i="232"/>
  <c r="AJ90" i="241"/>
  <c r="AK90" i="241" s="1"/>
  <c r="E9" i="144"/>
  <c r="U232" i="237"/>
  <c r="AR105" i="241"/>
  <c r="U147" i="232"/>
  <c r="AX112" i="241"/>
  <c r="R10" i="232"/>
  <c r="AL112" i="241"/>
  <c r="AR22" i="241"/>
  <c r="I12" i="144"/>
  <c r="R112" i="232"/>
  <c r="AB44" i="241"/>
  <c r="BD22" i="241"/>
  <c r="BE22" i="241" s="1"/>
  <c r="BF181" i="241"/>
  <c r="R249" i="241"/>
  <c r="T249" i="241"/>
  <c r="AJ266" i="241"/>
  <c r="AZ193" i="241"/>
  <c r="AF239" i="241"/>
  <c r="AG239" i="241" s="1"/>
  <c r="BD171" i="241"/>
  <c r="AB164" i="241"/>
  <c r="T198" i="233"/>
  <c r="T113" i="230"/>
  <c r="R249" i="235"/>
  <c r="T57" i="230"/>
  <c r="AL181" i="241"/>
  <c r="R181" i="241"/>
  <c r="T261" i="236"/>
  <c r="T171" i="233"/>
  <c r="AP215" i="241"/>
  <c r="V21" i="110"/>
  <c r="U21" i="110"/>
  <c r="J20" i="110"/>
  <c r="M20" i="110"/>
  <c r="AD20" i="110"/>
  <c r="O19" i="110"/>
  <c r="M19" i="110"/>
  <c r="J19" i="110"/>
  <c r="W18" i="110"/>
  <c r="N18" i="110"/>
  <c r="AB17" i="110"/>
  <c r="M17" i="110"/>
  <c r="AE17" i="110"/>
  <c r="R16" i="110"/>
  <c r="K16" i="110"/>
  <c r="AC16" i="110"/>
  <c r="AG15" i="110"/>
  <c r="V14" i="110"/>
  <c r="K14" i="110"/>
  <c r="P14" i="110"/>
  <c r="Z13" i="110"/>
  <c r="P13" i="110"/>
  <c r="AC13" i="110"/>
  <c r="O12" i="110"/>
  <c r="U12" i="110"/>
  <c r="J11" i="110"/>
  <c r="K11" i="110"/>
  <c r="AG11" i="110"/>
  <c r="W10" i="110"/>
  <c r="U10" i="110"/>
  <c r="AE9" i="110"/>
  <c r="BJ215" i="241"/>
  <c r="BL193" i="241"/>
  <c r="BL239" i="241"/>
  <c r="BH249" i="241"/>
  <c r="BD181" i="241"/>
  <c r="BB181" i="241"/>
  <c r="BB180" i="241"/>
  <c r="AX147" i="241"/>
  <c r="AZ181" i="241"/>
  <c r="AZ198" i="241"/>
  <c r="BA198" i="241" s="1"/>
  <c r="AV198" i="241"/>
  <c r="AV146" i="241"/>
  <c r="AV159" i="241"/>
  <c r="AV260" i="241"/>
  <c r="AP249" i="241"/>
  <c r="AF198" i="241"/>
  <c r="AB198" i="241"/>
  <c r="AB105" i="241"/>
  <c r="X181" i="241"/>
  <c r="X248" i="241"/>
  <c r="T249" i="238"/>
  <c r="T249" i="235"/>
  <c r="T279" i="232"/>
  <c r="T279" i="229"/>
  <c r="T239" i="236"/>
  <c r="R215" i="233"/>
  <c r="T245" i="229"/>
  <c r="R181" i="237"/>
  <c r="R180" i="237" s="1"/>
  <c r="T198" i="234"/>
  <c r="T205" i="233"/>
  <c r="T193" i="230"/>
  <c r="T171" i="238"/>
  <c r="T171" i="236"/>
  <c r="U175" i="232"/>
  <c r="T171" i="230"/>
  <c r="T113" i="237"/>
  <c r="T137" i="234"/>
  <c r="R113" i="231"/>
  <c r="R79" i="238"/>
  <c r="T79" i="236"/>
  <c r="T79" i="234"/>
  <c r="U107" i="232"/>
  <c r="R79" i="230"/>
  <c r="T69" i="238"/>
  <c r="T57" i="235"/>
  <c r="T57" i="233"/>
  <c r="T45" i="231"/>
  <c r="T35" i="238"/>
  <c r="T10" i="237"/>
  <c r="T11" i="236"/>
  <c r="U11" i="236" s="1"/>
  <c r="R11" i="235"/>
  <c r="R11" i="234"/>
  <c r="T10" i="231"/>
  <c r="T44" i="231"/>
  <c r="T44" i="234"/>
  <c r="T112" i="237"/>
  <c r="R78" i="238"/>
  <c r="T158" i="234"/>
  <c r="R180" i="231"/>
  <c r="AG232" i="241"/>
  <c r="AW147" i="241"/>
  <c r="BA193" i="241"/>
  <c r="BA147" i="241"/>
  <c r="BA215" i="241"/>
  <c r="BE198" i="241"/>
  <c r="BI205" i="241"/>
  <c r="BA205" i="241"/>
  <c r="T171" i="231"/>
  <c r="T143" i="232"/>
  <c r="T103" i="238"/>
  <c r="T103" i="234"/>
  <c r="T109" i="229"/>
  <c r="T11" i="238"/>
  <c r="T28" i="230"/>
  <c r="U28" i="230"/>
  <c r="R44" i="235"/>
  <c r="T78" i="234"/>
  <c r="R146" i="230"/>
  <c r="T226" i="237"/>
  <c r="T248" i="236"/>
  <c r="U248" i="236" s="1"/>
  <c r="Y141" i="241"/>
  <c r="AC198" i="241"/>
  <c r="AO261" i="241"/>
  <c r="AS193" i="241"/>
  <c r="U105" i="241"/>
  <c r="BH22" i="241"/>
  <c r="U226" i="229"/>
  <c r="U164" i="229"/>
  <c r="U227" i="241"/>
  <c r="R248" i="232"/>
  <c r="V10" i="241"/>
  <c r="BF44" i="241"/>
  <c r="U62" i="241"/>
  <c r="BN62" i="241" s="1"/>
  <c r="T260" i="241"/>
  <c r="AR181" i="241"/>
  <c r="AN164" i="241"/>
  <c r="T227" i="233"/>
  <c r="R147" i="234"/>
  <c r="T198" i="236"/>
  <c r="T137" i="237"/>
  <c r="BL205" i="241"/>
  <c r="BL215" i="241"/>
  <c r="BH198" i="241"/>
  <c r="BD273" i="241"/>
  <c r="BE273" i="241" s="1"/>
  <c r="BD215" i="241"/>
  <c r="AZ214" i="241"/>
  <c r="AT249" i="241"/>
  <c r="AR180" i="241"/>
  <c r="AN214" i="241"/>
  <c r="AO214" i="241" s="1"/>
  <c r="AJ181" i="241"/>
  <c r="AF205" i="241"/>
  <c r="AG205" i="241" s="1"/>
  <c r="AB273" i="241"/>
  <c r="U39" i="241"/>
  <c r="T143" i="241"/>
  <c r="R249" i="234"/>
  <c r="R215" i="235"/>
  <c r="R181" i="236"/>
  <c r="T211" i="229"/>
  <c r="U141" i="232"/>
  <c r="R113" i="230"/>
  <c r="T96" i="233"/>
  <c r="T69" i="233"/>
  <c r="T23" i="235"/>
  <c r="T35" i="230"/>
  <c r="U10" i="237"/>
  <c r="U44" i="231"/>
  <c r="R112" i="231"/>
  <c r="T112" i="236"/>
  <c r="U112" i="236" s="1"/>
  <c r="R112" i="234"/>
  <c r="T180" i="235"/>
  <c r="AO164" i="241"/>
  <c r="AS181" i="241"/>
  <c r="AZ192" i="241"/>
  <c r="BM139" i="241"/>
  <c r="BM10" i="241"/>
  <c r="U91" i="232"/>
  <c r="BH78" i="241"/>
  <c r="U266" i="238"/>
  <c r="U130" i="237"/>
  <c r="U226" i="232"/>
  <c r="U232" i="238"/>
  <c r="Y124" i="241"/>
  <c r="U28" i="241"/>
  <c r="AN193" i="241"/>
  <c r="BH193" i="241"/>
  <c r="AR159" i="241"/>
  <c r="AJ159" i="241"/>
  <c r="T205" i="241"/>
  <c r="AJ261" i="241"/>
  <c r="AK261" i="241" s="1"/>
  <c r="T215" i="237"/>
  <c r="BM28" i="241"/>
  <c r="BN28" i="241" s="1"/>
  <c r="BM79" i="241"/>
  <c r="BN79" i="241" s="1"/>
  <c r="U112" i="241"/>
  <c r="U205" i="231"/>
  <c r="U239" i="229"/>
  <c r="U62" i="233"/>
  <c r="U266" i="235"/>
  <c r="U44" i="241"/>
  <c r="U56" i="232"/>
  <c r="AF90" i="241"/>
  <c r="U215" i="231"/>
  <c r="U215" i="236"/>
  <c r="U261" i="235"/>
  <c r="U159" i="237"/>
  <c r="U56" i="241"/>
  <c r="U193" i="237"/>
  <c r="U147" i="229"/>
  <c r="AN22" i="241"/>
  <c r="U130" i="233"/>
  <c r="U23" i="241"/>
  <c r="BD124" i="241"/>
  <c r="U266" i="232"/>
  <c r="BD112" i="241"/>
  <c r="BE112" i="241" s="1"/>
  <c r="BM96" i="241"/>
  <c r="BN96" i="241" s="1"/>
  <c r="AR124" i="241"/>
  <c r="AV112" i="241"/>
  <c r="R180" i="232"/>
  <c r="U113" i="238"/>
  <c r="AF22" i="241"/>
  <c r="BF78" i="241"/>
  <c r="BB147" i="241"/>
  <c r="T171" i="241"/>
  <c r="AF159" i="241"/>
  <c r="AX215" i="241"/>
  <c r="AB266" i="241"/>
  <c r="AC266" i="241" s="1"/>
  <c r="AP147" i="241"/>
  <c r="X159" i="241"/>
  <c r="R249" i="236"/>
  <c r="R113" i="235"/>
  <c r="R112" i="235" s="1"/>
  <c r="AR215" i="241"/>
  <c r="AR214" i="241" s="1"/>
  <c r="T130" i="235"/>
  <c r="T227" i="230"/>
  <c r="AR198" i="241"/>
  <c r="Z180" i="241"/>
  <c r="T96" i="236"/>
  <c r="T205" i="235"/>
  <c r="W21" i="110"/>
  <c r="AG21" i="110"/>
  <c r="R20" i="110"/>
  <c r="W20" i="110"/>
  <c r="Q20" i="110"/>
  <c r="AA19" i="110"/>
  <c r="AB19" i="110"/>
  <c r="AC19" i="110"/>
  <c r="J18" i="110"/>
  <c r="I18" i="110"/>
  <c r="R17" i="110"/>
  <c r="L17" i="110"/>
  <c r="P17" i="110"/>
  <c r="V16" i="110"/>
  <c r="M16" i="110"/>
  <c r="J15" i="110"/>
  <c r="M15" i="110"/>
  <c r="V15" i="110"/>
  <c r="AB14" i="110"/>
  <c r="M14" i="110"/>
  <c r="W14" i="110"/>
  <c r="M13" i="110"/>
  <c r="X13" i="110"/>
  <c r="J12" i="110"/>
  <c r="AE12" i="110"/>
  <c r="R12" i="110"/>
  <c r="X11" i="110"/>
  <c r="V11" i="110"/>
  <c r="W11" i="110"/>
  <c r="R10" i="110"/>
  <c r="AA10" i="110"/>
  <c r="V9" i="110"/>
  <c r="O9" i="110"/>
  <c r="J9" i="110"/>
  <c r="R9" i="110"/>
  <c r="BL227" i="241"/>
  <c r="BL171" i="241"/>
  <c r="BH273" i="241"/>
  <c r="BI273" i="241" s="1"/>
  <c r="BH239" i="241"/>
  <c r="BD261" i="241"/>
  <c r="BD205" i="241"/>
  <c r="AX146" i="241"/>
  <c r="AZ249" i="241"/>
  <c r="AZ248" i="241" s="1"/>
  <c r="AV193" i="241"/>
  <c r="AW193" i="241" s="1"/>
  <c r="AV171" i="241"/>
  <c r="AT181" i="241"/>
  <c r="AR261" i="241"/>
  <c r="AN266" i="241"/>
  <c r="AN35" i="241"/>
  <c r="AJ147" i="241"/>
  <c r="AJ146" i="241" s="1"/>
  <c r="AJ139" i="241"/>
  <c r="AJ249" i="241"/>
  <c r="AF147" i="241"/>
  <c r="AF248" i="241"/>
  <c r="AB232" i="241"/>
  <c r="AB205" i="241"/>
  <c r="V147" i="241"/>
  <c r="X147" i="241"/>
  <c r="X261" i="241"/>
  <c r="R249" i="238"/>
  <c r="R248" i="238" s="1"/>
  <c r="T273" i="235"/>
  <c r="U277" i="232"/>
  <c r="U277" i="229"/>
  <c r="T232" i="235"/>
  <c r="T215" i="233"/>
  <c r="U243" i="229"/>
  <c r="T205" i="237"/>
  <c r="T193" i="234"/>
  <c r="T211" i="232"/>
  <c r="T181" i="230"/>
  <c r="T164" i="237"/>
  <c r="T164" i="235"/>
  <c r="T164" i="231"/>
  <c r="T177" i="229"/>
  <c r="R113" i="237"/>
  <c r="R112" i="237" s="1"/>
  <c r="R113" i="233"/>
  <c r="T130" i="230"/>
  <c r="T79" i="238"/>
  <c r="T103" i="236"/>
  <c r="R79" i="234"/>
  <c r="T103" i="231"/>
  <c r="T103" i="230"/>
  <c r="T57" i="237"/>
  <c r="T62" i="235"/>
  <c r="T45" i="233"/>
  <c r="T62" i="230"/>
  <c r="R11" i="238"/>
  <c r="R10" i="238" s="1"/>
  <c r="R11" i="237"/>
  <c r="R10" i="237" s="1"/>
  <c r="T10" i="236"/>
  <c r="R10" i="235"/>
  <c r="R10" i="234"/>
  <c r="T23" i="230"/>
  <c r="T22" i="230" s="1"/>
  <c r="U22" i="230" s="1"/>
  <c r="U11" i="231"/>
  <c r="U44" i="238"/>
  <c r="U78" i="230"/>
  <c r="T146" i="236"/>
  <c r="T214" i="231"/>
  <c r="R214" i="233"/>
  <c r="T214" i="237"/>
  <c r="U177" i="232"/>
  <c r="AG159" i="241"/>
  <c r="AG171" i="241"/>
  <c r="AG248" i="241"/>
  <c r="AJ248" i="241"/>
  <c r="AN248" i="241"/>
  <c r="AO249" i="241"/>
  <c r="AR192" i="241"/>
  <c r="AO227" i="241"/>
  <c r="AS105" i="241"/>
  <c r="AZ180" i="241"/>
  <c r="BA181" i="241"/>
  <c r="BI249" i="241"/>
  <c r="U175" i="229"/>
  <c r="T130" i="236"/>
  <c r="T125" i="230"/>
  <c r="T96" i="235"/>
  <c r="T45" i="237"/>
  <c r="T45" i="230"/>
  <c r="T124" i="230"/>
  <c r="AG215" i="241"/>
  <c r="AW146" i="241"/>
  <c r="BA192" i="241"/>
  <c r="AO266" i="241"/>
  <c r="T41" i="232"/>
  <c r="U39" i="232"/>
  <c r="BJ78" i="241"/>
  <c r="U22" i="232"/>
  <c r="AP44" i="241"/>
  <c r="F12" i="144"/>
  <c r="U193" i="229"/>
  <c r="U113" i="241"/>
  <c r="U239" i="238"/>
  <c r="BH232" i="241"/>
  <c r="T215" i="241"/>
  <c r="AD215" i="241"/>
  <c r="T147" i="233"/>
  <c r="T232" i="236"/>
  <c r="Q21" i="110"/>
  <c r="AA21" i="110"/>
  <c r="N21" i="110"/>
  <c r="X20" i="110"/>
  <c r="U20" i="110"/>
  <c r="AG20" i="110"/>
  <c r="X19" i="110"/>
  <c r="K19" i="110"/>
  <c r="AD18" i="110"/>
  <c r="P18" i="110"/>
  <c r="Z18" i="110"/>
  <c r="AD17" i="110"/>
  <c r="U17" i="110"/>
  <c r="AC17" i="110"/>
  <c r="Z16" i="110"/>
  <c r="Q16" i="110"/>
  <c r="N15" i="110"/>
  <c r="AB15" i="110"/>
  <c r="AA15" i="110"/>
  <c r="L14" i="110"/>
  <c r="R14" i="110"/>
  <c r="AC14" i="110"/>
  <c r="Q13" i="110"/>
  <c r="AD13" i="110"/>
  <c r="Z12" i="110"/>
  <c r="X12" i="110"/>
  <c r="Q12" i="110"/>
  <c r="I11" i="110"/>
  <c r="Q11" i="110"/>
  <c r="X10" i="110"/>
  <c r="M10" i="110"/>
  <c r="I10" i="110"/>
  <c r="I9" i="110"/>
  <c r="Q9" i="110"/>
  <c r="L9" i="110"/>
  <c r="BJ214" i="241"/>
  <c r="BF248" i="241"/>
  <c r="BD192" i="241"/>
  <c r="AZ273" i="241"/>
  <c r="AV239" i="241"/>
  <c r="AN147" i="241"/>
  <c r="AN273" i="241"/>
  <c r="AO273" i="241" s="1"/>
  <c r="AF181" i="241"/>
  <c r="AF146" i="241"/>
  <c r="X232" i="241"/>
  <c r="X164" i="241"/>
  <c r="T261" i="237"/>
  <c r="T215" i="238"/>
  <c r="T193" i="238"/>
  <c r="T198" i="231"/>
  <c r="R147" i="235"/>
  <c r="R146" i="235" s="1"/>
  <c r="T137" i="236"/>
  <c r="T103" i="235"/>
  <c r="U107" i="229"/>
  <c r="R45" i="237"/>
  <c r="R44" i="237" s="1"/>
  <c r="T23" i="236"/>
  <c r="T23" i="234"/>
  <c r="T28" i="231"/>
  <c r="U146" i="236"/>
  <c r="U279" i="232"/>
  <c r="U143" i="232"/>
  <c r="AC273" i="241"/>
  <c r="AW198" i="241"/>
  <c r="BA180" i="241"/>
  <c r="BI193" i="241"/>
  <c r="Y56" i="241"/>
  <c r="U90" i="232"/>
  <c r="U261" i="234"/>
  <c r="BM113" i="241"/>
  <c r="BN113" i="241" s="1"/>
  <c r="T198" i="235"/>
  <c r="T266" i="234"/>
  <c r="AB21" i="110"/>
  <c r="M21" i="110"/>
  <c r="O21" i="110"/>
  <c r="AB20" i="110"/>
  <c r="L20" i="110"/>
  <c r="AC20" i="110"/>
  <c r="P19" i="110"/>
  <c r="R18" i="110"/>
  <c r="K18" i="110"/>
  <c r="X18" i="110"/>
  <c r="V17" i="110"/>
  <c r="AG17" i="110"/>
  <c r="AE16" i="110"/>
  <c r="U16" i="110"/>
  <c r="R15" i="110"/>
  <c r="U15" i="110"/>
  <c r="I15" i="110"/>
  <c r="O14" i="110"/>
  <c r="AE13" i="110"/>
  <c r="U13" i="110"/>
  <c r="N12" i="110"/>
  <c r="W12" i="110"/>
  <c r="AA11" i="110"/>
  <c r="J10" i="110"/>
  <c r="X9" i="110"/>
  <c r="AF139" i="241"/>
  <c r="U10" i="241"/>
  <c r="U113" i="233"/>
  <c r="AF214" i="241"/>
  <c r="AG214" i="241" s="1"/>
  <c r="BM125" i="241"/>
  <c r="BN125" i="241" s="1"/>
  <c r="U96" i="238"/>
  <c r="BD90" i="241"/>
  <c r="U45" i="236"/>
  <c r="U69" i="232"/>
  <c r="AH44" i="241"/>
  <c r="R248" i="229"/>
  <c r="U11" i="241"/>
  <c r="BN11" i="241" s="1"/>
  <c r="R248" i="241"/>
  <c r="U239" i="232"/>
  <c r="U103" i="229"/>
  <c r="U130" i="241"/>
  <c r="BN130" i="241" s="1"/>
  <c r="U181" i="229"/>
  <c r="AL44" i="241"/>
  <c r="AP112" i="241"/>
  <c r="BM45" i="241"/>
  <c r="BN45" i="241" s="1"/>
  <c r="BF112" i="241"/>
  <c r="U103" i="241"/>
  <c r="BN103" i="241" s="1"/>
  <c r="BM90" i="241"/>
  <c r="U69" i="229"/>
  <c r="AT112" i="241"/>
  <c r="BH56" i="241"/>
  <c r="U232" i="232"/>
  <c r="U205" i="238"/>
  <c r="AN10" i="241"/>
  <c r="AO10" i="241" s="1"/>
  <c r="BL78" i="241"/>
  <c r="BL105" i="241" s="1"/>
  <c r="AZ164" i="241"/>
  <c r="T226" i="241"/>
  <c r="U226" i="241" s="1"/>
  <c r="BL261" i="241"/>
  <c r="AR147" i="241"/>
  <c r="AR249" i="241"/>
  <c r="T198" i="241"/>
  <c r="X266" i="241"/>
  <c r="Y266" i="241" s="1"/>
  <c r="T164" i="233"/>
  <c r="BF147" i="241"/>
  <c r="T137" i="233"/>
  <c r="T261" i="230"/>
  <c r="T214" i="241"/>
  <c r="AX249" i="241"/>
  <c r="AX248" i="241" s="1"/>
  <c r="T266" i="236"/>
  <c r="T227" i="231"/>
  <c r="BL159" i="241"/>
  <c r="K21" i="110"/>
  <c r="J21" i="110"/>
  <c r="N20" i="110"/>
  <c r="AA20" i="110"/>
  <c r="AE20" i="110"/>
  <c r="AD19" i="110"/>
  <c r="V19" i="110"/>
  <c r="Q18" i="110"/>
  <c r="AG18" i="110"/>
  <c r="O18" i="110"/>
  <c r="J17" i="110"/>
  <c r="X17" i="110"/>
  <c r="I17" i="110"/>
  <c r="X16" i="110"/>
  <c r="O16" i="110"/>
  <c r="X15" i="110"/>
  <c r="P15" i="110"/>
  <c r="Z15" i="110"/>
  <c r="AD14" i="110"/>
  <c r="AE14" i="110"/>
  <c r="AA14" i="110"/>
  <c r="O13" i="110"/>
  <c r="AB13" i="110"/>
  <c r="L12" i="110"/>
  <c r="V12" i="110"/>
  <c r="AG12" i="110"/>
  <c r="R11" i="110"/>
  <c r="U11" i="110"/>
  <c r="AC11" i="110"/>
  <c r="AD10" i="110"/>
  <c r="L10" i="110"/>
  <c r="W9" i="110"/>
  <c r="AG9" i="110"/>
  <c r="K9" i="110"/>
  <c r="BJ181" i="241"/>
  <c r="BL232" i="241"/>
  <c r="BH105" i="241"/>
  <c r="BI105" i="241" s="1"/>
  <c r="BB215" i="241"/>
  <c r="BB214" i="241"/>
  <c r="AZ146" i="241"/>
  <c r="AZ239" i="241"/>
  <c r="AZ227" i="241"/>
  <c r="AV232" i="241"/>
  <c r="AV205" i="241"/>
  <c r="AN181" i="241"/>
  <c r="AL180" i="241"/>
  <c r="AN180" i="241"/>
  <c r="AH249" i="241"/>
  <c r="AJ193" i="241"/>
  <c r="AF227" i="241"/>
  <c r="AF273" i="241"/>
  <c r="AB181" i="241"/>
  <c r="AC181" i="241" s="1"/>
  <c r="AB215" i="241"/>
  <c r="X143" i="241"/>
  <c r="Y143" i="241" s="1"/>
  <c r="X146" i="241"/>
  <c r="X260" i="241"/>
  <c r="U141" i="241"/>
  <c r="T266" i="237"/>
  <c r="T249" i="234"/>
  <c r="T261" i="231"/>
  <c r="T227" i="238"/>
  <c r="T227" i="235"/>
  <c r="T239" i="233"/>
  <c r="T193" i="236"/>
  <c r="T181" i="234"/>
  <c r="U209" i="232"/>
  <c r="R181" i="230"/>
  <c r="R180" i="230" s="1"/>
  <c r="T147" i="237"/>
  <c r="T147" i="235"/>
  <c r="T91" i="231"/>
  <c r="T69" i="235"/>
  <c r="R45" i="233"/>
  <c r="R44" i="233" s="1"/>
  <c r="T23" i="231"/>
  <c r="R10" i="233"/>
  <c r="T112" i="233"/>
  <c r="U112" i="233" s="1"/>
  <c r="R146" i="234"/>
  <c r="U177" i="229"/>
  <c r="AG261" i="241"/>
  <c r="AK193" i="241"/>
  <c r="AK248" i="241"/>
  <c r="BA146" i="241"/>
  <c r="BE261" i="241"/>
  <c r="BI198" i="241"/>
  <c r="AB180" i="241"/>
  <c r="U130" i="234"/>
  <c r="U164" i="234"/>
  <c r="U96" i="229"/>
  <c r="U266" i="241"/>
  <c r="U232" i="241"/>
  <c r="U249" i="236"/>
  <c r="U261" i="229"/>
  <c r="BH112" i="241"/>
  <c r="BL56" i="241"/>
  <c r="BJ44" i="241"/>
  <c r="U261" i="232"/>
  <c r="AR56" i="241"/>
  <c r="T248" i="241"/>
  <c r="AR205" i="241"/>
  <c r="AB193" i="241"/>
  <c r="T125" i="233"/>
  <c r="T266" i="230"/>
  <c r="AJ71" i="241"/>
  <c r="AB239" i="241"/>
  <c r="AC239" i="241" s="1"/>
  <c r="V215" i="241"/>
  <c r="T249" i="231"/>
  <c r="T245" i="232"/>
  <c r="R181" i="234"/>
  <c r="R180" i="234" s="1"/>
  <c r="R147" i="237"/>
  <c r="R146" i="237" s="1"/>
  <c r="T159" i="231"/>
  <c r="T91" i="237"/>
  <c r="R79" i="231"/>
  <c r="T62" i="234"/>
  <c r="R45" i="230"/>
  <c r="T23" i="233"/>
  <c r="T56" i="230"/>
  <c r="R214" i="236"/>
  <c r="U214" i="231"/>
  <c r="T214" i="236"/>
  <c r="AK181" i="241"/>
  <c r="AK147" i="241"/>
  <c r="BE171" i="241"/>
  <c r="AV105" i="241"/>
  <c r="U193" i="232"/>
  <c r="BM23" i="241"/>
  <c r="BN23" i="241" s="1"/>
  <c r="X22" i="241"/>
  <c r="Y22" i="241" s="1"/>
  <c r="U69" i="241"/>
  <c r="BN69" i="241" s="1"/>
  <c r="AR10" i="241"/>
  <c r="AS10" i="241" s="1"/>
  <c r="AB10" i="241"/>
  <c r="U137" i="241"/>
  <c r="BN137" i="241" s="1"/>
  <c r="Z215" i="241"/>
  <c r="Z214" i="241" s="1"/>
  <c r="BD227" i="241"/>
  <c r="AF164" i="241"/>
  <c r="AG164" i="241" s="1"/>
  <c r="AH215" i="241"/>
  <c r="AH214" i="241" s="1"/>
  <c r="T239" i="235"/>
  <c r="T147" i="234"/>
  <c r="R45" i="236"/>
  <c r="L19" i="110"/>
  <c r="AB16" i="110"/>
  <c r="N14" i="110"/>
  <c r="I13" i="110"/>
  <c r="AD12" i="110"/>
  <c r="Z11" i="110"/>
  <c r="N10" i="110"/>
  <c r="Y139" i="241"/>
  <c r="U205" i="232"/>
  <c r="AN56" i="241"/>
  <c r="U69" i="236"/>
  <c r="U62" i="232"/>
  <c r="R180" i="229"/>
  <c r="X37" i="241"/>
  <c r="V112" i="241"/>
  <c r="AB260" i="241"/>
  <c r="BH147" i="241"/>
  <c r="BH146" i="241" s="1"/>
  <c r="T164" i="241"/>
  <c r="T232" i="233"/>
  <c r="V20" i="110"/>
  <c r="U19" i="110"/>
  <c r="K17" i="110"/>
  <c r="L16" i="110"/>
  <c r="X14" i="110"/>
  <c r="K13" i="110"/>
  <c r="AB11" i="110"/>
  <c r="P10" i="110"/>
  <c r="U9" i="110"/>
  <c r="BJ147" i="241"/>
  <c r="BH171" i="241"/>
  <c r="BI171" i="241" s="1"/>
  <c r="BD239" i="241"/>
  <c r="AX181" i="241"/>
  <c r="AV214" i="241"/>
  <c r="AR266" i="241"/>
  <c r="AN146" i="241"/>
  <c r="AJ273" i="241"/>
  <c r="V146" i="241"/>
  <c r="T109" i="241"/>
  <c r="R249" i="233"/>
  <c r="R248" i="233" s="1"/>
  <c r="R215" i="234"/>
  <c r="R214" i="234" s="1"/>
  <c r="T181" i="236"/>
  <c r="T198" i="230"/>
  <c r="T171" i="234"/>
  <c r="T137" i="235"/>
  <c r="U141" i="229"/>
  <c r="R79" i="233"/>
  <c r="T69" i="237"/>
  <c r="T62" i="231"/>
  <c r="T28" i="236"/>
  <c r="T28" i="233"/>
  <c r="T10" i="238"/>
  <c r="U23" i="235"/>
  <c r="T112" i="230"/>
  <c r="U124" i="230"/>
  <c r="U158" i="234"/>
  <c r="T112" i="238"/>
  <c r="T146" i="237"/>
  <c r="U279" i="229"/>
  <c r="AC248" i="241"/>
  <c r="AK71" i="241"/>
  <c r="AK139" i="241"/>
  <c r="AS198" i="241"/>
  <c r="AS159" i="241"/>
  <c r="AW35" i="241"/>
  <c r="BE205" i="241"/>
  <c r="T10" i="110"/>
  <c r="AC261" i="241"/>
  <c r="AK159" i="241"/>
  <c r="AO193" i="241"/>
  <c r="AS215" i="241"/>
  <c r="BA249" i="241"/>
  <c r="Y193" i="241"/>
  <c r="AG147" i="241"/>
  <c r="AK215" i="241"/>
  <c r="AW232" i="241"/>
  <c r="R180" i="236"/>
  <c r="BE193" i="241"/>
  <c r="G17" i="110"/>
  <c r="U147" i="236"/>
  <c r="Z147" i="241"/>
  <c r="Z146" i="241" s="1"/>
  <c r="Z10" i="110"/>
  <c r="BB146" i="241"/>
  <c r="AN171" i="241"/>
  <c r="X105" i="241"/>
  <c r="T239" i="237"/>
  <c r="T79" i="235"/>
  <c r="R11" i="230"/>
  <c r="U23" i="231"/>
  <c r="R112" i="230"/>
  <c r="T248" i="234"/>
  <c r="AO180" i="241"/>
  <c r="BA227" i="241"/>
  <c r="BM215" i="241"/>
  <c r="AK146" i="241"/>
  <c r="AS35" i="241"/>
  <c r="AS192" i="241"/>
  <c r="BI232" i="241"/>
  <c r="U71" i="241"/>
  <c r="U147" i="238"/>
  <c r="U205" i="229"/>
  <c r="Z78" i="241"/>
  <c r="V78" i="241"/>
  <c r="R44" i="229"/>
  <c r="BL22" i="241"/>
  <c r="AV10" i="241"/>
  <c r="BH181" i="241"/>
  <c r="AH181" i="241"/>
  <c r="T113" i="235"/>
  <c r="T96" i="234"/>
  <c r="K20" i="110"/>
  <c r="Z19" i="110"/>
  <c r="AA17" i="110"/>
  <c r="W16" i="110"/>
  <c r="Z14" i="110"/>
  <c r="W13" i="110"/>
  <c r="M11" i="110"/>
  <c r="K10" i="110"/>
  <c r="Z9" i="110"/>
  <c r="BH261" i="241"/>
  <c r="BD249" i="241"/>
  <c r="AZ171" i="241"/>
  <c r="AT215" i="241"/>
  <c r="AP181" i="241"/>
  <c r="AP180" i="241" s="1"/>
  <c r="AN205" i="241"/>
  <c r="AO205" i="241" s="1"/>
  <c r="AJ171" i="241"/>
  <c r="AK171" i="241" s="1"/>
  <c r="AF226" i="241"/>
  <c r="X273" i="241"/>
  <c r="T75" i="241"/>
  <c r="T266" i="231"/>
  <c r="T215" i="234"/>
  <c r="T205" i="236"/>
  <c r="U209" i="229"/>
  <c r="R147" i="233"/>
  <c r="R146" i="233" s="1"/>
  <c r="T125" i="234"/>
  <c r="T79" i="237"/>
  <c r="T103" i="233"/>
  <c r="T57" i="236"/>
  <c r="T75" i="229"/>
  <c r="T35" i="233"/>
  <c r="U10" i="231"/>
  <c r="U11" i="238"/>
  <c r="T56" i="233"/>
  <c r="T56" i="236"/>
  <c r="R44" i="236"/>
  <c r="R78" i="231"/>
  <c r="T112" i="235"/>
  <c r="U180" i="233"/>
  <c r="T192" i="234"/>
  <c r="U192" i="234" s="1"/>
  <c r="U245" i="232"/>
  <c r="AK273" i="241"/>
  <c r="AW239" i="241"/>
  <c r="BE35" i="241"/>
  <c r="BI159" i="241"/>
  <c r="U245" i="229"/>
  <c r="AC260" i="241"/>
  <c r="Y164" i="241"/>
  <c r="T241" i="237"/>
  <c r="BI147" i="241"/>
  <c r="R78" i="232"/>
  <c r="T159" i="241"/>
  <c r="K12" i="144"/>
  <c r="U273" i="229"/>
  <c r="AX10" i="241"/>
  <c r="AB56" i="241"/>
  <c r="R78" i="229"/>
  <c r="U35" i="232"/>
  <c r="AZ124" i="241"/>
  <c r="AN198" i="241"/>
  <c r="AF193" i="241"/>
  <c r="AG193" i="241" s="1"/>
  <c r="T215" i="235"/>
  <c r="T232" i="234"/>
  <c r="AD21" i="110"/>
  <c r="P20" i="110"/>
  <c r="AE18" i="110"/>
  <c r="N17" i="110"/>
  <c r="K15" i="110"/>
  <c r="Q14" i="110"/>
  <c r="AA12" i="110"/>
  <c r="L11" i="110"/>
  <c r="AE10" i="110"/>
  <c r="BH215" i="241"/>
  <c r="BD147" i="241"/>
  <c r="AX180" i="241"/>
  <c r="AV164" i="241"/>
  <c r="AW164" i="241" s="1"/>
  <c r="AL147" i="241"/>
  <c r="AJ232" i="241"/>
  <c r="AD248" i="241"/>
  <c r="X198" i="241"/>
  <c r="X205" i="241"/>
  <c r="Y205" i="241" s="1"/>
  <c r="T41" i="241"/>
  <c r="R249" i="231"/>
  <c r="R248" i="231" s="1"/>
  <c r="U243" i="232"/>
  <c r="T193" i="235"/>
  <c r="T164" i="238"/>
  <c r="T147" i="231"/>
  <c r="T113" i="234"/>
  <c r="R79" i="237"/>
  <c r="R78" i="237" s="1"/>
  <c r="T79" i="231"/>
  <c r="T45" i="235"/>
  <c r="U73" i="229"/>
  <c r="T11" i="235"/>
  <c r="U11" i="235" s="1"/>
  <c r="T11" i="233"/>
  <c r="U23" i="230"/>
  <c r="U23" i="233"/>
  <c r="U23" i="236"/>
  <c r="T90" i="231"/>
  <c r="T90" i="236"/>
  <c r="U90" i="236" s="1"/>
  <c r="T112" i="231"/>
  <c r="T78" i="236"/>
  <c r="T158" i="231"/>
  <c r="U158" i="231" s="1"/>
  <c r="T146" i="230"/>
  <c r="T180" i="234"/>
  <c r="R146" i="238"/>
  <c r="T226" i="235"/>
  <c r="U226" i="235" s="1"/>
  <c r="U226" i="237"/>
  <c r="AO181" i="241"/>
  <c r="AS214" i="241"/>
  <c r="BA239" i="241"/>
  <c r="BM159" i="241"/>
  <c r="AZ105" i="241"/>
  <c r="V249" i="241"/>
  <c r="AV158" i="241"/>
  <c r="Z249" i="241"/>
  <c r="T159" i="236"/>
  <c r="T75" i="232"/>
  <c r="AC105" i="241"/>
  <c r="AN260" i="241"/>
  <c r="AF11" i="110"/>
  <c r="T146" i="238"/>
  <c r="Y260" i="241"/>
  <c r="AG146" i="241"/>
  <c r="AN37" i="241"/>
  <c r="AO37" i="241" s="1"/>
  <c r="AB275" i="241"/>
  <c r="U260" i="229"/>
  <c r="AD78" i="241"/>
  <c r="U79" i="229"/>
  <c r="AZ37" i="241"/>
  <c r="BD56" i="241"/>
  <c r="AH112" i="241"/>
  <c r="U90" i="241"/>
  <c r="AR227" i="241"/>
  <c r="BD266" i="241"/>
  <c r="BE266" i="241" s="1"/>
  <c r="T261" i="233"/>
  <c r="T249" i="230"/>
  <c r="R180" i="241"/>
  <c r="R21" i="110"/>
  <c r="Z20" i="110"/>
  <c r="L18" i="110"/>
  <c r="Z17" i="110"/>
  <c r="O15" i="110"/>
  <c r="U14" i="110"/>
  <c r="AB12" i="110"/>
  <c r="AD11" i="110"/>
  <c r="P9" i="110"/>
  <c r="AC9" i="110"/>
  <c r="BL192" i="241"/>
  <c r="BF214" i="241"/>
  <c r="BB249" i="241"/>
  <c r="AV249" i="241"/>
  <c r="AL215" i="241"/>
  <c r="AJ164" i="241"/>
  <c r="AF158" i="241"/>
  <c r="AG158" i="241" s="1"/>
  <c r="V181" i="241"/>
  <c r="V180" i="241" s="1"/>
  <c r="X180" i="241"/>
  <c r="T249" i="237"/>
  <c r="R249" i="230"/>
  <c r="R248" i="230" s="1"/>
  <c r="T239" i="231"/>
  <c r="T205" i="234"/>
  <c r="T159" i="238"/>
  <c r="R147" i="231"/>
  <c r="R146" i="231" s="1"/>
  <c r="T130" i="231"/>
  <c r="R79" i="236"/>
  <c r="R78" i="236" s="1"/>
  <c r="T96" i="230"/>
  <c r="T69" i="234"/>
  <c r="T23" i="238"/>
  <c r="T28" i="235"/>
  <c r="T22" i="231"/>
  <c r="R44" i="230"/>
  <c r="T44" i="236"/>
  <c r="U28" i="231"/>
  <c r="T90" i="238"/>
  <c r="T78" i="231"/>
  <c r="T105" i="236"/>
  <c r="T124" i="233"/>
  <c r="R146" i="236"/>
  <c r="T146" i="235"/>
  <c r="U146" i="235" s="1"/>
  <c r="T192" i="235"/>
  <c r="U192" i="235" s="1"/>
  <c r="U214" i="236"/>
  <c r="AC205" i="241"/>
  <c r="AK205" i="241"/>
  <c r="AO139" i="241"/>
  <c r="AO146" i="241"/>
  <c r="AW159" i="241"/>
  <c r="AW171" i="241"/>
  <c r="BI35" i="241"/>
  <c r="AO35" i="241"/>
  <c r="H17" i="110"/>
  <c r="R79" i="227"/>
  <c r="R11" i="231"/>
  <c r="R10" i="231" s="1"/>
  <c r="T44" i="237"/>
  <c r="R78" i="233"/>
  <c r="T158" i="237"/>
  <c r="U158" i="237" s="1"/>
  <c r="U109" i="229"/>
  <c r="AK198" i="241"/>
  <c r="AS180" i="241"/>
  <c r="BB112" i="241"/>
  <c r="AE21" i="110"/>
  <c r="I19" i="110"/>
  <c r="V18" i="110"/>
  <c r="AD16" i="110"/>
  <c r="AD15" i="110"/>
  <c r="AG13" i="110"/>
  <c r="AC12" i="110"/>
  <c r="M9" i="110"/>
  <c r="BH266" i="241"/>
  <c r="BI266" i="241" s="1"/>
  <c r="AN239" i="241"/>
  <c r="R181" i="238"/>
  <c r="R180" i="238" s="1"/>
  <c r="R113" i="238"/>
  <c r="R112" i="238" s="1"/>
  <c r="T28" i="234"/>
  <c r="T226" i="236"/>
  <c r="AG181" i="241"/>
  <c r="AS266" i="241"/>
  <c r="AZ207" i="241"/>
  <c r="BA207" i="241" s="1"/>
  <c r="U78" i="234"/>
  <c r="T180" i="237"/>
  <c r="AW266" i="241"/>
  <c r="BH260" i="241"/>
  <c r="U22" i="241"/>
  <c r="Y90" i="241"/>
  <c r="U113" i="236"/>
  <c r="BD10" i="241"/>
  <c r="BH37" i="241"/>
  <c r="AN78" i="241"/>
  <c r="E9" i="34"/>
  <c r="BH227" i="241"/>
  <c r="BD164" i="241"/>
  <c r="BE164" i="241" s="1"/>
  <c r="T91" i="233"/>
  <c r="T215" i="230"/>
  <c r="R113" i="236"/>
  <c r="R112" i="236" s="1"/>
  <c r="P21" i="110"/>
  <c r="R19" i="110"/>
  <c r="AB18" i="110"/>
  <c r="J16" i="110"/>
  <c r="Q15" i="110"/>
  <c r="J13" i="110"/>
  <c r="M12" i="110"/>
  <c r="V10" i="110"/>
  <c r="AF9" i="110"/>
  <c r="BL266" i="241"/>
  <c r="BF146" i="241"/>
  <c r="AZ266" i="241"/>
  <c r="BA266" i="241" s="1"/>
  <c r="AT147" i="241"/>
  <c r="AR239" i="241"/>
  <c r="AL248" i="241"/>
  <c r="AJ180" i="241"/>
  <c r="V248" i="241"/>
  <c r="X192" i="241"/>
  <c r="Y192" i="241" s="1"/>
  <c r="R249" i="237"/>
  <c r="R248" i="237" s="1"/>
  <c r="R215" i="238"/>
  <c r="R214" i="238" s="1"/>
  <c r="T232" i="230"/>
  <c r="T193" i="233"/>
  <c r="T171" i="237"/>
  <c r="T164" i="230"/>
  <c r="T137" i="231"/>
  <c r="T91" i="235"/>
  <c r="T91" i="230"/>
  <c r="T57" i="234"/>
  <c r="T23" i="237"/>
  <c r="T10" i="235"/>
  <c r="U10" i="235" s="1"/>
  <c r="T35" i="231"/>
  <c r="R10" i="230"/>
  <c r="U23" i="237"/>
  <c r="U90" i="231"/>
  <c r="U28" i="238"/>
  <c r="R112" i="233"/>
  <c r="U78" i="236"/>
  <c r="T139" i="233"/>
  <c r="U146" i="230"/>
  <c r="R214" i="235"/>
  <c r="U109" i="232"/>
  <c r="AC232" i="241"/>
  <c r="AK180" i="241"/>
  <c r="AO147" i="241"/>
  <c r="AS273" i="241"/>
  <c r="AW215" i="241"/>
  <c r="BA171" i="241"/>
  <c r="BI260" i="241"/>
  <c r="BA248" i="241"/>
  <c r="BL260" i="241"/>
  <c r="BM260" i="241" s="1"/>
  <c r="T164" i="236"/>
  <c r="T125" i="231"/>
  <c r="R45" i="234"/>
  <c r="T11" i="234"/>
  <c r="T56" i="231"/>
  <c r="R78" i="234"/>
  <c r="AW214" i="241"/>
  <c r="BI239" i="241"/>
  <c r="U239" i="241"/>
  <c r="AH147" i="241"/>
  <c r="AH146" i="241" s="1"/>
  <c r="AV273" i="241"/>
  <c r="AW273" i="241" s="1"/>
  <c r="U107" i="241"/>
  <c r="T273" i="234"/>
  <c r="T137" i="230"/>
  <c r="T35" i="237"/>
  <c r="U11" i="237"/>
  <c r="AK239" i="241"/>
  <c r="U112" i="237"/>
  <c r="T192" i="236"/>
  <c r="U192" i="236" s="1"/>
  <c r="BE147" i="241"/>
  <c r="BL207" i="241"/>
  <c r="U227" i="236"/>
  <c r="U69" i="230"/>
  <c r="U45" i="229"/>
  <c r="Y57" i="241"/>
  <c r="U273" i="231"/>
  <c r="U57" i="241"/>
  <c r="BN57" i="241" s="1"/>
  <c r="Y44" i="241"/>
  <c r="AD181" i="241"/>
  <c r="AD180" i="241" s="1"/>
  <c r="AR164" i="241"/>
  <c r="AR232" i="241"/>
  <c r="AS232" i="241" s="1"/>
  <c r="T159" i="233"/>
  <c r="T181" i="241"/>
  <c r="L21" i="110"/>
  <c r="W19" i="110"/>
  <c r="U18" i="110"/>
  <c r="N16" i="110"/>
  <c r="W15" i="110"/>
  <c r="R13" i="110"/>
  <c r="P12" i="110"/>
  <c r="Q10" i="110"/>
  <c r="Y9" i="110"/>
  <c r="BL249" i="241"/>
  <c r="BD232" i="241"/>
  <c r="AZ261" i="241"/>
  <c r="AV75" i="241"/>
  <c r="AV181" i="241"/>
  <c r="AR171" i="241"/>
  <c r="AN159" i="241"/>
  <c r="AD214" i="241"/>
  <c r="AB147" i="241"/>
  <c r="X171" i="241"/>
  <c r="T273" i="237"/>
  <c r="R215" i="237"/>
  <c r="R214" i="237" s="1"/>
  <c r="T181" i="238"/>
  <c r="R181" i="233"/>
  <c r="R180" i="233" s="1"/>
  <c r="T130" i="238"/>
  <c r="R79" i="235"/>
  <c r="R78" i="235" s="1"/>
  <c r="T28" i="237"/>
  <c r="T56" i="234"/>
  <c r="T78" i="238"/>
  <c r="U124" i="233"/>
  <c r="AC171" i="241"/>
  <c r="AG198" i="241"/>
  <c r="AO215" i="241"/>
  <c r="BA273" i="241"/>
  <c r="U171" i="229"/>
  <c r="U62" i="238"/>
  <c r="T275" i="241"/>
  <c r="AZ159" i="241"/>
  <c r="T193" i="231"/>
  <c r="T57" i="238"/>
  <c r="R44" i="234"/>
  <c r="T124" i="237"/>
  <c r="U214" i="237"/>
  <c r="Y147" i="241"/>
  <c r="AF192" i="241"/>
  <c r="AW261" i="241"/>
  <c r="BE181" i="241"/>
  <c r="BL226" i="241"/>
  <c r="BM226" i="241" s="1"/>
  <c r="T248" i="235"/>
  <c r="U78" i="232"/>
  <c r="AJ22" i="241"/>
  <c r="AJ78" i="241"/>
  <c r="U62" i="229"/>
  <c r="U130" i="232"/>
  <c r="U35" i="241"/>
  <c r="V44" i="241"/>
  <c r="AF266" i="241"/>
  <c r="AB227" i="241"/>
  <c r="X215" i="241"/>
  <c r="T232" i="231"/>
  <c r="T62" i="237"/>
  <c r="I21" i="110"/>
  <c r="AG19" i="110"/>
  <c r="AC18" i="110"/>
  <c r="AG16" i="110"/>
  <c r="AC15" i="110"/>
  <c r="L13" i="110"/>
  <c r="AE11" i="110"/>
  <c r="AB10" i="110"/>
  <c r="AB9" i="110"/>
  <c r="BL164" i="241"/>
  <c r="BH164" i="241"/>
  <c r="BD159" i="241"/>
  <c r="AZ232" i="241"/>
  <c r="AV227" i="241"/>
  <c r="AV192" i="241"/>
  <c r="AW192" i="241" s="1"/>
  <c r="AN232" i="241"/>
  <c r="AJ227" i="241"/>
  <c r="AK227" i="241" s="1"/>
  <c r="AF71" i="241"/>
  <c r="AG71" i="241" s="1"/>
  <c r="AB159" i="241"/>
  <c r="X71" i="241"/>
  <c r="Y71" i="241" s="1"/>
  <c r="U73" i="241"/>
  <c r="T249" i="233"/>
  <c r="T227" i="234"/>
  <c r="T198" i="237"/>
  <c r="T181" i="231"/>
  <c r="T171" i="235"/>
  <c r="T137" i="238"/>
  <c r="T143" i="229"/>
  <c r="T79" i="233"/>
  <c r="R45" i="238"/>
  <c r="R44" i="238" s="1"/>
  <c r="U73" i="232"/>
  <c r="R11" i="236"/>
  <c r="T35" i="234"/>
  <c r="T11" i="230"/>
  <c r="R44" i="231"/>
  <c r="T56" i="235"/>
  <c r="R78" i="230"/>
  <c r="AZ71" i="241"/>
  <c r="BA56" i="241"/>
  <c r="T146" i="241"/>
  <c r="AS22" i="241"/>
  <c r="AC44" i="241"/>
  <c r="BN44" i="241" s="1"/>
  <c r="AB71" i="241"/>
  <c r="AK266" i="241"/>
  <c r="Y11" i="110"/>
  <c r="AC164" i="241"/>
  <c r="AW260" i="241"/>
  <c r="T192" i="230"/>
  <c r="U192" i="230" s="1"/>
  <c r="BI22" i="241"/>
  <c r="T226" i="233"/>
  <c r="U226" i="233" s="1"/>
  <c r="BL214" i="241"/>
  <c r="BE215" i="241"/>
  <c r="BA214" i="241"/>
  <c r="U211" i="229"/>
  <c r="T207" i="235"/>
  <c r="U180" i="235"/>
  <c r="BI78" i="241"/>
  <c r="AF105" i="241"/>
  <c r="AG90" i="241"/>
  <c r="AO22" i="241"/>
  <c r="BE124" i="241"/>
  <c r="AS124" i="241"/>
  <c r="AW112" i="241"/>
  <c r="AF37" i="241"/>
  <c r="AG22" i="241"/>
  <c r="X158" i="241"/>
  <c r="Y159" i="241"/>
  <c r="T124" i="235"/>
  <c r="U124" i="235" s="1"/>
  <c r="AR260" i="241"/>
  <c r="AS260" i="241" s="1"/>
  <c r="AS261" i="241"/>
  <c r="AK249" i="241"/>
  <c r="T214" i="233"/>
  <c r="U211" i="232"/>
  <c r="T180" i="230"/>
  <c r="T158" i="235"/>
  <c r="T56" i="237"/>
  <c r="T44" i="233"/>
  <c r="U10" i="236"/>
  <c r="AO248" i="241"/>
  <c r="T124" i="236"/>
  <c r="T44" i="230"/>
  <c r="U41" i="232"/>
  <c r="T146" i="233"/>
  <c r="BE192" i="241"/>
  <c r="AF173" i="241"/>
  <c r="AG173" i="241" s="1"/>
  <c r="X226" i="241"/>
  <c r="Y226" i="241" s="1"/>
  <c r="T214" i="238"/>
  <c r="T192" i="238"/>
  <c r="T22" i="234"/>
  <c r="U22" i="234" s="1"/>
  <c r="U23" i="234"/>
  <c r="AG139" i="241"/>
  <c r="BE90" i="241"/>
  <c r="BN90" i="241" s="1"/>
  <c r="BI56" i="241"/>
  <c r="Y17" i="110"/>
  <c r="BA164" i="241"/>
  <c r="AR146" i="241"/>
  <c r="AS147" i="241"/>
  <c r="H15" i="110"/>
  <c r="AS249" i="241"/>
  <c r="T192" i="241"/>
  <c r="T241" i="241"/>
  <c r="T226" i="231"/>
  <c r="AW205" i="241"/>
  <c r="AJ192" i="241"/>
  <c r="AG227" i="241"/>
  <c r="AG273" i="241"/>
  <c r="AB214" i="241"/>
  <c r="AC215" i="241"/>
  <c r="X173" i="241"/>
  <c r="Y173" i="241" s="1"/>
  <c r="Y146" i="241"/>
  <c r="T226" i="238"/>
  <c r="AC180" i="241"/>
  <c r="BI112" i="241"/>
  <c r="BH139" i="241"/>
  <c r="AS56" i="241"/>
  <c r="AR207" i="241"/>
  <c r="AS207" i="241" s="1"/>
  <c r="AS205" i="241"/>
  <c r="AC193" i="241"/>
  <c r="AB192" i="241"/>
  <c r="T248" i="231"/>
  <c r="T90" i="237"/>
  <c r="U90" i="237" s="1"/>
  <c r="AW105" i="241"/>
  <c r="AC10" i="241"/>
  <c r="AB37" i="241"/>
  <c r="BD226" i="241"/>
  <c r="BE227" i="241"/>
  <c r="T146" i="234"/>
  <c r="AN71" i="241"/>
  <c r="AO56" i="241"/>
  <c r="Y37" i="241"/>
  <c r="BI146" i="241"/>
  <c r="BE239" i="241"/>
  <c r="T180" i="236"/>
  <c r="T22" i="236"/>
  <c r="U28" i="236"/>
  <c r="T22" i="233"/>
  <c r="U22" i="233" s="1"/>
  <c r="U28" i="233"/>
  <c r="U10" i="238"/>
  <c r="T139" i="230"/>
  <c r="U112" i="230"/>
  <c r="U146" i="237"/>
  <c r="T173" i="237"/>
  <c r="AF14" i="110"/>
  <c r="AO171" i="241"/>
  <c r="T78" i="235"/>
  <c r="U248" i="234"/>
  <c r="BL37" i="241"/>
  <c r="AV37" i="241"/>
  <c r="AW10" i="241"/>
  <c r="BI181" i="241"/>
  <c r="T90" i="234"/>
  <c r="BI261" i="241"/>
  <c r="BE249" i="241"/>
  <c r="AG226" i="241"/>
  <c r="X275" i="241"/>
  <c r="T214" i="234"/>
  <c r="T124" i="234"/>
  <c r="U124" i="234" s="1"/>
  <c r="T78" i="237"/>
  <c r="U75" i="229"/>
  <c r="T139" i="235"/>
  <c r="U112" i="235"/>
  <c r="T9" i="110"/>
  <c r="T158" i="241"/>
  <c r="AC56" i="241"/>
  <c r="AZ139" i="241"/>
  <c r="BA124" i="241"/>
  <c r="BN124" i="241" s="1"/>
  <c r="AN192" i="241"/>
  <c r="Y14" i="110"/>
  <c r="AO198" i="241"/>
  <c r="T214" i="235"/>
  <c r="BI215" i="241"/>
  <c r="BH214" i="241"/>
  <c r="BD146" i="241"/>
  <c r="AK232" i="241"/>
  <c r="Y10" i="110"/>
  <c r="U41" i="241"/>
  <c r="T146" i="231"/>
  <c r="T112" i="234"/>
  <c r="T44" i="235"/>
  <c r="U11" i="233"/>
  <c r="T10" i="233"/>
  <c r="U112" i="231"/>
  <c r="T207" i="234"/>
  <c r="U180" i="234"/>
  <c r="BA105" i="241"/>
  <c r="AW158" i="241"/>
  <c r="AV173" i="241"/>
  <c r="AW173" i="241" s="1"/>
  <c r="T158" i="236"/>
  <c r="U75" i="232"/>
  <c r="AN275" i="241"/>
  <c r="AO275" i="241" s="1"/>
  <c r="BA37" i="241"/>
  <c r="BE56" i="241"/>
  <c r="T15" i="110"/>
  <c r="AS227" i="241"/>
  <c r="AR226" i="241"/>
  <c r="AS226" i="241" s="1"/>
  <c r="T248" i="230"/>
  <c r="AW249" i="241"/>
  <c r="AV248" i="241"/>
  <c r="AW248" i="241" s="1"/>
  <c r="AK164" i="241"/>
  <c r="AJ158" i="241"/>
  <c r="X207" i="241"/>
  <c r="Y180" i="241"/>
  <c r="T248" i="237"/>
  <c r="T158" i="238"/>
  <c r="U23" i="238"/>
  <c r="T22" i="238"/>
  <c r="T22" i="235"/>
  <c r="U28" i="235"/>
  <c r="T37" i="231"/>
  <c r="U37" i="231" s="1"/>
  <c r="T71" i="236"/>
  <c r="U71" i="236" s="1"/>
  <c r="U78" i="231"/>
  <c r="T105" i="231"/>
  <c r="T71" i="237"/>
  <c r="U71" i="237" s="1"/>
  <c r="AO239" i="241"/>
  <c r="U28" i="234"/>
  <c r="T241" i="236"/>
  <c r="U226" i="236"/>
  <c r="U180" i="237"/>
  <c r="BE10" i="241"/>
  <c r="BN10" i="241" s="1"/>
  <c r="BI37" i="241"/>
  <c r="AN105" i="241"/>
  <c r="AO105" i="241" s="1"/>
  <c r="AO78" i="241"/>
  <c r="BI227" i="241"/>
  <c r="BH226" i="241"/>
  <c r="BI226" i="241" s="1"/>
  <c r="T90" i="233"/>
  <c r="U90" i="233" s="1"/>
  <c r="T214" i="230"/>
  <c r="AS239" i="241"/>
  <c r="T226" i="230"/>
  <c r="U226" i="230" s="1"/>
  <c r="T192" i="233"/>
  <c r="T158" i="230"/>
  <c r="T90" i="235"/>
  <c r="U90" i="235" s="1"/>
  <c r="T90" i="230"/>
  <c r="T124" i="231"/>
  <c r="U11" i="234"/>
  <c r="T10" i="234"/>
  <c r="T71" i="231"/>
  <c r="AS164" i="241"/>
  <c r="T158" i="233"/>
  <c r="U158" i="233" s="1"/>
  <c r="T180" i="241"/>
  <c r="H9" i="110"/>
  <c r="BL248" i="241"/>
  <c r="BM249" i="241"/>
  <c r="BE232" i="241"/>
  <c r="BA261" i="241"/>
  <c r="AZ260" i="241"/>
  <c r="AV180" i="241"/>
  <c r="AW181" i="241"/>
  <c r="AS171" i="241"/>
  <c r="AO159" i="241"/>
  <c r="AN158" i="241"/>
  <c r="AB146" i="241"/>
  <c r="AC147" i="241"/>
  <c r="H11" i="110"/>
  <c r="Y171" i="241"/>
  <c r="AF10" i="110"/>
  <c r="T180" i="238"/>
  <c r="T124" i="238"/>
  <c r="T22" i="237"/>
  <c r="U28" i="237"/>
  <c r="T71" i="234"/>
  <c r="U71" i="234" s="1"/>
  <c r="U78" i="238"/>
  <c r="T105" i="238"/>
  <c r="T17" i="110"/>
  <c r="AZ158" i="241"/>
  <c r="BA159" i="241"/>
  <c r="T192" i="231"/>
  <c r="U192" i="231" s="1"/>
  <c r="T56" i="238"/>
  <c r="U124" i="237"/>
  <c r="T139" i="237"/>
  <c r="AG192" i="241"/>
  <c r="U248" i="235"/>
  <c r="AK22" i="241"/>
  <c r="AK78" i="241"/>
  <c r="AF260" i="241"/>
  <c r="AG266" i="241"/>
  <c r="AC227" i="241"/>
  <c r="AB226" i="241"/>
  <c r="AC226" i="241" s="1"/>
  <c r="Y215" i="241"/>
  <c r="Y20" i="110"/>
  <c r="BL158" i="241"/>
  <c r="BH158" i="241"/>
  <c r="BI164" i="241"/>
  <c r="BE159" i="241"/>
  <c r="BD158" i="241"/>
  <c r="BA232" i="241"/>
  <c r="AZ226" i="241"/>
  <c r="AW227" i="241"/>
  <c r="AV226" i="241"/>
  <c r="AO232" i="241"/>
  <c r="AN226" i="241"/>
  <c r="AO226" i="241" s="1"/>
  <c r="AC159" i="241"/>
  <c r="T11" i="110"/>
  <c r="AB158" i="241"/>
  <c r="T248" i="233"/>
  <c r="T226" i="234"/>
  <c r="U226" i="234" s="1"/>
  <c r="T192" i="237"/>
  <c r="T180" i="231"/>
  <c r="U143" i="229"/>
  <c r="T78" i="233"/>
  <c r="R10" i="236"/>
  <c r="T10" i="230"/>
  <c r="U11" i="230"/>
  <c r="BA71" i="241"/>
  <c r="G9" i="110"/>
  <c r="T173" i="241"/>
  <c r="AC71" i="241"/>
  <c r="BM214" i="241"/>
  <c r="BL241" i="241"/>
  <c r="BM241" i="241" s="1"/>
  <c r="AG105" i="241"/>
  <c r="AG37" i="241"/>
  <c r="Y158" i="241"/>
  <c r="S10" i="110"/>
  <c r="T241" i="233"/>
  <c r="U214" i="233"/>
  <c r="T207" i="230"/>
  <c r="U180" i="230"/>
  <c r="T173" i="235"/>
  <c r="U158" i="235"/>
  <c r="T71" i="233"/>
  <c r="U71" i="233" s="1"/>
  <c r="U124" i="236"/>
  <c r="T139" i="236"/>
  <c r="T71" i="230"/>
  <c r="U71" i="230" s="1"/>
  <c r="U146" i="233"/>
  <c r="T173" i="233"/>
  <c r="T241" i="238"/>
  <c r="U241" i="238" s="1"/>
  <c r="AS146" i="241"/>
  <c r="T241" i="231"/>
  <c r="U226" i="231"/>
  <c r="AJ207" i="241"/>
  <c r="AK207" i="241" s="1"/>
  <c r="AK192" i="241"/>
  <c r="AC214" i="241"/>
  <c r="AB241" i="241"/>
  <c r="BI139" i="241"/>
  <c r="AB207" i="241"/>
  <c r="AC207" i="241" s="1"/>
  <c r="AC192" i="241"/>
  <c r="U248" i="231"/>
  <c r="AC37" i="241"/>
  <c r="BE226" i="241"/>
  <c r="U146" i="234"/>
  <c r="T173" i="234"/>
  <c r="AO71" i="241"/>
  <c r="U180" i="236"/>
  <c r="T207" i="236"/>
  <c r="T37" i="236"/>
  <c r="U37" i="236" s="1"/>
  <c r="U22" i="236"/>
  <c r="U78" i="235"/>
  <c r="T105" i="235"/>
  <c r="AW37" i="241"/>
  <c r="U90" i="234"/>
  <c r="T105" i="234"/>
  <c r="U214" i="234"/>
  <c r="T241" i="234"/>
  <c r="T105" i="237"/>
  <c r="U78" i="237"/>
  <c r="S9" i="110"/>
  <c r="BA139" i="241"/>
  <c r="AO192" i="241"/>
  <c r="AN207" i="241"/>
  <c r="T241" i="235"/>
  <c r="U214" i="235"/>
  <c r="BI214" i="241"/>
  <c r="BH241" i="241"/>
  <c r="BI241" i="241" s="1"/>
  <c r="BE146" i="241"/>
  <c r="BD173" i="241"/>
  <c r="T173" i="231"/>
  <c r="U146" i="231"/>
  <c r="T139" i="234"/>
  <c r="U112" i="234"/>
  <c r="T71" i="235"/>
  <c r="U71" i="235" s="1"/>
  <c r="T37" i="233"/>
  <c r="U37" i="233" s="1"/>
  <c r="U10" i="233"/>
  <c r="U158" i="236"/>
  <c r="T173" i="236"/>
  <c r="U248" i="230"/>
  <c r="AJ173" i="241"/>
  <c r="AK173" i="241" s="1"/>
  <c r="AK158" i="241"/>
  <c r="U248" i="237"/>
  <c r="T173" i="238"/>
  <c r="U173" i="238" s="1"/>
  <c r="T37" i="238"/>
  <c r="U37" i="238" s="1"/>
  <c r="U22" i="235"/>
  <c r="T37" i="235"/>
  <c r="U37" i="235" s="1"/>
  <c r="T241" i="230"/>
  <c r="U214" i="230"/>
  <c r="T207" i="233"/>
  <c r="U192" i="233"/>
  <c r="T173" i="230"/>
  <c r="U158" i="230"/>
  <c r="U90" i="230"/>
  <c r="T105" i="230"/>
  <c r="T139" i="231"/>
  <c r="U124" i="231"/>
  <c r="T37" i="234"/>
  <c r="U37" i="234" s="1"/>
  <c r="U10" i="234"/>
  <c r="T207" i="241"/>
  <c r="BL275" i="241"/>
  <c r="BM275" i="241" s="1"/>
  <c r="BM248" i="241"/>
  <c r="AZ275" i="241"/>
  <c r="BA260" i="241"/>
  <c r="G16" i="110"/>
  <c r="AW180" i="241"/>
  <c r="AV207" i="241"/>
  <c r="AW207" i="241" s="1"/>
  <c r="S14" i="110"/>
  <c r="AN173" i="241"/>
  <c r="AO158" i="241"/>
  <c r="G11" i="110"/>
  <c r="AC146" i="241"/>
  <c r="AB173" i="241"/>
  <c r="T207" i="238"/>
  <c r="T139" i="238"/>
  <c r="U22" i="237"/>
  <c r="T37" i="237"/>
  <c r="U37" i="237" s="1"/>
  <c r="S17" i="110"/>
  <c r="AZ173" i="241"/>
  <c r="BA158" i="241"/>
  <c r="T71" i="238"/>
  <c r="U56" i="238"/>
  <c r="AG260" i="241"/>
  <c r="AF275" i="241"/>
  <c r="S20" i="110"/>
  <c r="BL173" i="241"/>
  <c r="BM173" i="241" s="1"/>
  <c r="BH173" i="241"/>
  <c r="BI173" i="241" s="1"/>
  <c r="BI158" i="241"/>
  <c r="BE158" i="241"/>
  <c r="AZ241" i="241"/>
  <c r="BA241" i="241" s="1"/>
  <c r="BA226" i="241"/>
  <c r="S16" i="110"/>
  <c r="AV241" i="241"/>
  <c r="AW226" i="241"/>
  <c r="S11" i="110"/>
  <c r="AC158" i="241"/>
  <c r="U248" i="233"/>
  <c r="T207" i="237"/>
  <c r="U192" i="237"/>
  <c r="U180" i="231"/>
  <c r="T207" i="231"/>
  <c r="T105" i="233"/>
  <c r="U78" i="233"/>
  <c r="U10" i="230"/>
  <c r="T37" i="230"/>
  <c r="U37" i="230" s="1"/>
  <c r="AH9" i="110"/>
  <c r="BE173" i="241"/>
  <c r="AH11" i="110"/>
  <c r="AC173" i="241"/>
  <c r="AH17" i="110"/>
  <c r="BA173" i="241"/>
  <c r="T209" i="241" l="1"/>
  <c r="T175" i="241"/>
  <c r="AZ141" i="241"/>
  <c r="BL39" i="241"/>
  <c r="AN73" i="241"/>
  <c r="AB39" i="241"/>
  <c r="BH141" i="241"/>
  <c r="T243" i="241"/>
  <c r="AF107" i="241"/>
  <c r="AB73" i="241"/>
  <c r="AZ73" i="241"/>
  <c r="T277" i="241"/>
  <c r="BH39" i="241"/>
  <c r="AZ39" i="241"/>
  <c r="AZ107" i="241"/>
  <c r="X39" i="241"/>
  <c r="AV107" i="241"/>
  <c r="BL107" i="241"/>
  <c r="AF141" i="241"/>
  <c r="AR107" i="241"/>
  <c r="BL141" i="241"/>
  <c r="BL277" i="241"/>
  <c r="BL243" i="241"/>
  <c r="BL175" i="241"/>
  <c r="BL209" i="241"/>
  <c r="BH243" i="241"/>
  <c r="BH107" i="241"/>
  <c r="BH175" i="241"/>
  <c r="BD175" i="241"/>
  <c r="AZ277" i="241"/>
  <c r="AZ243" i="241"/>
  <c r="AZ209" i="241"/>
  <c r="AZ175" i="241"/>
  <c r="AV243" i="241"/>
  <c r="AV209" i="241"/>
  <c r="AV175" i="241"/>
  <c r="AV39" i="241"/>
  <c r="AR209" i="241"/>
  <c r="AN277" i="241"/>
  <c r="AN175" i="241"/>
  <c r="AN209" i="241"/>
  <c r="AN39" i="241"/>
  <c r="AN141" i="241"/>
  <c r="AN107" i="241"/>
  <c r="AJ209" i="241"/>
  <c r="AJ175" i="241"/>
  <c r="AJ73" i="241"/>
  <c r="AJ141" i="241"/>
  <c r="AF175" i="241"/>
  <c r="AF277" i="241"/>
  <c r="AF39" i="241"/>
  <c r="AF73" i="241"/>
  <c r="AB277" i="241"/>
  <c r="AB243" i="241"/>
  <c r="AB209" i="241"/>
  <c r="AB107" i="241"/>
  <c r="AB175" i="241"/>
  <c r="AB141" i="241"/>
  <c r="X209" i="241"/>
  <c r="X175" i="241"/>
  <c r="X277" i="241"/>
  <c r="X73" i="241"/>
  <c r="X107" i="241"/>
  <c r="T243" i="238"/>
  <c r="T243" i="237"/>
  <c r="T243" i="236"/>
  <c r="T243" i="235"/>
  <c r="T243" i="234"/>
  <c r="T243" i="233"/>
  <c r="T243" i="231"/>
  <c r="T243" i="230"/>
  <c r="T209" i="238"/>
  <c r="T209" i="237"/>
  <c r="T209" i="236"/>
  <c r="T209" i="235"/>
  <c r="T209" i="234"/>
  <c r="T209" i="233"/>
  <c r="T209" i="231"/>
  <c r="T209" i="230"/>
  <c r="T175" i="238"/>
  <c r="T175" i="237"/>
  <c r="T175" i="236"/>
  <c r="T175" i="235"/>
  <c r="T175" i="234"/>
  <c r="T175" i="233"/>
  <c r="T175" i="231"/>
  <c r="T175" i="230"/>
  <c r="T141" i="238"/>
  <c r="T141" i="237"/>
  <c r="T141" i="236"/>
  <c r="T141" i="235"/>
  <c r="T141" i="234"/>
  <c r="T141" i="233"/>
  <c r="T141" i="231"/>
  <c r="T141" i="230"/>
  <c r="T107" i="238"/>
  <c r="T107" i="237"/>
  <c r="T107" i="236"/>
  <c r="T107" i="235"/>
  <c r="T107" i="234"/>
  <c r="T107" i="233"/>
  <c r="T107" i="231"/>
  <c r="T107" i="230"/>
  <c r="T73" i="238"/>
  <c r="T73" i="237"/>
  <c r="T73" i="236"/>
  <c r="T73" i="235"/>
  <c r="T73" i="234"/>
  <c r="T73" i="233"/>
  <c r="T7" i="232"/>
  <c r="T73" i="231"/>
  <c r="T73" i="230"/>
  <c r="T7" i="229"/>
  <c r="T39" i="238"/>
  <c r="T39" i="237"/>
  <c r="T39" i="236"/>
  <c r="T39" i="235"/>
  <c r="T39" i="234"/>
  <c r="T39" i="233"/>
  <c r="T39" i="231"/>
  <c r="T39" i="230"/>
  <c r="B1" i="227"/>
  <c r="F1" i="227"/>
  <c r="D1" i="227"/>
  <c r="A33" i="13"/>
  <c r="B34" i="13"/>
  <c r="B34" i="187"/>
  <c r="A33" i="187"/>
  <c r="U105" i="233"/>
  <c r="AG275" i="241"/>
  <c r="U173" i="236"/>
  <c r="U105" i="237"/>
  <c r="U241" i="231"/>
  <c r="E16" i="144"/>
  <c r="U158" i="238"/>
  <c r="Y275" i="241"/>
  <c r="BM56" i="241"/>
  <c r="BN56" i="241" s="1"/>
  <c r="U207" i="235"/>
  <c r="F11" i="144"/>
  <c r="U181" i="231"/>
  <c r="U232" i="231"/>
  <c r="U275" i="241"/>
  <c r="K17" i="144"/>
  <c r="AR158" i="241"/>
  <c r="U125" i="231"/>
  <c r="U35" i="231"/>
  <c r="U232" i="230"/>
  <c r="BH41" i="241"/>
  <c r="U44" i="237"/>
  <c r="F10" i="144"/>
  <c r="U159" i="238"/>
  <c r="U249" i="230"/>
  <c r="F12" i="34"/>
  <c r="U113" i="234"/>
  <c r="H18" i="110"/>
  <c r="U241" i="237"/>
  <c r="U57" i="236"/>
  <c r="U75" i="241"/>
  <c r="AH180" i="241"/>
  <c r="J16" i="144"/>
  <c r="U137" i="235"/>
  <c r="AF18" i="110"/>
  <c r="U239" i="235"/>
  <c r="J14" i="144"/>
  <c r="BL71" i="241"/>
  <c r="U147" i="237"/>
  <c r="U249" i="234"/>
  <c r="BJ180" i="241"/>
  <c r="AR248" i="241"/>
  <c r="BM193" i="241"/>
  <c r="U215" i="238"/>
  <c r="U215" i="241"/>
  <c r="BN215" i="241" s="1"/>
  <c r="U130" i="236"/>
  <c r="U62" i="230"/>
  <c r="U130" i="230"/>
  <c r="U193" i="234"/>
  <c r="H12" i="110"/>
  <c r="U96" i="236"/>
  <c r="AV139" i="241"/>
  <c r="U69" i="233"/>
  <c r="H20" i="110"/>
  <c r="T260" i="230"/>
  <c r="J11" i="144"/>
  <c r="U57" i="235"/>
  <c r="U171" i="238"/>
  <c r="L12" i="34"/>
  <c r="T16" i="110"/>
  <c r="U113" i="230"/>
  <c r="AR109" i="241"/>
  <c r="U57" i="231"/>
  <c r="U113" i="231"/>
  <c r="U239" i="230"/>
  <c r="AC139" i="241"/>
  <c r="U125" i="235"/>
  <c r="BL245" i="241"/>
  <c r="AV245" i="241"/>
  <c r="AB177" i="241"/>
  <c r="Y73" i="241"/>
  <c r="U243" i="237"/>
  <c r="U243" i="233"/>
  <c r="T227" i="227"/>
  <c r="T211" i="235"/>
  <c r="U209" i="230"/>
  <c r="T177" i="238"/>
  <c r="T177" i="234"/>
  <c r="T147" i="227"/>
  <c r="T143" i="236"/>
  <c r="T143" i="231"/>
  <c r="T109" i="238"/>
  <c r="U107" i="234"/>
  <c r="T103" i="227"/>
  <c r="U73" i="236"/>
  <c r="U7" i="232"/>
  <c r="T57" i="227"/>
  <c r="U39" i="236"/>
  <c r="U39" i="231"/>
  <c r="T23" i="227"/>
  <c r="R78" i="227"/>
  <c r="U143" i="231"/>
  <c r="AW75" i="241"/>
  <c r="BA277" i="241"/>
  <c r="BI175" i="241"/>
  <c r="BI107" i="241"/>
  <c r="BM141" i="241"/>
  <c r="U211" i="235"/>
  <c r="AO141" i="241"/>
  <c r="BA39" i="241"/>
  <c r="U207" i="233"/>
  <c r="U232" i="236"/>
  <c r="U171" i="241"/>
  <c r="U45" i="231"/>
  <c r="U261" i="236"/>
  <c r="U91" i="236"/>
  <c r="Y227" i="241"/>
  <c r="AG39" i="241"/>
  <c r="AB279" i="241"/>
  <c r="U209" i="236"/>
  <c r="T205" i="227"/>
  <c r="U107" i="235"/>
  <c r="U73" i="237"/>
  <c r="U39" i="237"/>
  <c r="AC243" i="241"/>
  <c r="AW243" i="241"/>
  <c r="BA275" i="241"/>
  <c r="AN75" i="241"/>
  <c r="AO75" i="241" s="1"/>
  <c r="U171" i="235"/>
  <c r="U159" i="233"/>
  <c r="G13" i="144"/>
  <c r="U113" i="235"/>
  <c r="U147" i="234"/>
  <c r="U261" i="231"/>
  <c r="AR211" i="241"/>
  <c r="U209" i="231"/>
  <c r="R147" i="227"/>
  <c r="T41" i="236"/>
  <c r="AS109" i="241"/>
  <c r="BI41" i="241"/>
  <c r="U207" i="231"/>
  <c r="U71" i="238"/>
  <c r="U207" i="241"/>
  <c r="U139" i="234"/>
  <c r="U241" i="234"/>
  <c r="U173" i="233"/>
  <c r="U180" i="241"/>
  <c r="Y207" i="241"/>
  <c r="BM261" i="241"/>
  <c r="AB41" i="241"/>
  <c r="AC41" i="241" s="1"/>
  <c r="AC39" i="241"/>
  <c r="U192" i="238"/>
  <c r="G20" i="110"/>
  <c r="U35" i="234"/>
  <c r="U198" i="237"/>
  <c r="X214" i="241"/>
  <c r="T279" i="241"/>
  <c r="U277" i="241"/>
  <c r="U273" i="237"/>
  <c r="BM207" i="241"/>
  <c r="U164" i="236"/>
  <c r="U57" i="234"/>
  <c r="K18" i="144"/>
  <c r="BD37" i="241"/>
  <c r="E11" i="144"/>
  <c r="U22" i="231"/>
  <c r="U205" i="234"/>
  <c r="U261" i="233"/>
  <c r="U159" i="236"/>
  <c r="U147" i="231"/>
  <c r="H19" i="110"/>
  <c r="U103" i="233"/>
  <c r="Y273" i="241"/>
  <c r="BH180" i="241"/>
  <c r="BN193" i="241"/>
  <c r="U171" i="234"/>
  <c r="BM171" i="241"/>
  <c r="BN171" i="241" s="1"/>
  <c r="AV109" i="241"/>
  <c r="K12" i="34"/>
  <c r="BM198" i="241"/>
  <c r="J10" i="144"/>
  <c r="U266" i="237"/>
  <c r="U227" i="231"/>
  <c r="BL109" i="241"/>
  <c r="T260" i="231"/>
  <c r="U261" i="237"/>
  <c r="G14" i="110"/>
  <c r="U45" i="233"/>
  <c r="H17" i="144"/>
  <c r="U205" i="237"/>
  <c r="H13" i="110"/>
  <c r="U227" i="230"/>
  <c r="AR139" i="241"/>
  <c r="U96" i="233"/>
  <c r="U137" i="237"/>
  <c r="T248" i="238"/>
  <c r="G18" i="144"/>
  <c r="U69" i="238"/>
  <c r="U193" i="230"/>
  <c r="U249" i="235"/>
  <c r="BD180" i="241"/>
  <c r="U198" i="233"/>
  <c r="K9" i="144"/>
  <c r="U45" i="234"/>
  <c r="U125" i="237"/>
  <c r="U239" i="234"/>
  <c r="AF13" i="110"/>
  <c r="U261" i="241"/>
  <c r="BL177" i="241"/>
  <c r="AN279" i="241"/>
  <c r="AJ177" i="241"/>
  <c r="AF41" i="241"/>
  <c r="AB143" i="241"/>
  <c r="Y107" i="241"/>
  <c r="T266" i="227"/>
  <c r="T245" i="237"/>
  <c r="T245" i="233"/>
  <c r="T232" i="227"/>
  <c r="U209" i="235"/>
  <c r="T211" i="230"/>
  <c r="U175" i="237"/>
  <c r="U175" i="233"/>
  <c r="T159" i="227"/>
  <c r="U141" i="235"/>
  <c r="U141" i="230"/>
  <c r="U107" i="238"/>
  <c r="T109" i="234"/>
  <c r="T96" i="227"/>
  <c r="T75" i="236"/>
  <c r="U73" i="231"/>
  <c r="T69" i="227"/>
  <c r="T41" i="235"/>
  <c r="T41" i="230"/>
  <c r="T28" i="227"/>
  <c r="U41" i="235"/>
  <c r="R146" i="227"/>
  <c r="U211" i="230"/>
  <c r="AC177" i="241"/>
  <c r="AG73" i="241"/>
  <c r="AG107" i="241"/>
  <c r="AK209" i="241"/>
  <c r="AK141" i="241"/>
  <c r="AO39" i="241"/>
  <c r="AS209" i="241"/>
  <c r="AW39" i="241"/>
  <c r="BA209" i="241"/>
  <c r="BA141" i="241"/>
  <c r="BA243" i="241"/>
  <c r="AG41" i="241"/>
  <c r="AS211" i="241"/>
  <c r="AW245" i="241"/>
  <c r="AN109" i="241"/>
  <c r="T211" i="237"/>
  <c r="U141" i="237"/>
  <c r="T75" i="238"/>
  <c r="T41" i="233"/>
  <c r="AG141" i="241"/>
  <c r="U241" i="235"/>
  <c r="U158" i="241"/>
  <c r="G10" i="144"/>
  <c r="BM266" i="241"/>
  <c r="U79" i="231"/>
  <c r="U215" i="234"/>
  <c r="U109" i="241"/>
  <c r="U248" i="241"/>
  <c r="U227" i="238"/>
  <c r="U266" i="234"/>
  <c r="U103" i="236"/>
  <c r="AF20" i="110"/>
  <c r="BD214" i="241"/>
  <c r="AZ211" i="241"/>
  <c r="U243" i="238"/>
  <c r="U243" i="234"/>
  <c r="T211" i="231"/>
  <c r="T125" i="227"/>
  <c r="BI243" i="241"/>
  <c r="U241" i="230"/>
  <c r="U139" i="235"/>
  <c r="U62" i="237"/>
  <c r="E10" i="144"/>
  <c r="AO260" i="241"/>
  <c r="F9" i="34"/>
  <c r="Y15" i="110"/>
  <c r="I17" i="144"/>
  <c r="BM105" i="241"/>
  <c r="U198" i="235"/>
  <c r="E18" i="144"/>
  <c r="H10" i="110"/>
  <c r="J12" i="144"/>
  <c r="BM205" i="241"/>
  <c r="L9" i="34"/>
  <c r="T260" i="238"/>
  <c r="AZ177" i="241"/>
  <c r="AB245" i="241"/>
  <c r="T130" i="227"/>
  <c r="U41" i="233"/>
  <c r="AO73" i="241"/>
  <c r="AW73" i="241"/>
  <c r="U207" i="237"/>
  <c r="U139" i="238"/>
  <c r="T211" i="241"/>
  <c r="U209" i="241"/>
  <c r="U173" i="231"/>
  <c r="U105" i="234"/>
  <c r="U139" i="236"/>
  <c r="U71" i="231"/>
  <c r="BM181" i="241"/>
  <c r="BH143" i="241"/>
  <c r="U214" i="238"/>
  <c r="BM22" i="241"/>
  <c r="BN22" i="241" s="1"/>
  <c r="R248" i="236"/>
  <c r="U227" i="234"/>
  <c r="AJ105" i="241"/>
  <c r="U56" i="234"/>
  <c r="T14" i="110"/>
  <c r="U35" i="237"/>
  <c r="U91" i="230"/>
  <c r="L17" i="144"/>
  <c r="T260" i="234"/>
  <c r="T260" i="235"/>
  <c r="U239" i="231"/>
  <c r="BD71" i="241"/>
  <c r="Z248" i="241"/>
  <c r="U164" i="238"/>
  <c r="U232" i="234"/>
  <c r="G11" i="144"/>
  <c r="U79" i="237"/>
  <c r="AF241" i="241"/>
  <c r="F9" i="144"/>
  <c r="U112" i="238"/>
  <c r="U198" i="230"/>
  <c r="BJ146" i="241"/>
  <c r="K16" i="144"/>
  <c r="U249" i="231"/>
  <c r="I14" i="144"/>
  <c r="U181" i="234"/>
  <c r="AF12" i="110"/>
  <c r="U266" i="236"/>
  <c r="BH71" i="241"/>
  <c r="F17" i="144"/>
  <c r="Y232" i="241"/>
  <c r="E12" i="34"/>
  <c r="U62" i="235"/>
  <c r="I9" i="34"/>
  <c r="U215" i="233"/>
  <c r="AT180" i="241"/>
  <c r="U130" i="235"/>
  <c r="BD139" i="241"/>
  <c r="J9" i="34"/>
  <c r="U198" i="236"/>
  <c r="G9" i="34"/>
  <c r="U44" i="234"/>
  <c r="U79" i="234"/>
  <c r="U205" i="233"/>
  <c r="U249" i="238"/>
  <c r="BH248" i="241"/>
  <c r="AJ260" i="241"/>
  <c r="K11" i="144"/>
  <c r="U45" i="238"/>
  <c r="U147" i="230"/>
  <c r="U273" i="230"/>
  <c r="H14" i="110"/>
  <c r="AD146" i="241"/>
  <c r="BL211" i="241"/>
  <c r="BD177" i="241"/>
  <c r="BE177" i="241" s="1"/>
  <c r="AV211" i="241"/>
  <c r="AW211" i="241" s="1"/>
  <c r="AN211" i="241"/>
  <c r="AO211" i="241" s="1"/>
  <c r="AJ75" i="241"/>
  <c r="AF279" i="241"/>
  <c r="AB211" i="241"/>
  <c r="AC211" i="241" s="1"/>
  <c r="X211" i="241"/>
  <c r="T261" i="227"/>
  <c r="U243" i="236"/>
  <c r="U243" i="231"/>
  <c r="U209" i="238"/>
  <c r="T211" i="234"/>
  <c r="T181" i="227"/>
  <c r="T177" i="237"/>
  <c r="T177" i="233"/>
  <c r="T171" i="227"/>
  <c r="T143" i="235"/>
  <c r="T143" i="230"/>
  <c r="U107" i="237"/>
  <c r="U107" i="233"/>
  <c r="T79" i="227"/>
  <c r="U73" i="235"/>
  <c r="T75" i="231"/>
  <c r="T62" i="227"/>
  <c r="U39" i="235"/>
  <c r="U39" i="230"/>
  <c r="U41" i="236"/>
  <c r="U177" i="238"/>
  <c r="U109" i="238"/>
  <c r="U75" i="238"/>
  <c r="AC279" i="241"/>
  <c r="AO279" i="241"/>
  <c r="U209" i="233"/>
  <c r="U175" i="235"/>
  <c r="U141" i="233"/>
  <c r="T109" i="236"/>
  <c r="U41" i="230"/>
  <c r="AO209" i="241"/>
  <c r="U105" i="231"/>
  <c r="Y19" i="110"/>
  <c r="U181" i="241"/>
  <c r="U171" i="237"/>
  <c r="AL214" i="241"/>
  <c r="E17" i="144"/>
  <c r="I10" i="144"/>
  <c r="AP248" i="241"/>
  <c r="Y209" i="241"/>
  <c r="X109" i="241"/>
  <c r="T239" i="227"/>
  <c r="T143" i="237"/>
  <c r="R45" i="227"/>
  <c r="R44" i="227" s="1"/>
  <c r="T177" i="241"/>
  <c r="U175" i="241"/>
  <c r="AJ9" i="110"/>
  <c r="U180" i="238"/>
  <c r="U192" i="241"/>
  <c r="U181" i="238"/>
  <c r="U91" i="233"/>
  <c r="AL146" i="241"/>
  <c r="U125" i="230"/>
  <c r="U35" i="230"/>
  <c r="U57" i="233"/>
  <c r="U57" i="230"/>
  <c r="U181" i="237"/>
  <c r="U159" i="230"/>
  <c r="AJ17" i="110"/>
  <c r="AF177" i="241"/>
  <c r="T211" i="236"/>
  <c r="T109" i="230"/>
  <c r="U177" i="233"/>
  <c r="AK175" i="241"/>
  <c r="AW241" i="241"/>
  <c r="U207" i="238"/>
  <c r="U139" i="231"/>
  <c r="U105" i="235"/>
  <c r="U173" i="235"/>
  <c r="BM164" i="241"/>
  <c r="BM227" i="241"/>
  <c r="BN227" i="241" s="1"/>
  <c r="U207" i="234"/>
  <c r="BL41" i="241"/>
  <c r="BM112" i="241"/>
  <c r="BN112" i="241" s="1"/>
  <c r="U44" i="230"/>
  <c r="AB75" i="241"/>
  <c r="AC75" i="241" s="1"/>
  <c r="F18" i="144"/>
  <c r="U249" i="233"/>
  <c r="AJ37" i="241"/>
  <c r="T260" i="237"/>
  <c r="AF15" i="110"/>
  <c r="U137" i="230"/>
  <c r="U91" i="235"/>
  <c r="AR241" i="241"/>
  <c r="H18" i="144"/>
  <c r="BM35" i="241"/>
  <c r="BN35" i="241" s="1"/>
  <c r="U69" i="234"/>
  <c r="L10" i="144"/>
  <c r="AZ41" i="241"/>
  <c r="BA41" i="241" s="1"/>
  <c r="AZ109" i="241"/>
  <c r="U193" i="235"/>
  <c r="U215" i="235"/>
  <c r="F16" i="144"/>
  <c r="U125" i="234"/>
  <c r="AT214" i="241"/>
  <c r="BM232" i="241"/>
  <c r="BN232" i="241" s="1"/>
  <c r="T275" i="238"/>
  <c r="U181" i="236"/>
  <c r="U232" i="233"/>
  <c r="U56" i="230"/>
  <c r="V214" i="241"/>
  <c r="E13" i="144"/>
  <c r="U193" i="236"/>
  <c r="T12" i="110"/>
  <c r="U214" i="241"/>
  <c r="L9" i="144"/>
  <c r="U103" i="235"/>
  <c r="BN266" i="241"/>
  <c r="K13" i="144"/>
  <c r="U57" i="237"/>
  <c r="U164" i="231"/>
  <c r="U232" i="235"/>
  <c r="BD260" i="241"/>
  <c r="H15" i="144"/>
  <c r="U215" i="237"/>
  <c r="U143" i="241"/>
  <c r="U227" i="233"/>
  <c r="U103" i="234"/>
  <c r="R248" i="234"/>
  <c r="U79" i="236"/>
  <c r="U198" i="234"/>
  <c r="Y248" i="241"/>
  <c r="T20" i="110"/>
  <c r="U249" i="241"/>
  <c r="BN249" i="241" s="1"/>
  <c r="K10" i="144"/>
  <c r="U79" i="230"/>
  <c r="I12" i="34"/>
  <c r="U273" i="233"/>
  <c r="Y16" i="110"/>
  <c r="AJ214" i="241"/>
  <c r="BH245" i="241"/>
  <c r="BI245" i="241" s="1"/>
  <c r="AV41" i="241"/>
  <c r="AW41" i="241" s="1"/>
  <c r="AN41" i="241"/>
  <c r="AO41" i="241" s="1"/>
  <c r="AJ143" i="241"/>
  <c r="AK143" i="241" s="1"/>
  <c r="AB109" i="241"/>
  <c r="X177" i="241"/>
  <c r="T273" i="227"/>
  <c r="T245" i="236"/>
  <c r="T245" i="231"/>
  <c r="T211" i="238"/>
  <c r="U209" i="234"/>
  <c r="T193" i="227"/>
  <c r="U175" i="236"/>
  <c r="U175" i="231"/>
  <c r="U141" i="238"/>
  <c r="U141" i="234"/>
  <c r="T137" i="227"/>
  <c r="T109" i="237"/>
  <c r="T109" i="233"/>
  <c r="T91" i="227"/>
  <c r="T75" i="235"/>
  <c r="U73" i="230"/>
  <c r="T41" i="238"/>
  <c r="T41" i="234"/>
  <c r="T35" i="227"/>
  <c r="T22" i="227"/>
  <c r="T56" i="227"/>
  <c r="U245" i="237"/>
  <c r="U211" i="237"/>
  <c r="U177" i="237"/>
  <c r="U143" i="237"/>
  <c r="U109" i="237"/>
  <c r="AC175" i="241"/>
  <c r="AC109" i="241"/>
  <c r="AG177" i="241"/>
  <c r="AK73" i="241"/>
  <c r="AO175" i="241"/>
  <c r="AO109" i="241"/>
  <c r="AS107" i="241"/>
  <c r="AW175" i="241"/>
  <c r="AW109" i="241"/>
  <c r="BA107" i="241"/>
  <c r="BA73" i="241"/>
  <c r="BE175" i="241"/>
  <c r="U211" i="236"/>
  <c r="U143" i="236"/>
  <c r="U75" i="236"/>
  <c r="AK75" i="241"/>
  <c r="BI141" i="241"/>
  <c r="Y277" i="241"/>
  <c r="X75" i="241"/>
  <c r="Y75" i="241" s="1"/>
  <c r="T245" i="230"/>
  <c r="T109" i="231"/>
  <c r="U143" i="235"/>
  <c r="U75" i="235"/>
  <c r="BM158" i="241"/>
  <c r="AF109" i="241"/>
  <c r="AG109" i="241" s="1"/>
  <c r="J13" i="144"/>
  <c r="U90" i="238"/>
  <c r="G12" i="144"/>
  <c r="U239" i="237"/>
  <c r="J9" i="144"/>
  <c r="U91" i="231"/>
  <c r="AF16" i="110"/>
  <c r="U164" i="233"/>
  <c r="U96" i="235"/>
  <c r="Y261" i="241"/>
  <c r="BN261" i="241" s="1"/>
  <c r="U171" i="231"/>
  <c r="U239" i="236"/>
  <c r="U35" i="236"/>
  <c r="U266" i="233"/>
  <c r="T143" i="233"/>
  <c r="U39" i="233"/>
  <c r="U22" i="238"/>
  <c r="BM78" i="241"/>
  <c r="BN78" i="241" s="1"/>
  <c r="U56" i="231"/>
  <c r="I11" i="144"/>
  <c r="BM147" i="241"/>
  <c r="U69" i="237"/>
  <c r="U147" i="235"/>
  <c r="U198" i="241"/>
  <c r="U147" i="233"/>
  <c r="J12" i="34"/>
  <c r="BH192" i="241"/>
  <c r="T215" i="227"/>
  <c r="U141" i="231"/>
  <c r="T109" i="235"/>
  <c r="U143" i="233"/>
  <c r="BA175" i="241"/>
  <c r="U105" i="230"/>
  <c r="U207" i="236"/>
  <c r="U207" i="230"/>
  <c r="U139" i="237"/>
  <c r="BM37" i="241"/>
  <c r="U44" i="235"/>
  <c r="U173" i="237"/>
  <c r="U226" i="238"/>
  <c r="U44" i="233"/>
  <c r="U146" i="241"/>
  <c r="U79" i="233"/>
  <c r="S12" i="110"/>
  <c r="G15" i="144"/>
  <c r="H16" i="110"/>
  <c r="U273" i="234"/>
  <c r="K15" i="144"/>
  <c r="U137" i="231"/>
  <c r="AT146" i="241"/>
  <c r="J18" i="144"/>
  <c r="I16" i="144"/>
  <c r="U96" i="230"/>
  <c r="U249" i="237"/>
  <c r="AC275" i="241"/>
  <c r="I18" i="144"/>
  <c r="L11" i="144"/>
  <c r="G9" i="144"/>
  <c r="U56" i="236"/>
  <c r="I13" i="144"/>
  <c r="BD248" i="241"/>
  <c r="H10" i="144"/>
  <c r="T260" i="233"/>
  <c r="K14" i="144"/>
  <c r="U164" i="241"/>
  <c r="BN164" i="241" s="1"/>
  <c r="U62" i="234"/>
  <c r="U266" i="230"/>
  <c r="F13" i="144"/>
  <c r="U239" i="233"/>
  <c r="T13" i="110"/>
  <c r="U261" i="230"/>
  <c r="BD105" i="241"/>
  <c r="U137" i="236"/>
  <c r="AF180" i="241"/>
  <c r="U45" i="230"/>
  <c r="E14" i="144"/>
  <c r="U103" i="230"/>
  <c r="U164" i="235"/>
  <c r="U273" i="235"/>
  <c r="AF19" i="110"/>
  <c r="AP146" i="241"/>
  <c r="U205" i="241"/>
  <c r="BN205" i="241" s="1"/>
  <c r="G15" i="110"/>
  <c r="U260" i="241"/>
  <c r="U103" i="238"/>
  <c r="R248" i="235"/>
  <c r="U137" i="234"/>
  <c r="J17" i="144"/>
  <c r="Y181" i="241"/>
  <c r="BN181" i="241" s="1"/>
  <c r="AP214" i="241"/>
  <c r="BF180" i="241"/>
  <c r="J15" i="144"/>
  <c r="G12" i="34"/>
  <c r="U205" i="230"/>
  <c r="U273" i="236"/>
  <c r="AF17" i="110"/>
  <c r="U147" i="241"/>
  <c r="BN147" i="241" s="1"/>
  <c r="BH109" i="241"/>
  <c r="BI109" i="241" s="1"/>
  <c r="AZ279" i="241"/>
  <c r="BA279" i="241" s="1"/>
  <c r="AV177" i="241"/>
  <c r="AN143" i="241"/>
  <c r="AO143" i="241" s="1"/>
  <c r="AJ211" i="241"/>
  <c r="AF75" i="241"/>
  <c r="Y175" i="241"/>
  <c r="X279" i="241"/>
  <c r="T249" i="227"/>
  <c r="U243" i="235"/>
  <c r="U243" i="230"/>
  <c r="U209" i="237"/>
  <c r="T211" i="233"/>
  <c r="T198" i="227"/>
  <c r="T177" i="236"/>
  <c r="T177" i="231"/>
  <c r="T143" i="238"/>
  <c r="T143" i="234"/>
  <c r="R113" i="227"/>
  <c r="R112" i="227" s="1"/>
  <c r="U107" i="236"/>
  <c r="U107" i="231"/>
  <c r="U73" i="238"/>
  <c r="U73" i="234"/>
  <c r="T75" i="230"/>
  <c r="U39" i="238"/>
  <c r="U39" i="234"/>
  <c r="T11" i="227"/>
  <c r="U41" i="238"/>
  <c r="T124" i="227"/>
  <c r="T226" i="227"/>
  <c r="U245" i="236"/>
  <c r="U177" i="236"/>
  <c r="U109" i="236"/>
  <c r="AC277" i="241"/>
  <c r="AC245" i="241"/>
  <c r="AG279" i="241"/>
  <c r="AK211" i="241"/>
  <c r="AO277" i="241"/>
  <c r="BA211" i="241"/>
  <c r="AC141" i="241"/>
  <c r="R249" i="227"/>
  <c r="R181" i="227"/>
  <c r="R180" i="227" s="1"/>
  <c r="T75" i="234"/>
  <c r="T41" i="237"/>
  <c r="U109" i="235"/>
  <c r="AG175" i="241"/>
  <c r="BI143" i="241"/>
  <c r="U173" i="241"/>
  <c r="BM146" i="241"/>
  <c r="BN146" i="241" s="1"/>
  <c r="U57" i="238"/>
  <c r="H13" i="144"/>
  <c r="U130" i="231"/>
  <c r="AJ226" i="241"/>
  <c r="U198" i="231"/>
  <c r="U181" i="230"/>
  <c r="H11" i="144"/>
  <c r="U171" i="230"/>
  <c r="AR37" i="241"/>
  <c r="U181" i="235"/>
  <c r="T164" i="227"/>
  <c r="T177" i="230"/>
  <c r="U107" i="230"/>
  <c r="T75" i="233"/>
  <c r="U211" i="234"/>
  <c r="U177" i="234"/>
  <c r="U75" i="234"/>
  <c r="AG277" i="241"/>
  <c r="AO207" i="241"/>
  <c r="U56" i="235"/>
  <c r="U193" i="231"/>
  <c r="U193" i="233"/>
  <c r="U44" i="236"/>
  <c r="G17" i="144"/>
  <c r="U266" i="231"/>
  <c r="Y105" i="241"/>
  <c r="AR71" i="241"/>
  <c r="U193" i="238"/>
  <c r="U79" i="238"/>
  <c r="U205" i="235"/>
  <c r="F15" i="144"/>
  <c r="U171" i="236"/>
  <c r="E12" i="144"/>
  <c r="U91" i="238"/>
  <c r="Y239" i="241"/>
  <c r="R215" i="227"/>
  <c r="R214" i="227" s="1"/>
  <c r="BL279" i="241"/>
  <c r="T245" i="238"/>
  <c r="U175" i="238"/>
  <c r="U175" i="234"/>
  <c r="U73" i="233"/>
  <c r="T41" i="231"/>
  <c r="AC107" i="241"/>
  <c r="AO107" i="241"/>
  <c r="BA109" i="241"/>
  <c r="AO173" i="241"/>
  <c r="U173" i="230"/>
  <c r="U173" i="234"/>
  <c r="U241" i="233"/>
  <c r="U105" i="238"/>
  <c r="U241" i="236"/>
  <c r="AZ143" i="241"/>
  <c r="BA143" i="241" s="1"/>
  <c r="U139" i="230"/>
  <c r="U241" i="241"/>
  <c r="U56" i="237"/>
  <c r="AZ75" i="241"/>
  <c r="BA75" i="241" s="1"/>
  <c r="H9" i="34"/>
  <c r="T18" i="110"/>
  <c r="F14" i="144"/>
  <c r="U130" i="238"/>
  <c r="Y18" i="110"/>
  <c r="BM239" i="241"/>
  <c r="BN239" i="241" s="1"/>
  <c r="U139" i="233"/>
  <c r="U164" i="230"/>
  <c r="H16" i="144"/>
  <c r="AN241" i="241"/>
  <c r="U105" i="236"/>
  <c r="G16" i="144"/>
  <c r="Y13" i="110"/>
  <c r="U45" i="235"/>
  <c r="Y198" i="241"/>
  <c r="BN198" i="241" s="1"/>
  <c r="U159" i="241"/>
  <c r="BN159" i="241" s="1"/>
  <c r="U56" i="233"/>
  <c r="U205" i="236"/>
  <c r="T19" i="110"/>
  <c r="U79" i="235"/>
  <c r="T260" i="236"/>
  <c r="L13" i="144"/>
  <c r="X41" i="241"/>
  <c r="Y39" i="241"/>
  <c r="U91" i="237"/>
  <c r="U125" i="233"/>
  <c r="U69" i="235"/>
  <c r="U227" i="235"/>
  <c r="AH248" i="241"/>
  <c r="U137" i="233"/>
  <c r="AF143" i="241"/>
  <c r="AG143" i="241" s="1"/>
  <c r="I15" i="144"/>
  <c r="BD207" i="241"/>
  <c r="U45" i="237"/>
  <c r="E15" i="144"/>
  <c r="U103" i="231"/>
  <c r="U164" i="237"/>
  <c r="L18" i="144"/>
  <c r="BM273" i="241"/>
  <c r="BN273" i="241" s="1"/>
  <c r="AX214" i="241"/>
  <c r="H14" i="144"/>
  <c r="AT248" i="241"/>
  <c r="L12" i="144"/>
  <c r="H12" i="34"/>
  <c r="U35" i="238"/>
  <c r="U113" i="237"/>
  <c r="K9" i="34"/>
  <c r="Y12" i="110"/>
  <c r="U171" i="233"/>
  <c r="H12" i="144"/>
  <c r="M12" i="144" s="1"/>
  <c r="U35" i="235"/>
  <c r="U91" i="234"/>
  <c r="U181" i="233"/>
  <c r="U261" i="238"/>
  <c r="U159" i="234"/>
  <c r="BL143" i="241"/>
  <c r="BM143" i="241" s="1"/>
  <c r="AJ11" i="110"/>
  <c r="BH177" i="241"/>
  <c r="BI177" i="241" s="1"/>
  <c r="AZ245" i="241"/>
  <c r="BA245" i="241" s="1"/>
  <c r="T245" i="235"/>
  <c r="U175" i="230"/>
  <c r="T113" i="227"/>
  <c r="U7" i="229"/>
  <c r="R11" i="227"/>
  <c r="AC209" i="241"/>
  <c r="AK177" i="241"/>
  <c r="AW209" i="241"/>
  <c r="BI39" i="241"/>
  <c r="U124" i="238"/>
  <c r="T245" i="241"/>
  <c r="U243" i="241"/>
  <c r="U137" i="238"/>
  <c r="G14" i="144"/>
  <c r="U215" i="230"/>
  <c r="U146" i="238"/>
  <c r="U35" i="233"/>
  <c r="U96" i="234"/>
  <c r="U62" i="231"/>
  <c r="U159" i="231"/>
  <c r="T177" i="235"/>
  <c r="T10" i="227"/>
  <c r="U109" i="234"/>
  <c r="AC241" i="241"/>
  <c r="BB248" i="241"/>
  <c r="AV275" i="241"/>
  <c r="AN177" i="241"/>
  <c r="U141" i="236"/>
  <c r="T75" i="237"/>
  <c r="T146" i="227"/>
  <c r="T245" i="234"/>
  <c r="T45" i="227"/>
  <c r="U211" i="233"/>
  <c r="AC73" i="241"/>
  <c r="AW107" i="241"/>
  <c r="AR173" i="241"/>
  <c r="S15" i="110"/>
  <c r="AS158" i="241"/>
  <c r="BN158" i="241" s="1"/>
  <c r="AH20" i="110"/>
  <c r="AR275" i="241"/>
  <c r="AS248" i="241"/>
  <c r="AH16" i="110"/>
  <c r="AW139" i="241"/>
  <c r="T275" i="230"/>
  <c r="G10" i="110"/>
  <c r="X241" i="241"/>
  <c r="Y214" i="241"/>
  <c r="BE37" i="241"/>
  <c r="G19" i="110"/>
  <c r="BI180" i="241"/>
  <c r="T275" i="231"/>
  <c r="AS139" i="241"/>
  <c r="G18" i="110"/>
  <c r="BE180" i="241"/>
  <c r="U245" i="233"/>
  <c r="BD241" i="241"/>
  <c r="BE214" i="241"/>
  <c r="U211" i="231"/>
  <c r="BA177" i="241"/>
  <c r="AK105" i="241"/>
  <c r="T275" i="234"/>
  <c r="T275" i="235"/>
  <c r="BE71" i="241"/>
  <c r="AG241" i="241"/>
  <c r="BI71" i="241"/>
  <c r="BE139" i="241"/>
  <c r="BN139" i="241" s="1"/>
  <c r="BI248" i="241"/>
  <c r="BH275" i="241"/>
  <c r="AJ275" i="241"/>
  <c r="AK260" i="241"/>
  <c r="T180" i="227"/>
  <c r="U143" i="230"/>
  <c r="T78" i="227"/>
  <c r="U75" i="231"/>
  <c r="AL9" i="110"/>
  <c r="U109" i="230"/>
  <c r="AK37" i="241"/>
  <c r="T275" i="237"/>
  <c r="AS241" i="241"/>
  <c r="U275" i="238"/>
  <c r="S18" i="110"/>
  <c r="BE260" i="241"/>
  <c r="BN260" i="241" s="1"/>
  <c r="G13" i="110"/>
  <c r="AK214" i="241"/>
  <c r="BN214" i="241" s="1"/>
  <c r="U245" i="231"/>
  <c r="U211" i="238"/>
  <c r="T192" i="227"/>
  <c r="U109" i="233"/>
  <c r="T90" i="227"/>
  <c r="U41" i="234"/>
  <c r="U245" i="230"/>
  <c r="U109" i="231"/>
  <c r="S19" i="110"/>
  <c r="BI192" i="241"/>
  <c r="T214" i="227"/>
  <c r="BE248" i="241"/>
  <c r="BN248" i="241" s="1"/>
  <c r="T275" i="233"/>
  <c r="BE105" i="241"/>
  <c r="BN105" i="241" s="1"/>
  <c r="G12" i="110"/>
  <c r="AF207" i="241"/>
  <c r="AG180" i="241"/>
  <c r="AW177" i="241"/>
  <c r="AG75" i="241"/>
  <c r="U177" i="231"/>
  <c r="U143" i="238"/>
  <c r="U143" i="234"/>
  <c r="U75" i="230"/>
  <c r="U11" i="227"/>
  <c r="U41" i="237"/>
  <c r="S13" i="110"/>
  <c r="AK226" i="241"/>
  <c r="BN226" i="241" s="1"/>
  <c r="AS37" i="241"/>
  <c r="BN37" i="241" s="1"/>
  <c r="AH15" i="110"/>
  <c r="T158" i="227"/>
  <c r="U177" i="230"/>
  <c r="U75" i="233"/>
  <c r="AS71" i="241"/>
  <c r="U245" i="238"/>
  <c r="U41" i="231"/>
  <c r="AH14" i="110"/>
  <c r="AO241" i="241"/>
  <c r="T275" i="236"/>
  <c r="Y41" i="241"/>
  <c r="BE207" i="241"/>
  <c r="U245" i="235"/>
  <c r="T112" i="227"/>
  <c r="U177" i="235"/>
  <c r="T37" i="227"/>
  <c r="U37" i="227" s="1"/>
  <c r="U10" i="227"/>
  <c r="AW275" i="241"/>
  <c r="AO177" i="241"/>
  <c r="U75" i="237"/>
  <c r="T173" i="227"/>
  <c r="U173" i="227" s="1"/>
  <c r="U245" i="234"/>
  <c r="T44" i="227"/>
  <c r="AS173" i="241"/>
  <c r="BN173" i="241" s="1"/>
  <c r="AS275" i="241"/>
  <c r="AH10" i="110"/>
  <c r="BE241" i="241"/>
  <c r="BI275" i="241"/>
  <c r="AK275" i="241"/>
  <c r="T207" i="227"/>
  <c r="T105" i="227"/>
  <c r="U105" i="227" s="1"/>
  <c r="T241" i="227"/>
  <c r="U241" i="227" s="1"/>
  <c r="AH12" i="110"/>
  <c r="T139" i="227"/>
  <c r="T71" i="227"/>
  <c r="T277" i="236" l="1"/>
  <c r="AF209" i="241"/>
  <c r="T277" i="233"/>
  <c r="T277" i="237"/>
  <c r="AN9" i="110"/>
  <c r="AJ277" i="241"/>
  <c r="BH277" i="241"/>
  <c r="T277" i="235"/>
  <c r="T277" i="234"/>
  <c r="BD243" i="241"/>
  <c r="T277" i="231"/>
  <c r="X243" i="241"/>
  <c r="T277" i="230"/>
  <c r="AR277" i="241"/>
  <c r="AR175" i="241"/>
  <c r="AV277" i="241"/>
  <c r="BD209" i="241"/>
  <c r="AN243" i="241"/>
  <c r="AR73" i="241"/>
  <c r="AR39" i="241"/>
  <c r="BD107" i="241"/>
  <c r="T277" i="238"/>
  <c r="AR243" i="241"/>
  <c r="AJ39" i="241"/>
  <c r="T7" i="241"/>
  <c r="BD141" i="241"/>
  <c r="BH73" i="241"/>
  <c r="AF243" i="241"/>
  <c r="BD73" i="241"/>
  <c r="AJ107" i="241"/>
  <c r="AR141" i="241"/>
  <c r="BD39" i="241"/>
  <c r="AV141" i="241"/>
  <c r="BL73" i="241"/>
  <c r="AZ7" i="241"/>
  <c r="AB7" i="241"/>
  <c r="T243" i="227"/>
  <c r="T209" i="227"/>
  <c r="T175" i="227"/>
  <c r="T141" i="227"/>
  <c r="T107" i="227"/>
  <c r="T73" i="227"/>
  <c r="T39" i="227"/>
  <c r="A34" i="13"/>
  <c r="B35" i="13"/>
  <c r="A34" i="187"/>
  <c r="B35" i="187"/>
  <c r="U71" i="227"/>
  <c r="AG207" i="241"/>
  <c r="AJ279" i="241"/>
  <c r="AK279" i="241" s="1"/>
  <c r="AK277" i="241"/>
  <c r="U275" i="231"/>
  <c r="AR177" i="241"/>
  <c r="AS177" i="241" s="1"/>
  <c r="AS175" i="241"/>
  <c r="U245" i="241"/>
  <c r="T21" i="110"/>
  <c r="U164" i="227"/>
  <c r="T248" i="227"/>
  <c r="J13" i="34"/>
  <c r="U260" i="233"/>
  <c r="G17" i="34"/>
  <c r="AL11" i="110"/>
  <c r="AR245" i="241"/>
  <c r="AS245" i="241" s="1"/>
  <c r="AS243" i="241"/>
  <c r="H17" i="34"/>
  <c r="H15" i="34"/>
  <c r="U260" i="234"/>
  <c r="BM243" i="241"/>
  <c r="T260" i="227"/>
  <c r="J10" i="34"/>
  <c r="U260" i="231"/>
  <c r="BM175" i="241"/>
  <c r="BN175" i="241" s="1"/>
  <c r="I14" i="34"/>
  <c r="T143" i="227"/>
  <c r="U28" i="227"/>
  <c r="U141" i="227"/>
  <c r="U35" i="227"/>
  <c r="BM41" i="241"/>
  <c r="U73" i="227"/>
  <c r="U275" i="236"/>
  <c r="U275" i="230"/>
  <c r="AR75" i="241"/>
  <c r="AS75" i="241" s="1"/>
  <c r="AS73" i="241"/>
  <c r="I11" i="34"/>
  <c r="H13" i="34"/>
  <c r="K16" i="34"/>
  <c r="F11" i="34"/>
  <c r="AL17" i="110"/>
  <c r="J17" i="34"/>
  <c r="E16" i="34"/>
  <c r="AV143" i="241"/>
  <c r="AW141" i="241"/>
  <c r="AJ16" i="110"/>
  <c r="T279" i="236"/>
  <c r="U277" i="236"/>
  <c r="U180" i="227"/>
  <c r="F13" i="34"/>
  <c r="G11" i="34"/>
  <c r="U7" i="241"/>
  <c r="U248" i="238"/>
  <c r="BD245" i="241"/>
  <c r="BE245" i="241" s="1"/>
  <c r="BE243" i="241"/>
  <c r="U260" i="236"/>
  <c r="U198" i="227"/>
  <c r="AF21" i="110"/>
  <c r="H10" i="34"/>
  <c r="I8" i="144"/>
  <c r="U147" i="227"/>
  <c r="U139" i="227"/>
  <c r="AF211" i="241"/>
  <c r="AJ12" i="110"/>
  <c r="AG209" i="241"/>
  <c r="BH279" i="241"/>
  <c r="BI279" i="241" s="1"/>
  <c r="BI277" i="241"/>
  <c r="T279" i="231"/>
  <c r="U277" i="231"/>
  <c r="U45" i="227"/>
  <c r="BM39" i="241"/>
  <c r="AN245" i="241"/>
  <c r="AJ14" i="110"/>
  <c r="AO243" i="241"/>
  <c r="AR41" i="241"/>
  <c r="AS39" i="241"/>
  <c r="AJ15" i="110"/>
  <c r="F10" i="34"/>
  <c r="U249" i="227"/>
  <c r="BD275" i="241"/>
  <c r="U56" i="227"/>
  <c r="U137" i="227"/>
  <c r="BM245" i="241"/>
  <c r="U260" i="237"/>
  <c r="U239" i="227"/>
  <c r="U171" i="227"/>
  <c r="M11" i="144"/>
  <c r="AJ109" i="241"/>
  <c r="AK109" i="241" s="1"/>
  <c r="AK107" i="241"/>
  <c r="U125" i="227"/>
  <c r="E10" i="34"/>
  <c r="U232" i="227"/>
  <c r="BD41" i="241"/>
  <c r="BE39" i="241"/>
  <c r="G8" i="144"/>
  <c r="I18" i="34"/>
  <c r="F15" i="34"/>
  <c r="AF245" i="241"/>
  <c r="AG245" i="241" s="1"/>
  <c r="AG243" i="241"/>
  <c r="AC143" i="241"/>
  <c r="U209" i="227"/>
  <c r="AC7" i="241"/>
  <c r="U90" i="227"/>
  <c r="AV279" i="241"/>
  <c r="AW279" i="241" s="1"/>
  <c r="AW277" i="241"/>
  <c r="L15" i="144"/>
  <c r="M15" i="144" s="1"/>
  <c r="T279" i="238"/>
  <c r="U277" i="238"/>
  <c r="U261" i="227"/>
  <c r="G14" i="34"/>
  <c r="H21" i="110"/>
  <c r="U158" i="227"/>
  <c r="I10" i="34"/>
  <c r="K10" i="34"/>
  <c r="F8" i="144"/>
  <c r="M9" i="34"/>
  <c r="AR143" i="241"/>
  <c r="AS143" i="241" s="1"/>
  <c r="AS141" i="241"/>
  <c r="BL75" i="241"/>
  <c r="BM73" i="241"/>
  <c r="AJ20" i="110"/>
  <c r="U22" i="227"/>
  <c r="U207" i="227"/>
  <c r="U275" i="233"/>
  <c r="U275" i="237"/>
  <c r="BM71" i="241"/>
  <c r="BN71" i="241" s="1"/>
  <c r="BM180" i="241"/>
  <c r="BN180" i="241" s="1"/>
  <c r="G21" i="110" s="1"/>
  <c r="K14" i="34"/>
  <c r="R248" i="227"/>
  <c r="E11" i="34"/>
  <c r="AJ241" i="241"/>
  <c r="H8" i="144"/>
  <c r="Y279" i="241"/>
  <c r="G15" i="34"/>
  <c r="T275" i="227"/>
  <c r="U193" i="227"/>
  <c r="M10" i="144"/>
  <c r="AJ41" i="241"/>
  <c r="AK39" i="241"/>
  <c r="BN39" i="241" s="1"/>
  <c r="Y109" i="241"/>
  <c r="I13" i="34"/>
  <c r="BD143" i="241"/>
  <c r="BE143" i="241" s="1"/>
  <c r="BE141" i="241"/>
  <c r="BN141" i="241" s="1"/>
  <c r="L16" i="144"/>
  <c r="M16" i="144" s="1"/>
  <c r="J11" i="34"/>
  <c r="E15" i="34"/>
  <c r="K13" i="34"/>
  <c r="M18" i="144"/>
  <c r="U57" i="227"/>
  <c r="J15" i="34"/>
  <c r="M12" i="34"/>
  <c r="U243" i="227"/>
  <c r="U107" i="227"/>
  <c r="T41" i="227"/>
  <c r="U143" i="227"/>
  <c r="U266" i="227"/>
  <c r="U260" i="230"/>
  <c r="U39" i="227"/>
  <c r="BM192" i="241"/>
  <c r="BN192" i="241" s="1"/>
  <c r="S21" i="110" s="1"/>
  <c r="U275" i="234"/>
  <c r="AL14" i="110"/>
  <c r="BM177" i="241"/>
  <c r="J8" i="144"/>
  <c r="T75" i="227"/>
  <c r="T279" i="230"/>
  <c r="U277" i="230"/>
  <c r="U226" i="227"/>
  <c r="U91" i="227"/>
  <c r="U79" i="227"/>
  <c r="U205" i="227"/>
  <c r="U175" i="227"/>
  <c r="R10" i="227"/>
  <c r="AH13" i="110"/>
  <c r="AR279" i="241"/>
  <c r="AS277" i="241"/>
  <c r="U124" i="227"/>
  <c r="G13" i="34"/>
  <c r="Y211" i="241"/>
  <c r="U159" i="227"/>
  <c r="U44" i="227"/>
  <c r="T279" i="233"/>
  <c r="U277" i="233"/>
  <c r="T279" i="237"/>
  <c r="U277" i="237"/>
  <c r="U275" i="235"/>
  <c r="Y241" i="241"/>
  <c r="U146" i="227"/>
  <c r="U113" i="227"/>
  <c r="K18" i="34"/>
  <c r="E17" i="34"/>
  <c r="H14" i="34"/>
  <c r="AL16" i="110"/>
  <c r="U215" i="227"/>
  <c r="E14" i="34"/>
  <c r="J18" i="34"/>
  <c r="L14" i="144"/>
  <c r="M14" i="144" s="1"/>
  <c r="G10" i="34"/>
  <c r="G16" i="34"/>
  <c r="I17" i="34"/>
  <c r="BH75" i="241"/>
  <c r="BI73" i="241"/>
  <c r="U211" i="241"/>
  <c r="E13" i="34"/>
  <c r="U69" i="227"/>
  <c r="K17" i="34"/>
  <c r="U279" i="241"/>
  <c r="U103" i="227"/>
  <c r="U227" i="227"/>
  <c r="M17" i="144"/>
  <c r="T245" i="227"/>
  <c r="T109" i="227"/>
  <c r="U23" i="227"/>
  <c r="U109" i="227"/>
  <c r="BA7" i="241"/>
  <c r="U112" i="227"/>
  <c r="U214" i="227"/>
  <c r="T279" i="235"/>
  <c r="U277" i="235"/>
  <c r="X245" i="241"/>
  <c r="Y243" i="241"/>
  <c r="AJ10" i="110"/>
  <c r="F17" i="34"/>
  <c r="K15" i="34"/>
  <c r="K8" i="144"/>
  <c r="F14" i="34"/>
  <c r="H18" i="34"/>
  <c r="BM109" i="241"/>
  <c r="BH207" i="241"/>
  <c r="E18" i="34"/>
  <c r="K11" i="34"/>
  <c r="M13" i="144"/>
  <c r="J16" i="34"/>
  <c r="U62" i="227"/>
  <c r="U181" i="227"/>
  <c r="M9" i="144"/>
  <c r="U130" i="227"/>
  <c r="F18" i="34"/>
  <c r="F16" i="34"/>
  <c r="G18" i="34"/>
  <c r="T211" i="227"/>
  <c r="U78" i="227"/>
  <c r="Y21" i="110"/>
  <c r="U177" i="241"/>
  <c r="J14" i="34"/>
  <c r="U96" i="227"/>
  <c r="H11" i="34"/>
  <c r="T279" i="234"/>
  <c r="U277" i="234"/>
  <c r="BD211" i="241"/>
  <c r="BE211" i="241" s="1"/>
  <c r="BE209" i="241"/>
  <c r="I16" i="34"/>
  <c r="U273" i="227"/>
  <c r="BD75" i="241"/>
  <c r="BE75" i="241" s="1"/>
  <c r="BE73" i="241"/>
  <c r="BN73" i="241" s="1"/>
  <c r="U260" i="238"/>
  <c r="H16" i="34"/>
  <c r="U192" i="227"/>
  <c r="I15" i="34"/>
  <c r="BD109" i="241"/>
  <c r="BE109" i="241" s="1"/>
  <c r="BN109" i="241" s="1"/>
  <c r="BE107" i="241"/>
  <c r="Y177" i="241"/>
  <c r="BN177" i="241" s="1"/>
  <c r="U260" i="235"/>
  <c r="BM107" i="241"/>
  <c r="BN107" i="241" s="1"/>
  <c r="T177" i="227"/>
  <c r="AW143" i="241"/>
  <c r="BN143" i="241" s="1"/>
  <c r="U279" i="236"/>
  <c r="AL12" i="110"/>
  <c r="AG211" i="241"/>
  <c r="U279" i="231"/>
  <c r="AO245" i="241"/>
  <c r="AS41" i="241"/>
  <c r="AH18" i="110"/>
  <c r="BE275" i="241"/>
  <c r="BN275" i="241" s="1"/>
  <c r="BE41" i="241"/>
  <c r="U279" i="238"/>
  <c r="AL20" i="110"/>
  <c r="BM75" i="241"/>
  <c r="AK241" i="241"/>
  <c r="BN241" i="241" s="1"/>
  <c r="U275" i="227"/>
  <c r="AK41" i="241"/>
  <c r="BN41" i="241" s="1"/>
  <c r="U41" i="227"/>
  <c r="U75" i="227"/>
  <c r="U279" i="230"/>
  <c r="AS279" i="241"/>
  <c r="U279" i="233"/>
  <c r="U279" i="237"/>
  <c r="BI75" i="241"/>
  <c r="BN75" i="241" s="1"/>
  <c r="U245" i="227"/>
  <c r="U279" i="235"/>
  <c r="AL10" i="110"/>
  <c r="Y245" i="241"/>
  <c r="AH19" i="110"/>
  <c r="BI207" i="241"/>
  <c r="BN207" i="241" s="1"/>
  <c r="U211" i="227"/>
  <c r="U279" i="234"/>
  <c r="U177" i="227"/>
  <c r="AN10" i="110" l="1"/>
  <c r="AN20" i="110"/>
  <c r="AN12" i="110"/>
  <c r="T7" i="234"/>
  <c r="BH209" i="241"/>
  <c r="X7" i="241"/>
  <c r="T7" i="235"/>
  <c r="AN16" i="110"/>
  <c r="T7" i="237"/>
  <c r="T7" i="233"/>
  <c r="T7" i="230"/>
  <c r="AN14" i="110"/>
  <c r="T277" i="227"/>
  <c r="AJ243" i="241"/>
  <c r="BL7" i="241"/>
  <c r="T7" i="238"/>
  <c r="BD277" i="241"/>
  <c r="AR7" i="241"/>
  <c r="AN7" i="241"/>
  <c r="T7" i="231"/>
  <c r="AF7" i="241"/>
  <c r="T7" i="236"/>
  <c r="AV7" i="241"/>
  <c r="AN17" i="110"/>
  <c r="AN11" i="110"/>
  <c r="B36" i="13"/>
  <c r="A35" i="13"/>
  <c r="A35" i="187"/>
  <c r="B36" i="187"/>
  <c r="U7" i="234"/>
  <c r="K8" i="34"/>
  <c r="L13" i="34"/>
  <c r="E8" i="34"/>
  <c r="L18" i="34"/>
  <c r="U7" i="231"/>
  <c r="BM279" i="241"/>
  <c r="L10" i="34"/>
  <c r="I8" i="34"/>
  <c r="U7" i="235"/>
  <c r="G8" i="34"/>
  <c r="J8" i="34"/>
  <c r="M13" i="34"/>
  <c r="U7" i="233"/>
  <c r="U7" i="238"/>
  <c r="BM277" i="241"/>
  <c r="H8" i="34"/>
  <c r="AG7" i="241"/>
  <c r="BD279" i="241"/>
  <c r="AJ18" i="110"/>
  <c r="BE277" i="241"/>
  <c r="BN277" i="241" s="1"/>
  <c r="U248" i="227"/>
  <c r="U7" i="230"/>
  <c r="L8" i="144"/>
  <c r="L14" i="34"/>
  <c r="U7" i="237"/>
  <c r="M18" i="34"/>
  <c r="AL15" i="110"/>
  <c r="U260" i="227"/>
  <c r="Y7" i="241"/>
  <c r="L15" i="34"/>
  <c r="M15" i="34" s="1"/>
  <c r="U7" i="236"/>
  <c r="F8" i="34"/>
  <c r="AW7" i="241"/>
  <c r="AH21" i="110"/>
  <c r="BH211" i="241"/>
  <c r="AJ19" i="110"/>
  <c r="BI209" i="241"/>
  <c r="M14" i="34"/>
  <c r="E8" i="144"/>
  <c r="T279" i="227"/>
  <c r="U277" i="227"/>
  <c r="M10" i="34"/>
  <c r="AJ245" i="241"/>
  <c r="AJ13" i="110"/>
  <c r="AK243" i="241"/>
  <c r="BN243" i="241" s="1"/>
  <c r="L16" i="34"/>
  <c r="M16" i="34" s="1"/>
  <c r="AS7" i="241"/>
  <c r="L17" i="34"/>
  <c r="M17" i="34" s="1"/>
  <c r="AO7" i="241"/>
  <c r="L11" i="34"/>
  <c r="M11" i="34" s="1"/>
  <c r="BE279" i="241"/>
  <c r="BN279" i="241" s="1"/>
  <c r="BI211" i="241"/>
  <c r="U279" i="227"/>
  <c r="AK245" i="241"/>
  <c r="BN245" i="241" s="1"/>
  <c r="AJ7" i="241" l="1"/>
  <c r="T7" i="227"/>
  <c r="BH7" i="241"/>
  <c r="AN15" i="110"/>
  <c r="BD7" i="241"/>
  <c r="A36" i="13"/>
  <c r="B37" i="13"/>
  <c r="A36" i="187"/>
  <c r="B37" i="187"/>
  <c r="BM211" i="241"/>
  <c r="BN211" i="241" s="1"/>
  <c r="AL21" i="110" s="1"/>
  <c r="BI7" i="241"/>
  <c r="M8" i="144"/>
  <c r="BM209" i="241"/>
  <c r="BN209" i="241" s="1"/>
  <c r="AJ21" i="110" s="1"/>
  <c r="AL13" i="110"/>
  <c r="AL18" i="110"/>
  <c r="L8" i="34"/>
  <c r="AK7" i="241"/>
  <c r="BE7" i="241"/>
  <c r="U7" i="227"/>
  <c r="M8" i="34"/>
  <c r="AL19" i="110"/>
  <c r="AN19" i="110" l="1"/>
  <c r="AN18" i="110"/>
  <c r="AN13" i="110"/>
  <c r="AN21" i="110"/>
  <c r="A37" i="13"/>
  <c r="B38" i="13"/>
  <c r="B38" i="187"/>
  <c r="A37" i="187"/>
  <c r="P3" i="110"/>
  <c r="T3" i="110"/>
  <c r="G3" i="110"/>
  <c r="Y3" i="110"/>
  <c r="AA3" i="110"/>
  <c r="AC3" i="110"/>
  <c r="AB3" i="110"/>
  <c r="Z3" i="110"/>
  <c r="H3" i="110"/>
  <c r="N3" i="110"/>
  <c r="J3" i="110"/>
  <c r="W3" i="110"/>
  <c r="S3" i="110"/>
  <c r="L3" i="110"/>
  <c r="AF3" i="110"/>
  <c r="O3" i="110"/>
  <c r="K3" i="110"/>
  <c r="AG3" i="110"/>
  <c r="M3" i="110"/>
  <c r="AE3" i="110"/>
  <c r="BM7" i="241"/>
  <c r="BN7" i="241" s="1"/>
  <c r="X3" i="110"/>
  <c r="AD3" i="110"/>
  <c r="R3" i="110"/>
  <c r="AH3" i="110"/>
  <c r="Q3" i="110"/>
  <c r="I3" i="110"/>
  <c r="U3" i="110"/>
  <c r="V3" i="110"/>
  <c r="B39" i="13" l="1"/>
  <c r="A38" i="13"/>
  <c r="B39" i="187"/>
  <c r="A38" i="187"/>
  <c r="AJ3" i="110"/>
  <c r="AL3" i="110"/>
  <c r="AN3" i="110" l="1"/>
  <c r="B40" i="13"/>
  <c r="A39" i="13"/>
  <c r="A39" i="187"/>
  <c r="B40" i="187"/>
  <c r="B41" i="13" l="1"/>
  <c r="A40" i="13"/>
  <c r="A40" i="187"/>
  <c r="B41" i="187"/>
  <c r="A41" i="13" l="1"/>
  <c r="A41" i="187"/>
  <c r="R11" i="13"/>
  <c r="B1" i="187" l="1"/>
  <c r="F1" i="13"/>
  <c r="D1" i="13"/>
  <c r="B1" i="13"/>
  <c r="F1" i="187"/>
  <c r="D1" i="187"/>
  <c r="R249" i="187"/>
  <c r="T193" i="187"/>
  <c r="R45" i="187"/>
  <c r="T273" i="187"/>
  <c r="T198" i="187"/>
  <c r="T147" i="187"/>
  <c r="T103" i="187"/>
  <c r="T11" i="13"/>
  <c r="R10" i="13"/>
  <c r="T227" i="187"/>
  <c r="T113" i="187"/>
  <c r="T130" i="187"/>
  <c r="R44" i="187"/>
  <c r="T249" i="187"/>
  <c r="R79" i="187"/>
  <c r="T10" i="13"/>
  <c r="T266" i="187"/>
  <c r="T205" i="187"/>
  <c r="R113" i="187"/>
  <c r="T79" i="187"/>
  <c r="R11" i="187"/>
  <c r="T28" i="187"/>
  <c r="T215" i="187"/>
  <c r="T137" i="187"/>
  <c r="T23" i="13"/>
  <c r="T171" i="187"/>
  <c r="T69" i="187"/>
  <c r="T146" i="187"/>
  <c r="T261" i="187"/>
  <c r="T164" i="187"/>
  <c r="T35" i="13"/>
  <c r="T192" i="187"/>
  <c r="T159" i="187"/>
  <c r="T28" i="13"/>
  <c r="T78" i="187"/>
  <c r="T96" i="187"/>
  <c r="T239" i="187"/>
  <c r="T181" i="187"/>
  <c r="T125" i="187"/>
  <c r="T91" i="187"/>
  <c r="T11" i="187"/>
  <c r="T23" i="187"/>
  <c r="T214" i="187"/>
  <c r="R181" i="187"/>
  <c r="R180" i="187" s="1"/>
  <c r="T62" i="187"/>
  <c r="T35" i="187"/>
  <c r="R112" i="187"/>
  <c r="U11" i="13"/>
  <c r="R78" i="187"/>
  <c r="R215" i="187"/>
  <c r="R214" i="187" s="1"/>
  <c r="T57" i="187"/>
  <c r="T112" i="187"/>
  <c r="T232" i="187"/>
  <c r="T45" i="187"/>
  <c r="R147" i="187"/>
  <c r="R146" i="187" s="1"/>
  <c r="T44" i="187"/>
  <c r="T158" i="187"/>
  <c r="T180" i="187"/>
  <c r="T124" i="187"/>
  <c r="T90" i="187"/>
  <c r="T56" i="187"/>
  <c r="T226" i="187"/>
  <c r="AN5" i="110" l="1"/>
  <c r="U226" i="187"/>
  <c r="U45" i="187"/>
  <c r="J7" i="144"/>
  <c r="U96" i="187"/>
  <c r="U171" i="187"/>
  <c r="F7" i="144"/>
  <c r="U193" i="187"/>
  <c r="U35" i="187"/>
  <c r="T71" i="187"/>
  <c r="U91" i="187"/>
  <c r="U79" i="187"/>
  <c r="U28" i="13"/>
  <c r="G7" i="144"/>
  <c r="U147" i="187"/>
  <c r="U44" i="187"/>
  <c r="U146" i="187"/>
  <c r="B12" i="11"/>
  <c r="T207" i="187"/>
  <c r="U56" i="187"/>
  <c r="U232" i="187"/>
  <c r="U214" i="187"/>
  <c r="U78" i="187"/>
  <c r="U137" i="187"/>
  <c r="U130" i="187"/>
  <c r="U35" i="13"/>
  <c r="U159" i="187"/>
  <c r="U215" i="187"/>
  <c r="U113" i="187"/>
  <c r="T22" i="13"/>
  <c r="U164" i="187"/>
  <c r="U103" i="187"/>
  <c r="U261" i="187"/>
  <c r="U28" i="187"/>
  <c r="U181" i="187"/>
  <c r="U266" i="187"/>
  <c r="U11" i="187"/>
  <c r="U62" i="187"/>
  <c r="U69" i="187"/>
  <c r="U273" i="187"/>
  <c r="U90" i="187"/>
  <c r="U112" i="187"/>
  <c r="T260" i="187"/>
  <c r="U23" i="13"/>
  <c r="T173" i="187"/>
  <c r="U173" i="187" s="1"/>
  <c r="U158" i="187"/>
  <c r="U205" i="187"/>
  <c r="T241" i="187"/>
  <c r="U241" i="187" s="1"/>
  <c r="T105" i="187"/>
  <c r="U105" i="187" s="1"/>
  <c r="U124" i="187"/>
  <c r="U57" i="187"/>
  <c r="T248" i="187"/>
  <c r="U192" i="187"/>
  <c r="R248" i="187"/>
  <c r="U227" i="187"/>
  <c r="R10" i="187"/>
  <c r="T10" i="187"/>
  <c r="T139" i="187"/>
  <c r="U180" i="187"/>
  <c r="K7" i="144"/>
  <c r="U10" i="13"/>
  <c r="U125" i="187"/>
  <c r="U23" i="187"/>
  <c r="H7" i="144"/>
  <c r="U198" i="187"/>
  <c r="I7" i="144"/>
  <c r="U239" i="187"/>
  <c r="U249" i="187"/>
  <c r="T22" i="187"/>
  <c r="T243" i="187" l="1"/>
  <c r="T209" i="187"/>
  <c r="T175" i="187"/>
  <c r="T141" i="187"/>
  <c r="T107" i="187"/>
  <c r="T73" i="187"/>
  <c r="AN2" i="110"/>
  <c r="K3" i="33"/>
  <c r="D5" i="34"/>
  <c r="E5" i="34" s="1"/>
  <c r="I19" i="144"/>
  <c r="U260" i="187"/>
  <c r="U10" i="187"/>
  <c r="U73" i="187"/>
  <c r="H19" i="144"/>
  <c r="U22" i="13"/>
  <c r="T37" i="187"/>
  <c r="K19" i="144"/>
  <c r="U207" i="187"/>
  <c r="T37" i="13"/>
  <c r="U71" i="187"/>
  <c r="E7" i="144"/>
  <c r="J19" i="144"/>
  <c r="U107" i="187"/>
  <c r="U243" i="187"/>
  <c r="U175" i="187"/>
  <c r="F19" i="144"/>
  <c r="U141" i="187"/>
  <c r="U139" i="187"/>
  <c r="G19" i="144"/>
  <c r="U209" i="187"/>
  <c r="B13" i="11"/>
  <c r="T275" i="187"/>
  <c r="U22" i="187"/>
  <c r="D4" i="15"/>
  <c r="L7" i="144"/>
  <c r="U248" i="187"/>
  <c r="E19" i="144"/>
  <c r="M7" i="144"/>
  <c r="U275" i="187"/>
  <c r="T277" i="187" l="1"/>
  <c r="M19" i="15"/>
  <c r="E19" i="15"/>
  <c r="F18" i="15"/>
  <c r="G17" i="15"/>
  <c r="H16" i="15"/>
  <c r="I15" i="15"/>
  <c r="J14" i="15"/>
  <c r="K13" i="15"/>
  <c r="L12" i="15"/>
  <c r="M11" i="15"/>
  <c r="E11" i="15"/>
  <c r="F10" i="15"/>
  <c r="G9" i="15"/>
  <c r="H8" i="15"/>
  <c r="I7" i="15"/>
  <c r="K18" i="15"/>
  <c r="E16" i="15"/>
  <c r="G14" i="15"/>
  <c r="I12" i="15"/>
  <c r="K10" i="15"/>
  <c r="M8" i="15"/>
  <c r="F7" i="15"/>
  <c r="I19" i="15"/>
  <c r="M15" i="15"/>
  <c r="F14" i="15"/>
  <c r="G13" i="15"/>
  <c r="I11" i="15"/>
  <c r="K9" i="15"/>
  <c r="M7" i="15"/>
  <c r="H19" i="15"/>
  <c r="L15" i="15"/>
  <c r="M14" i="15"/>
  <c r="F13" i="15"/>
  <c r="H11" i="15"/>
  <c r="J9" i="15"/>
  <c r="L7" i="15"/>
  <c r="H18" i="15"/>
  <c r="E13" i="15"/>
  <c r="H10" i="15"/>
  <c r="G18" i="15"/>
  <c r="I16" i="15"/>
  <c r="K14" i="15"/>
  <c r="E12" i="15"/>
  <c r="G10" i="15"/>
  <c r="I8" i="15"/>
  <c r="L19" i="15"/>
  <c r="M18" i="15"/>
  <c r="E18" i="15"/>
  <c r="F17" i="15"/>
  <c r="G16" i="15"/>
  <c r="H15" i="15"/>
  <c r="I14" i="15"/>
  <c r="J13" i="15"/>
  <c r="K12" i="15"/>
  <c r="L11" i="15"/>
  <c r="M10" i="15"/>
  <c r="E10" i="15"/>
  <c r="F9" i="15"/>
  <c r="G8" i="15"/>
  <c r="H7" i="15"/>
  <c r="J19" i="15"/>
  <c r="M16" i="15"/>
  <c r="F15" i="15"/>
  <c r="H13" i="15"/>
  <c r="J11" i="15"/>
  <c r="L9" i="15"/>
  <c r="E8" i="15"/>
  <c r="K17" i="15"/>
  <c r="L16" i="15"/>
  <c r="E15" i="15"/>
  <c r="H12" i="15"/>
  <c r="J10" i="15"/>
  <c r="L8" i="15"/>
  <c r="E7" i="15"/>
  <c r="I18" i="15"/>
  <c r="K16" i="15"/>
  <c r="E14" i="15"/>
  <c r="G12" i="15"/>
  <c r="I10" i="15"/>
  <c r="K8" i="15"/>
  <c r="I17" i="15"/>
  <c r="F12" i="15"/>
  <c r="J8" i="15"/>
  <c r="F19" i="15"/>
  <c r="J15" i="15"/>
  <c r="L13" i="15"/>
  <c r="M12" i="15"/>
  <c r="F11" i="15"/>
  <c r="H9" i="15"/>
  <c r="J7" i="15"/>
  <c r="K19" i="15"/>
  <c r="L18" i="15"/>
  <c r="M17" i="15"/>
  <c r="E17" i="15"/>
  <c r="F16" i="15"/>
  <c r="G15" i="15"/>
  <c r="H14" i="15"/>
  <c r="I13" i="15"/>
  <c r="J12" i="15"/>
  <c r="K11" i="15"/>
  <c r="L10" i="15"/>
  <c r="M9" i="15"/>
  <c r="E9" i="15"/>
  <c r="F8" i="15"/>
  <c r="G7" i="15"/>
  <c r="L17" i="15"/>
  <c r="J18" i="15"/>
  <c r="J17" i="15"/>
  <c r="G19" i="15"/>
  <c r="J16" i="15"/>
  <c r="K15" i="15"/>
  <c r="L14" i="15"/>
  <c r="M13" i="15"/>
  <c r="G11" i="15"/>
  <c r="I9" i="15"/>
  <c r="K7" i="15"/>
  <c r="H17" i="15"/>
  <c r="T39" i="13"/>
  <c r="D3" i="15"/>
  <c r="E1" i="15"/>
  <c r="B14" i="11"/>
  <c r="D5" i="15"/>
  <c r="E5" i="15" s="1"/>
  <c r="T39" i="187"/>
  <c r="T245" i="187"/>
  <c r="U245" i="187"/>
  <c r="L19" i="144"/>
  <c r="M19" i="144" s="1"/>
  <c r="T211" i="187"/>
  <c r="U39" i="187"/>
  <c r="T41" i="187"/>
  <c r="U37" i="187"/>
  <c r="U277" i="187"/>
  <c r="T177" i="187"/>
  <c r="T41" i="13"/>
  <c r="U39" i="13"/>
  <c r="T109" i="187"/>
  <c r="T75" i="187"/>
  <c r="T279" i="187"/>
  <c r="U37" i="13"/>
  <c r="T143" i="187"/>
  <c r="U211" i="187"/>
  <c r="U41" i="187"/>
  <c r="U177" i="187"/>
  <c r="U109" i="187"/>
  <c r="U75" i="187"/>
  <c r="U279" i="187"/>
  <c r="U143" i="187"/>
  <c r="T7" i="13" l="1"/>
  <c r="T7" i="187"/>
  <c r="F7" i="34"/>
  <c r="U41" i="13"/>
  <c r="U7" i="187"/>
  <c r="J7" i="34"/>
  <c r="H7" i="34"/>
  <c r="L7" i="34"/>
  <c r="G7" i="34"/>
  <c r="U7" i="13"/>
  <c r="I7" i="34"/>
  <c r="E7" i="34"/>
  <c r="K7" i="34"/>
  <c r="M7" i="34"/>
  <c r="E19" i="34"/>
  <c r="G19" i="34"/>
  <c r="H19" i="34"/>
  <c r="F19" i="34"/>
  <c r="K19" i="34"/>
  <c r="I19" i="34"/>
  <c r="L19" i="34"/>
  <c r="J19" i="34"/>
  <c r="M19" i="34" s="1"/>
</calcChain>
</file>

<file path=xl/comments1.xml><?xml version="1.0" encoding="utf-8"?>
<comments xmlns="http://schemas.openxmlformats.org/spreadsheetml/2006/main">
  <authors>
    <author>MATHELOT Frederic (EACEA-EXT)</author>
  </authors>
  <commentList>
    <comment ref="B3" authorId="0" shapeId="0">
      <text>
        <r>
          <rPr>
            <b/>
            <sz val="9"/>
            <color indexed="81"/>
            <rFont val="Tahoma"/>
            <family val="2"/>
          </rPr>
          <t>MATHELOT Frederic (EACEA-EXT):</t>
        </r>
        <r>
          <rPr>
            <sz val="9"/>
            <color indexed="81"/>
            <rFont val="Tahoma"/>
            <family val="2"/>
          </rPr>
          <t xml:space="preserve">
1st Valid Cell</t>
        </r>
      </text>
    </comment>
    <comment ref="C3" authorId="0" shapeId="0">
      <text>
        <r>
          <rPr>
            <b/>
            <sz val="9"/>
            <color indexed="81"/>
            <rFont val="Tahoma"/>
            <family val="2"/>
          </rPr>
          <t>MATHELOT Frederic (EACEA-EXT):</t>
        </r>
        <r>
          <rPr>
            <sz val="9"/>
            <color indexed="81"/>
            <rFont val="Tahoma"/>
            <family val="2"/>
          </rPr>
          <t xml:space="preserve">
Last Row</t>
        </r>
      </text>
    </comment>
    <comment ref="D3" authorId="0" shapeId="0">
      <text>
        <r>
          <rPr>
            <b/>
            <sz val="9"/>
            <color indexed="81"/>
            <rFont val="Tahoma"/>
            <family val="2"/>
          </rPr>
          <t>MATHELOT Frederic (EACEA-EXT):</t>
        </r>
        <r>
          <rPr>
            <sz val="9"/>
            <color indexed="81"/>
            <rFont val="Tahoma"/>
            <family val="2"/>
          </rPr>
          <t xml:space="preserve">
Last Col</t>
        </r>
      </text>
    </comment>
    <comment ref="E3" authorId="0" shapeId="0">
      <text>
        <r>
          <rPr>
            <b/>
            <sz val="9"/>
            <color indexed="81"/>
            <rFont val="Tahoma"/>
            <family val="2"/>
          </rPr>
          <t>MATHELOT Frederic (EACEA-EXT):</t>
        </r>
        <r>
          <rPr>
            <sz val="9"/>
            <color indexed="81"/>
            <rFont val="Tahoma"/>
            <family val="2"/>
          </rPr>
          <t xml:space="preserve">
First Valid Row</t>
        </r>
      </text>
    </comment>
    <comment ref="D5" authorId="0" shapeId="0">
      <text>
        <r>
          <rPr>
            <b/>
            <sz val="9"/>
            <color indexed="81"/>
            <rFont val="Tahoma"/>
            <family val="2"/>
          </rPr>
          <t xml:space="preserve">Please, fill in column Requested EU Contribution in sheet Proposal Budget.
Thank you.
</t>
        </r>
        <r>
          <rPr>
            <sz val="9"/>
            <color indexed="81"/>
            <rFont val="Tahoma"/>
            <family val="2"/>
          </rPr>
          <t xml:space="preserve">If the cell is RED then this amount is wrong.
Please check in sheet Proposal Budget
</t>
        </r>
      </text>
    </comment>
  </commentList>
</comments>
</file>

<file path=xl/comments2.xml><?xml version="1.0" encoding="utf-8"?>
<comments xmlns="http://schemas.openxmlformats.org/spreadsheetml/2006/main">
  <authors>
    <author>MATHELOT Frederic (EACEA-EXT)</author>
  </authors>
  <commentList>
    <comment ref="B3" authorId="0" shapeId="0">
      <text>
        <r>
          <rPr>
            <b/>
            <sz val="9"/>
            <color indexed="81"/>
            <rFont val="Tahoma"/>
            <family val="2"/>
          </rPr>
          <t>MATHELOT Frederic (EACEA-EXT):</t>
        </r>
        <r>
          <rPr>
            <sz val="9"/>
            <color indexed="81"/>
            <rFont val="Tahoma"/>
            <family val="2"/>
          </rPr>
          <t xml:space="preserve">
1st Valid Cell</t>
        </r>
      </text>
    </comment>
    <comment ref="C3" authorId="0" shapeId="0">
      <text>
        <r>
          <rPr>
            <b/>
            <sz val="9"/>
            <color indexed="81"/>
            <rFont val="Tahoma"/>
            <family val="2"/>
          </rPr>
          <t>MATHELOT Frederic (EACEA-EXT):</t>
        </r>
        <r>
          <rPr>
            <sz val="9"/>
            <color indexed="81"/>
            <rFont val="Tahoma"/>
            <family val="2"/>
          </rPr>
          <t xml:space="preserve">
Last Row</t>
        </r>
      </text>
    </comment>
    <comment ref="D3" authorId="0" shapeId="0">
      <text>
        <r>
          <rPr>
            <b/>
            <sz val="9"/>
            <color indexed="81"/>
            <rFont val="Tahoma"/>
            <family val="2"/>
          </rPr>
          <t>MATHELOT Frederic (EACEA-EXT):</t>
        </r>
        <r>
          <rPr>
            <sz val="9"/>
            <color indexed="81"/>
            <rFont val="Tahoma"/>
            <family val="2"/>
          </rPr>
          <t xml:space="preserve">
Last Col</t>
        </r>
      </text>
    </comment>
    <comment ref="E3" authorId="0" shapeId="0">
      <text>
        <r>
          <rPr>
            <b/>
            <sz val="9"/>
            <color indexed="81"/>
            <rFont val="Tahoma"/>
            <family val="2"/>
          </rPr>
          <t>MATHELOT Frederic (EACEA-EXT):</t>
        </r>
        <r>
          <rPr>
            <sz val="9"/>
            <color indexed="81"/>
            <rFont val="Tahoma"/>
            <family val="2"/>
          </rPr>
          <t xml:space="preserve">
First Valid Row</t>
        </r>
      </text>
    </comment>
  </commentList>
</comments>
</file>

<file path=xl/comments3.xml><?xml version="1.0" encoding="utf-8"?>
<comments xmlns="http://schemas.openxmlformats.org/spreadsheetml/2006/main">
  <authors>
    <author>MATHELOT Frederic (EACEA-EXT)</author>
  </authors>
  <commentList>
    <comment ref="B3" authorId="0" shapeId="0">
      <text>
        <r>
          <rPr>
            <b/>
            <sz val="9"/>
            <color indexed="81"/>
            <rFont val="Tahoma"/>
            <family val="2"/>
          </rPr>
          <t>MATHELOT Frederic (EACEA-EXT):</t>
        </r>
        <r>
          <rPr>
            <sz val="9"/>
            <color indexed="81"/>
            <rFont val="Tahoma"/>
            <family val="2"/>
          </rPr>
          <t xml:space="preserve">
1st Valid Cell</t>
        </r>
      </text>
    </comment>
    <comment ref="C3" authorId="0" shapeId="0">
      <text>
        <r>
          <rPr>
            <b/>
            <sz val="9"/>
            <color indexed="81"/>
            <rFont val="Tahoma"/>
            <family val="2"/>
          </rPr>
          <t>MATHELOT Frederic (EACEA-EXT):</t>
        </r>
        <r>
          <rPr>
            <sz val="9"/>
            <color indexed="81"/>
            <rFont val="Tahoma"/>
            <family val="2"/>
          </rPr>
          <t xml:space="preserve">
Last Row</t>
        </r>
      </text>
    </comment>
    <comment ref="D3" authorId="0" shapeId="0">
      <text>
        <r>
          <rPr>
            <b/>
            <sz val="9"/>
            <color indexed="81"/>
            <rFont val="Tahoma"/>
            <family val="2"/>
          </rPr>
          <t>MATHELOT Frederic (EACEA-EXT):</t>
        </r>
        <r>
          <rPr>
            <sz val="9"/>
            <color indexed="81"/>
            <rFont val="Tahoma"/>
            <family val="2"/>
          </rPr>
          <t xml:space="preserve">
Last Col</t>
        </r>
      </text>
    </comment>
    <comment ref="E3" authorId="0" shapeId="0">
      <text>
        <r>
          <rPr>
            <b/>
            <sz val="9"/>
            <color indexed="81"/>
            <rFont val="Tahoma"/>
            <family val="2"/>
          </rPr>
          <t>MATHELOT Frederic (EACEA-EXT):</t>
        </r>
        <r>
          <rPr>
            <sz val="9"/>
            <color indexed="81"/>
            <rFont val="Tahoma"/>
            <family val="2"/>
          </rPr>
          <t xml:space="preserve">
First Valid Row</t>
        </r>
      </text>
    </comment>
  </commentList>
</comments>
</file>

<file path=xl/comments4.xml><?xml version="1.0" encoding="utf-8"?>
<comments xmlns="http://schemas.openxmlformats.org/spreadsheetml/2006/main">
  <authors>
    <author>VAN MILEGHEM Theo (RTD)</author>
  </authors>
  <commentList>
    <comment ref="G3" authorId="0" shapeId="0">
      <text>
        <r>
          <rPr>
            <b/>
            <sz val="9"/>
            <color indexed="81"/>
            <rFont val="Tahoma"/>
            <family val="2"/>
          </rPr>
          <t>DG RTD :</t>
        </r>
        <r>
          <rPr>
            <sz val="9"/>
            <color indexed="81"/>
            <rFont val="Tahoma"/>
            <family val="2"/>
          </rPr>
          <t xml:space="preserve">
- If you have the equipment already :
real DATE of purchase.
- If you plan to buy it give the DATE when you will buy it</t>
        </r>
      </text>
    </comment>
  </commentList>
</comments>
</file>

<file path=xl/comments5.xml><?xml version="1.0" encoding="utf-8"?>
<comments xmlns="http://schemas.openxmlformats.org/spreadsheetml/2006/main">
  <authors>
    <author>MATHELOT Frederic (EACEA-EXT)</author>
  </authors>
  <commentList>
    <comment ref="A3" authorId="0" shapeId="0">
      <text>
        <r>
          <rPr>
            <b/>
            <sz val="9"/>
            <color indexed="81"/>
            <rFont val="Tahoma"/>
            <charset val="1"/>
          </rPr>
          <t>DOUBLE-CLICK to update the date of version and the build :-)</t>
        </r>
      </text>
    </comment>
    <comment ref="B12" authorId="0" shapeId="0">
      <text>
        <r>
          <rPr>
            <b/>
            <sz val="9"/>
            <color indexed="81"/>
            <rFont val="Tahoma"/>
            <family val="2"/>
          </rPr>
          <t>MATHELOT Frederic (EACEA-EXT):</t>
        </r>
        <r>
          <rPr>
            <sz val="9"/>
            <color indexed="81"/>
            <rFont val="Tahoma"/>
            <family val="2"/>
          </rPr>
          <t xml:space="preserve">
=INDIRECT("EGR!" &amp; ADDRESS(EGR!C3;EGR!D3);TRUE)</t>
        </r>
      </text>
    </comment>
  </commentList>
</comments>
</file>

<file path=xl/sharedStrings.xml><?xml version="1.0" encoding="utf-8"?>
<sst xmlns="http://schemas.openxmlformats.org/spreadsheetml/2006/main" count="14679" uniqueCount="976">
  <si>
    <t>XXXX</t>
  </si>
  <si>
    <t>ANNEX 1 to Part B
Detailed Estimation of Costs for Lump Sums</t>
  </si>
  <si>
    <t>Instructions</t>
  </si>
  <si>
    <t xml:space="preserve">This workbook for Lump Sum calculation must be uploaded in the Submission system as a mandatory document in annex to the application.  
Please note that if you do not upload the fully completed Excel workbook as an annex, the application cannot be submitted (the system will not allow you to submit).
</t>
  </si>
  <si>
    <t xml:space="preserve">According to the Lump sum scheme, the lump sum for a Work Package (WP) will normally be paid only when the entire Work Package has been completed. Please take this into consideration while structuring your proposal. Work Packages should be designed in a way that enables the evaluator to clearly identify whether the action has been completed.
</t>
  </si>
  <si>
    <t xml:space="preserve">We recommend using Excel 2010 or more recent.
</t>
  </si>
  <si>
    <t xml:space="preserve">The only currency used in this worksheet is EURO.
</t>
  </si>
  <si>
    <r>
      <t xml:space="preserve">The first thing you need to do is to </t>
    </r>
    <r>
      <rPr>
        <b/>
        <sz val="11"/>
        <color theme="1"/>
        <rFont val="Calibri"/>
        <family val="2"/>
        <scheme val="minor"/>
      </rPr>
      <t>set the relevant Maximum Grant Amount  (in row 34 of this sheet), and the maximum co-financing rate (in row 35, both in column E) applicable for the call.</t>
    </r>
    <r>
      <rPr>
        <sz val="11"/>
        <color theme="1"/>
        <rFont val="Calibri"/>
        <family val="2"/>
        <scheme val="minor"/>
      </rPr>
      <t xml:space="preserve"> 
This data can be found on the Portal under Topic Conditions and in the Call document.
</t>
    </r>
  </si>
  <si>
    <r>
      <t xml:space="preserve">You then have to fill in </t>
    </r>
    <r>
      <rPr>
        <b/>
        <sz val="11"/>
        <color theme="1"/>
        <rFont val="Calibri"/>
        <family val="2"/>
        <scheme val="minor"/>
      </rPr>
      <t>only</t>
    </r>
    <r>
      <rPr>
        <sz val="11"/>
        <color theme="1"/>
        <rFont val="Calibri"/>
        <family val="2"/>
        <scheme val="minor"/>
      </rPr>
      <t xml:space="preserve"> the following sheets: ‘Beneficiaries List' – ‘Work Package list’ – ‘BE XXX’ (one sheet per Participating Organisation) – ‘Depreciation costs’ (if your budget includes the purchase of equipment).
The final tab "Any comments" must be used to provide key information required for a full evaluation of your detailed budget (see point 18 below).
</t>
    </r>
  </si>
  <si>
    <r>
      <t>You first need to start filling in the sheet 'Beneficiaries list' where you are asked to enter all participants in the project including any Affiliated Entities.
To add beneficiaries, please double-click on '</t>
    </r>
    <r>
      <rPr>
        <b/>
        <sz val="11"/>
        <color theme="1"/>
        <rFont val="Calibri"/>
        <family val="2"/>
        <scheme val="minor"/>
      </rPr>
      <t>Add a Beneficiary</t>
    </r>
    <r>
      <rPr>
        <sz val="11"/>
        <color theme="1"/>
        <rFont val="Calibri"/>
        <family val="2"/>
        <scheme val="minor"/>
      </rPr>
      <t>'; to add an affiliated entity, please, double-click on '</t>
    </r>
    <r>
      <rPr>
        <b/>
        <sz val="11"/>
        <color theme="1"/>
        <rFont val="Calibri"/>
        <family val="2"/>
        <scheme val="minor"/>
      </rPr>
      <t>Add an Affiliated Entity</t>
    </r>
    <r>
      <rPr>
        <sz val="11"/>
        <color theme="1"/>
        <rFont val="Calibri"/>
        <family val="2"/>
        <scheme val="minor"/>
      </rPr>
      <t xml:space="preserve">'.
</t>
    </r>
    <r>
      <rPr>
        <i/>
        <sz val="11"/>
        <color theme="1"/>
        <rFont val="Calibri"/>
        <family val="2"/>
        <scheme val="minor"/>
      </rPr>
      <t>NOTE: the costs of Associated Partners cannot appear in any part of this budget.</t>
    </r>
    <r>
      <rPr>
        <sz val="11"/>
        <color theme="1"/>
        <rFont val="Calibri"/>
        <family val="2"/>
        <scheme val="minor"/>
      </rPr>
      <t xml:space="preserve">
</t>
    </r>
  </si>
  <si>
    <r>
      <t>Then you can fill in the sheet 'Work Packages list', where you are asked to enter all the Work Packages.
To add a work package, please double-click on '</t>
    </r>
    <r>
      <rPr>
        <b/>
        <sz val="11"/>
        <color theme="1"/>
        <rFont val="Calibri"/>
        <family val="2"/>
        <scheme val="minor"/>
      </rPr>
      <t>Add a Work Package</t>
    </r>
    <r>
      <rPr>
        <sz val="11"/>
        <color theme="1"/>
        <rFont val="Calibri"/>
        <family val="2"/>
        <scheme val="minor"/>
      </rPr>
      <t xml:space="preserve">'.
</t>
    </r>
  </si>
  <si>
    <r>
      <t>Once you have completed the ‘Beneficiaries List' and ‘Work Package list’ sheets, or each time you add or remove a beneficiary or a work-package, you must double-click on one of the “</t>
    </r>
    <r>
      <rPr>
        <b/>
        <sz val="11"/>
        <color theme="1"/>
        <rFont val="Calibri"/>
        <family val="2"/>
        <scheme val="minor"/>
      </rPr>
      <t>Apply changes</t>
    </r>
    <r>
      <rPr>
        <sz val="11"/>
        <color theme="1"/>
        <rFont val="Calibri"/>
        <family val="2"/>
        <scheme val="minor"/>
      </rPr>
      <t xml:space="preserve">” buttons to generate the related sheets in the Excel workbook.
At this stage your spreadsheet is ready to be edited Beneficiary by Beneficiary  (BE XXX) for all the workpackages concerned.
You are requested to enter for each Beneficiary Spreadsheet, all the related costs of each WorkPackage.
</t>
    </r>
  </si>
  <si>
    <r>
      <t xml:space="preserve">You have to complete a ‘BE XXX’ sheet per Beneficiary. This sheet includes separate sections for the various costs categories for each Work Package of the project.
Complete only the </t>
    </r>
    <r>
      <rPr>
        <b/>
        <sz val="11"/>
        <color theme="1"/>
        <rFont val="Calibri"/>
        <family val="2"/>
        <scheme val="minor"/>
      </rPr>
      <t>number of units</t>
    </r>
    <r>
      <rPr>
        <sz val="11"/>
        <color theme="1"/>
        <rFont val="Calibri"/>
        <family val="2"/>
        <scheme val="minor"/>
      </rPr>
      <t xml:space="preserve"> and the </t>
    </r>
    <r>
      <rPr>
        <b/>
        <sz val="11"/>
        <color theme="1"/>
        <rFont val="Calibri"/>
        <family val="2"/>
        <scheme val="minor"/>
      </rPr>
      <t>cost per unit</t>
    </r>
    <r>
      <rPr>
        <sz val="11"/>
        <color theme="1"/>
        <rFont val="Calibri"/>
        <family val="2"/>
        <scheme val="minor"/>
      </rPr>
      <t xml:space="preserve"> for each cost category. The total cost per cost category will be automatically calculated.
If the Beneficiary does not contribute to a specific WP or cost category, then leave it blank.
</t>
    </r>
  </si>
  <si>
    <t>You have to estimate the eligible costs of your proposal using the same methodology as if these costs were declared under an actual cost-based grant agreement. Make sure the budget table is consistent with the work packages described in application form part B.
For additional information, please refer to the Annotated Model Grant Agreement.</t>
  </si>
  <si>
    <t>Annotaded Grant Agreement in Reference-documents section of Erasmus</t>
  </si>
  <si>
    <r>
      <t>In each ‘BE XXX’ sheet, for section “</t>
    </r>
    <r>
      <rPr>
        <b/>
        <sz val="11"/>
        <color theme="1"/>
        <rFont val="Calibri"/>
        <family val="2"/>
        <scheme val="minor"/>
      </rPr>
      <t>A. DIRECT PERSONNEL COSTS</t>
    </r>
    <r>
      <rPr>
        <sz val="11"/>
        <color theme="1"/>
        <rFont val="Calibri"/>
        <family val="2"/>
        <scheme val="minor"/>
      </rPr>
      <t xml:space="preserve">”, you have to encode your costs using the following unit: 1 unit is 1 person-month
You can customize the categories of Employees that correspond to your organisation in rows    45 to 49    below.
</t>
    </r>
  </si>
  <si>
    <r>
      <t>In each ‘BE XXX’ sheet, for section '</t>
    </r>
    <r>
      <rPr>
        <b/>
        <sz val="11"/>
        <color theme="1"/>
        <rFont val="Calibri"/>
        <family val="2"/>
        <scheme val="minor"/>
      </rPr>
      <t>C2. Equipment'</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 use the ‘Depreciation costs’ sheet as a tool to calculate the depreciation costs to be charged for the whole duration of the project.
This amount is </t>
    </r>
    <r>
      <rPr>
        <b/>
        <sz val="11"/>
        <color theme="1"/>
        <rFont val="Calibri"/>
        <family val="2"/>
        <scheme val="minor"/>
      </rPr>
      <t>NOT</t>
    </r>
    <r>
      <rPr>
        <sz val="11"/>
        <color theme="1"/>
        <rFont val="Calibri"/>
        <family val="2"/>
        <scheme val="minor"/>
      </rPr>
      <t xml:space="preserve"> automatically transferred to the respective ‘BE XXX’ sheet. You have to add manually the depreciation costs in the dedicated section of the ‘BE XXX’ sheet. If you have several items in the ‘Depreciation costs’ sheet for one single section (same Beneficiary, same Work Package and same “Resource type”), you must add only the total of these items to the relevant cell in the ‘BE XXX’ sheet.
</t>
    </r>
  </si>
  <si>
    <r>
      <rPr>
        <b/>
        <sz val="11"/>
        <color theme="1"/>
        <rFont val="Calibri"/>
        <family val="2"/>
        <scheme val="minor"/>
      </rPr>
      <t>Indirect costs</t>
    </r>
    <r>
      <rPr>
        <sz val="11"/>
        <color theme="1"/>
        <rFont val="Calibri"/>
        <family val="2"/>
        <scheme val="minor"/>
      </rPr>
      <t xml:space="preserve"> will be calculated automatically in each 'BE XXX' sheet.
</t>
    </r>
  </si>
  <si>
    <t>The summary tables ‘BE-WP Overview’, 'Estim costs of the project’, ‘Proposal Budget’, and ‘BE-WP Person Months' will be produced automatically.</t>
  </si>
  <si>
    <r>
      <t>The amount calculated in the</t>
    </r>
    <r>
      <rPr>
        <b/>
        <sz val="11"/>
        <color theme="1"/>
        <rFont val="Calibri"/>
        <family val="2"/>
        <scheme val="minor"/>
      </rPr>
      <t xml:space="preserve"> 'BE-WP Overview'</t>
    </r>
    <r>
      <rPr>
        <sz val="11"/>
        <color theme="1"/>
        <rFont val="Calibri"/>
        <family val="2"/>
        <scheme val="minor"/>
      </rPr>
      <t xml:space="preserve"> sheet of this Excel workbook under the heading 'Max TOTAL EU Contribution' </t>
    </r>
    <r>
      <rPr>
        <b/>
        <u/>
        <sz val="11"/>
        <color theme="1"/>
        <rFont val="Calibri"/>
        <family val="2"/>
        <scheme val="minor"/>
      </rPr>
      <t xml:space="preserve">must be copied exactly </t>
    </r>
    <r>
      <rPr>
        <sz val="11"/>
        <color theme="1"/>
        <rFont val="Calibri"/>
        <family val="2"/>
        <scheme val="minor"/>
      </rPr>
      <t xml:space="preserve">          into the Requested Grant Amount in the “Section 3 - Budget”, of</t>
    </r>
    <r>
      <rPr>
        <u/>
        <sz val="11"/>
        <color theme="1"/>
        <rFont val="Calibri"/>
        <family val="2"/>
        <scheme val="minor"/>
      </rPr>
      <t xml:space="preserve"> the application form</t>
    </r>
    <r>
      <rPr>
        <sz val="11"/>
        <color theme="1"/>
        <rFont val="Calibri"/>
        <family val="2"/>
        <scheme val="minor"/>
      </rPr>
      <t xml:space="preserve">.
</t>
    </r>
  </si>
  <si>
    <r>
      <t>The ‘</t>
    </r>
    <r>
      <rPr>
        <b/>
        <sz val="11"/>
        <color theme="1"/>
        <rFont val="Calibri"/>
        <family val="2"/>
        <scheme val="minor"/>
      </rPr>
      <t>Estim costs of the project</t>
    </r>
    <r>
      <rPr>
        <sz val="11"/>
        <color theme="1"/>
        <rFont val="Calibri"/>
        <family val="2"/>
        <scheme val="minor"/>
      </rPr>
      <t xml:space="preserve">’, </t>
    </r>
    <r>
      <rPr>
        <b/>
        <sz val="11"/>
        <color theme="1"/>
        <rFont val="Calibri"/>
        <family val="2"/>
        <scheme val="minor"/>
      </rPr>
      <t>Proposal Budget</t>
    </r>
    <r>
      <rPr>
        <sz val="11"/>
        <color theme="1"/>
        <rFont val="Calibri"/>
        <family val="2"/>
        <scheme val="minor"/>
      </rPr>
      <t>' and ‘</t>
    </r>
    <r>
      <rPr>
        <b/>
        <sz val="11"/>
        <color theme="1"/>
        <rFont val="Calibri"/>
        <family val="2"/>
        <scheme val="minor"/>
      </rPr>
      <t>BE-WP person months</t>
    </r>
    <r>
      <rPr>
        <sz val="11"/>
        <color theme="1"/>
        <rFont val="Calibri"/>
        <family val="2"/>
        <scheme val="minor"/>
      </rPr>
      <t xml:space="preserve">' sheets are there for your information and will be used during evaluation of your application.
</t>
    </r>
  </si>
  <si>
    <r>
      <t>If you have any comment, you can use the ‘</t>
    </r>
    <r>
      <rPr>
        <b/>
        <sz val="11"/>
        <color theme="1"/>
        <rFont val="Calibri"/>
        <family val="2"/>
        <scheme val="minor"/>
      </rPr>
      <t>Any comments</t>
    </r>
    <r>
      <rPr>
        <sz val="11"/>
        <color theme="1"/>
        <rFont val="Calibri"/>
        <family val="2"/>
        <scheme val="minor"/>
      </rPr>
      <t>’ sheet.
If you use the category 'other' in sections ‘A.1 Staff costs’ and / or  'C.3 Other goods, works and services', you should specify the breakdown of the cost, in the '</t>
    </r>
    <r>
      <rPr>
        <b/>
        <sz val="11"/>
        <color theme="1"/>
        <rFont val="Calibri"/>
        <family val="2"/>
        <scheme val="minor"/>
      </rPr>
      <t>Any comments</t>
    </r>
    <r>
      <rPr>
        <sz val="11"/>
        <color theme="1"/>
        <rFont val="Calibri"/>
        <family val="2"/>
        <scheme val="minor"/>
      </rPr>
      <t xml:space="preserve">' sheet.
</t>
    </r>
  </si>
  <si>
    <r>
      <t xml:space="preserve">The format of this Excel workbook is .xlsm because it uses macros.
Make sure you do not disable them when filling in the different sections.
</t>
    </r>
    <r>
      <rPr>
        <b/>
        <sz val="11"/>
        <color theme="1"/>
        <rFont val="Calibri"/>
        <family val="2"/>
        <scheme val="minor"/>
      </rPr>
      <t xml:space="preserve">
</t>
    </r>
    <r>
      <rPr>
        <sz val="11"/>
        <color theme="1"/>
        <rFont val="Calibri"/>
        <family val="2"/>
        <scheme val="minor"/>
      </rPr>
      <t xml:space="preserve">However, this format </t>
    </r>
    <r>
      <rPr>
        <b/>
        <sz val="11"/>
        <color theme="1"/>
        <rFont val="Calibri"/>
        <family val="2"/>
        <scheme val="minor"/>
      </rPr>
      <t>cannot</t>
    </r>
    <r>
      <rPr>
        <sz val="11"/>
        <color theme="1"/>
        <rFont val="Calibri"/>
        <family val="2"/>
        <scheme val="minor"/>
      </rPr>
      <t xml:space="preserve"> be uploaded to the submission system for security reasons. </t>
    </r>
    <r>
      <rPr>
        <b/>
        <sz val="11"/>
        <color theme="1"/>
        <rFont val="Calibri"/>
        <family val="2"/>
        <scheme val="minor"/>
      </rPr>
      <t>Only XLSX format is allowed.</t>
    </r>
    <r>
      <rPr>
        <sz val="11"/>
        <color theme="1"/>
        <rFont val="Calibri"/>
        <family val="2"/>
        <scheme val="minor"/>
      </rPr>
      <t xml:space="preserve">
Therefore, please save a copy as an .xlsx document to upload it to the proposal submission tool.
</t>
    </r>
    <r>
      <rPr>
        <u/>
        <sz val="11"/>
        <color theme="1"/>
        <rFont val="Calibri"/>
        <family val="2"/>
        <scheme val="minor"/>
      </rPr>
      <t>To save this workbook as .xlsx document:</t>
    </r>
    <r>
      <rPr>
        <sz val="11"/>
        <color theme="1"/>
        <rFont val="Calibri"/>
        <family val="2"/>
        <scheme val="minor"/>
      </rPr>
      <t xml:space="preserve">
- double-click on the button 'Create XLSX Document' in cell E37 of this </t>
    </r>
    <r>
      <rPr>
        <u/>
        <sz val="11"/>
        <color theme="1"/>
        <rFont val="Calibri"/>
        <family val="2"/>
        <scheme val="minor"/>
      </rPr>
      <t>Instructions</t>
    </r>
    <r>
      <rPr>
        <sz val="11"/>
        <color theme="1"/>
        <rFont val="Calibri"/>
        <family val="2"/>
        <scheme val="minor"/>
      </rPr>
      <t xml:space="preserve"> sheet.
OR</t>
    </r>
    <r>
      <rPr>
        <u/>
        <sz val="11"/>
        <color theme="1"/>
        <rFont val="Calibri"/>
        <family val="2"/>
        <scheme val="minor"/>
      </rPr>
      <t xml:space="preserve">
</t>
    </r>
    <r>
      <rPr>
        <sz val="11"/>
        <color theme="1"/>
        <rFont val="Calibri"/>
        <family val="2"/>
        <scheme val="minor"/>
      </rPr>
      <t xml:space="preserve">-  in Excel, click on “File” and then “Save as”; in the “Save as” dialog box, choose “.xlsx” from the “Save as type” dropdown list.
</t>
    </r>
  </si>
  <si>
    <t>XXXXXXXXXXXXXXXXXXXXXXXXXXX</t>
  </si>
  <si>
    <t>FILL IN THE VALUES BELOW BEFORE STARTING:</t>
  </si>
  <si>
    <t>Insert the name of your call</t>
  </si>
  <si>
    <t>:</t>
  </si>
  <si>
    <t>Insert the acronym of your project</t>
  </si>
  <si>
    <t xml:space="preserve">Maximum grant amount as stipulated in the call </t>
  </si>
  <si>
    <t>TYPE HERE THE MAXIMUM GRANT AMOUNT</t>
  </si>
  <si>
    <t>Maximum co-financing rate as stipulated in the call</t>
  </si>
  <si>
    <t>TYPE HERE THE MAXIMUM CO-FINANCING RATE</t>
  </si>
  <si>
    <t>X
X
X</t>
  </si>
  <si>
    <t>The document which will be created with format .XLSX
will be saved in the same folder
where this workbook .XLSM is currently placed.</t>
  </si>
  <si>
    <t>Create XLSX document</t>
  </si>
  <si>
    <t>Double-Click to activate</t>
  </si>
  <si>
    <t xml:space="preserve">You can customize here the categories of Employees that correspond to your organisation (example: Senior Staff, Junior Staff, …).
Please, note that this definition is common to all Work Packages for all Beneficiaries.
</t>
  </si>
  <si>
    <t>A. DIRECT PERSONNEL COSTS</t>
  </si>
  <si>
    <t>A1. Employees (or equivalent) person months (you can change the types based on your structure)</t>
  </si>
  <si>
    <t>Type 1</t>
  </si>
  <si>
    <t>Type 2</t>
  </si>
  <si>
    <t>Type 3</t>
  </si>
  <si>
    <t>Type 4</t>
  </si>
  <si>
    <t>XXX</t>
  </si>
  <si>
    <t>XXXXXXXXXXXXXXXXXXXXXXXXXXXXXXXXXXXXXXXX</t>
  </si>
  <si>
    <t>XXXXXXXXXXXXXXX</t>
  </si>
  <si>
    <t>T</t>
  </si>
  <si>
    <t>ALL ABOVE IS HIDDEN</t>
  </si>
  <si>
    <t>UNDO DELETE this Affiliated Entity</t>
  </si>
  <si>
    <t>List of Beneficiaries and Affiliated Entities</t>
  </si>
  <si>
    <t>Actions (double-click to activate)</t>
  </si>
  <si>
    <t>BE NR/AE</t>
  </si>
  <si>
    <t>BE/TP name</t>
  </si>
  <si>
    <t>Acronym</t>
  </si>
  <si>
    <t>Country</t>
  </si>
  <si>
    <t>Add a Beneficiary</t>
  </si>
  <si>
    <t>B</t>
  </si>
  <si>
    <t>.</t>
  </si>
  <si>
    <t>W</t>
  </si>
  <si>
    <t>List of Work Packages</t>
  </si>
  <si>
    <t>WP Nbr</t>
  </si>
  <si>
    <t>WP Label</t>
  </si>
  <si>
    <t>Add a Work Package</t>
  </si>
  <si>
    <t>TBE</t>
  </si>
  <si>
    <t>XX</t>
  </si>
  <si>
    <t>B. Subcontracting costs (please specify details under worksheet "Comments")</t>
  </si>
  <si>
    <t>XX.XXX,XX</t>
  </si>
  <si>
    <t>XXXXXXXXX,XX</t>
  </si>
  <si>
    <t>XXXXXXXXXXX,XX</t>
  </si>
  <si>
    <t>XXXXXXXXXXXXXX,XX</t>
  </si>
  <si>
    <t>X</t>
  </si>
  <si>
    <t>BE+AE TOTAL COSTS</t>
  </si>
  <si>
    <t xml:space="preserve">Total WORK PACKAGES: </t>
  </si>
  <si>
    <t>WPRow.A</t>
  </si>
  <si>
    <t>TTA</t>
  </si>
  <si>
    <t>TA</t>
  </si>
  <si>
    <t>WPRow.B</t>
  </si>
  <si>
    <t>T1</t>
  </si>
  <si>
    <t>A1. Employees (or equivalent) person months</t>
  </si>
  <si>
    <t>WPRow.C</t>
  </si>
  <si>
    <t>V</t>
  </si>
  <si>
    <t>WPRow.D</t>
  </si>
  <si>
    <t>WPRow.E</t>
  </si>
  <si>
    <t>WPRow.F</t>
  </si>
  <si>
    <t>WPRow.G</t>
  </si>
  <si>
    <t>WPRow.H</t>
  </si>
  <si>
    <t xml:space="preserve">A.2 Natural persons under direct contract </t>
  </si>
  <si>
    <t>WPRow.I</t>
  </si>
  <si>
    <t>A.3 Seconded persons</t>
  </si>
  <si>
    <t>WPRow.J</t>
  </si>
  <si>
    <t>A.4 SME Owners without salary</t>
  </si>
  <si>
    <t>WPRow.K</t>
  </si>
  <si>
    <t xml:space="preserve">A.5 Volunteers </t>
  </si>
  <si>
    <t>WPRow.L</t>
  </si>
  <si>
    <t>TB</t>
  </si>
  <si>
    <t>WPRow.M</t>
  </si>
  <si>
    <t>TC</t>
  </si>
  <si>
    <t>C. Purchase costs</t>
  </si>
  <si>
    <t>WPRow.N</t>
  </si>
  <si>
    <t>T3</t>
  </si>
  <si>
    <t>C.1 Travel and subsistence per travel or  day</t>
  </si>
  <si>
    <t>WPRow.O</t>
  </si>
  <si>
    <t>Travel</t>
  </si>
  <si>
    <t>WPRow.P</t>
  </si>
  <si>
    <t>Accommodation</t>
  </si>
  <si>
    <t>WPRow.Q</t>
  </si>
  <si>
    <t>Subsistence</t>
  </si>
  <si>
    <t>WPRow.R</t>
  </si>
  <si>
    <t>C.2 Equipment (please refer to the Depreciation Cost sheet)</t>
  </si>
  <si>
    <t>WPRow.S</t>
  </si>
  <si>
    <t>T4</t>
  </si>
  <si>
    <t>C.3 Other goods, works and services</t>
  </si>
  <si>
    <t>WPRow.T</t>
  </si>
  <si>
    <t>Consumables</t>
  </si>
  <si>
    <t>WPRow.U</t>
  </si>
  <si>
    <t>Services for Meetings, Seminars</t>
  </si>
  <si>
    <t>WPRow.V</t>
  </si>
  <si>
    <t xml:space="preserve">Services for communication/promotion/dissemination </t>
  </si>
  <si>
    <t>WPRow.W</t>
  </si>
  <si>
    <t>Website</t>
  </si>
  <si>
    <t>WPRow.X</t>
  </si>
  <si>
    <t>Artistic Fees</t>
  </si>
  <si>
    <t>WPRow.Y</t>
  </si>
  <si>
    <t>Other (please specify details under worksheet "Comments")</t>
  </si>
  <si>
    <t>WPRow.Z</t>
  </si>
  <si>
    <t>TD</t>
  </si>
  <si>
    <t>D. Other cost categories</t>
  </si>
  <si>
    <t>WPRow.0</t>
  </si>
  <si>
    <t>D.1 Financial support to third parties</t>
  </si>
  <si>
    <t>WPRow.1</t>
  </si>
  <si>
    <t>GT</t>
  </si>
  <si>
    <t>TOTAL DIRECT COSTS INCLUDING SUBCONTRACTING (A+B+C+D)</t>
  </si>
  <si>
    <t>WPRow.2</t>
  </si>
  <si>
    <t>%</t>
  </si>
  <si>
    <t>E. Indirect costs 7%</t>
  </si>
  <si>
    <t>WPRow.3</t>
  </si>
  <si>
    <t>C</t>
  </si>
  <si>
    <t>x</t>
  </si>
  <si>
    <t>TT</t>
  </si>
  <si>
    <t>XXXXXX</t>
  </si>
  <si>
    <t>XXXXXXXXXXXXXXXXXX</t>
  </si>
  <si>
    <t>CHECK</t>
  </si>
  <si>
    <t>X
X
X
X
X
X
X
X
Z</t>
  </si>
  <si>
    <t xml:space="preserve">Click here to go to the column
Max TOTAL EU Contribution
</t>
  </si>
  <si>
    <t>A.
DIRECT PERSONNEL COSTS</t>
  </si>
  <si>
    <t>A1.
Employees (or equivalent) person months</t>
  </si>
  <si>
    <t xml:space="preserve">A.2
Natural persons under direct contract </t>
  </si>
  <si>
    <t>A.3
Seconded persons</t>
  </si>
  <si>
    <t>A.4
SME Owners without salary</t>
  </si>
  <si>
    <t xml:space="preserve">A.5
Volunteers </t>
  </si>
  <si>
    <t xml:space="preserve">B.
Subcontracting costs
</t>
  </si>
  <si>
    <t xml:space="preserve">C.
Purchase costs
</t>
  </si>
  <si>
    <t>C.1
Travel and subsistence per travel or  day</t>
  </si>
  <si>
    <r>
      <t xml:space="preserve">C.2
Equipment 
</t>
    </r>
    <r>
      <rPr>
        <sz val="11"/>
        <color theme="1"/>
        <rFont val="Calibri"/>
        <family val="2"/>
        <scheme val="minor"/>
      </rPr>
      <t>(please refer to the Depreciation Cost sheet)</t>
    </r>
  </si>
  <si>
    <t>C.3
Other goods, works and services</t>
  </si>
  <si>
    <t xml:space="preserve">Services for
communication/
promotion/
dissemination </t>
  </si>
  <si>
    <t xml:space="preserve">Other </t>
  </si>
  <si>
    <t>D.
Other cost categories</t>
  </si>
  <si>
    <t>D.1
Financial support to third parties</t>
  </si>
  <si>
    <t xml:space="preserve">E.
Indirect costs
7% </t>
  </si>
  <si>
    <t xml:space="preserve">TOTAL COSTS (A+B+C+D+E) </t>
  </si>
  <si>
    <t>X
X</t>
  </si>
  <si>
    <t>Max TOTAL EU
Contribution</t>
  </si>
  <si>
    <t>HE</t>
  </si>
  <si>
    <t>XXXXXXXXXXXXXXXXXXXXXXXXXXXXXXXXXXXXXXXXXXXXXXXXXX</t>
  </si>
  <si>
    <t>O</t>
  </si>
  <si>
    <t>Your Requested EU Grant Amount :</t>
  </si>
  <si>
    <t>Group</t>
  </si>
  <si>
    <t>ListOfCountries</t>
  </si>
  <si>
    <t>ISO Code</t>
  </si>
  <si>
    <t>Andorra (AD)</t>
  </si>
  <si>
    <t>Andorra</t>
  </si>
  <si>
    <t>AD</t>
  </si>
  <si>
    <t>Afghanistan (AF)</t>
  </si>
  <si>
    <t>Afghanistan</t>
  </si>
  <si>
    <t>AF</t>
  </si>
  <si>
    <t>United Arab Emirates</t>
  </si>
  <si>
    <t>AE</t>
  </si>
  <si>
    <t>Aland Islands (AX)</t>
  </si>
  <si>
    <t>Aland Islands</t>
  </si>
  <si>
    <t>AX</t>
  </si>
  <si>
    <t>Albania (AL)</t>
  </si>
  <si>
    <t>Albania</t>
  </si>
  <si>
    <t>AL</t>
  </si>
  <si>
    <t>Antigua and Barbuda</t>
  </si>
  <si>
    <t>AG</t>
  </si>
  <si>
    <t>Algeria (DZ)</t>
  </si>
  <si>
    <t>Algeria</t>
  </si>
  <si>
    <t>DZ</t>
  </si>
  <si>
    <t>Anguilla</t>
  </si>
  <si>
    <t>AI</t>
  </si>
  <si>
    <t>American Samoa (AS)</t>
  </si>
  <si>
    <t>American Samoa</t>
  </si>
  <si>
    <t>AS</t>
  </si>
  <si>
    <t>Angola (AO)</t>
  </si>
  <si>
    <t>Angola</t>
  </si>
  <si>
    <t>AO</t>
  </si>
  <si>
    <t>Armenia</t>
  </si>
  <si>
    <t>AM</t>
  </si>
  <si>
    <t>Anguilla (AI)</t>
  </si>
  <si>
    <t>Netherlands Antilles</t>
  </si>
  <si>
    <t>AN</t>
  </si>
  <si>
    <t>Antarctica (AQ)</t>
  </si>
  <si>
    <t>Antarctica</t>
  </si>
  <si>
    <t>AQ</t>
  </si>
  <si>
    <t>Antigua and Barbuda (AG)</t>
  </si>
  <si>
    <t>Argentina (AR)</t>
  </si>
  <si>
    <t>Argentina</t>
  </si>
  <si>
    <t>AR</t>
  </si>
  <si>
    <t>Armenia (AM)</t>
  </si>
  <si>
    <t>Aruba (AW)</t>
  </si>
  <si>
    <t>Aruba</t>
  </si>
  <si>
    <t>AW</t>
  </si>
  <si>
    <t>Austria</t>
  </si>
  <si>
    <t>AT</t>
  </si>
  <si>
    <t>Australia (AU)</t>
  </si>
  <si>
    <t>Australia</t>
  </si>
  <si>
    <t>AU</t>
  </si>
  <si>
    <t>Austria (AT)</t>
  </si>
  <si>
    <t>Azerbaijan (AZ)</t>
  </si>
  <si>
    <t>Azerbaijan</t>
  </si>
  <si>
    <t>AZ</t>
  </si>
  <si>
    <t>Bahamas (BS)</t>
  </si>
  <si>
    <t>Bahamas</t>
  </si>
  <si>
    <t>BS</t>
  </si>
  <si>
    <t>Bahrain (BH)</t>
  </si>
  <si>
    <t>Bahrain</t>
  </si>
  <si>
    <t>BH</t>
  </si>
  <si>
    <t>Bosnia and Herzegovina</t>
  </si>
  <si>
    <t>BA</t>
  </si>
  <si>
    <t>Bangladesh (BD)</t>
  </si>
  <si>
    <t>Bangladesh</t>
  </si>
  <si>
    <t>BD</t>
  </si>
  <si>
    <t>Barbados</t>
  </si>
  <si>
    <t>BB</t>
  </si>
  <si>
    <t>Barbados (BB)</t>
  </si>
  <si>
    <t>Belarus (BY)</t>
  </si>
  <si>
    <t>Belarus</t>
  </si>
  <si>
    <t>BY</t>
  </si>
  <si>
    <t>Belgium</t>
  </si>
  <si>
    <t>BE</t>
  </si>
  <si>
    <t>Belgium (BE)</t>
  </si>
  <si>
    <t>Burkina Faso</t>
  </si>
  <si>
    <t>BF</t>
  </si>
  <si>
    <t>Belize (BZ)</t>
  </si>
  <si>
    <t>Belize</t>
  </si>
  <si>
    <t>BZ</t>
  </si>
  <si>
    <t>Bulgaria</t>
  </si>
  <si>
    <t>BG</t>
  </si>
  <si>
    <t>Benin (BJ)</t>
  </si>
  <si>
    <t>Benin</t>
  </si>
  <si>
    <t>BJ</t>
  </si>
  <si>
    <t>Bermuda (BM)</t>
  </si>
  <si>
    <t>Bermuda</t>
  </si>
  <si>
    <t>BM</t>
  </si>
  <si>
    <t>Burundi</t>
  </si>
  <si>
    <t>BI</t>
  </si>
  <si>
    <t>Bhutan (BT)</t>
  </si>
  <si>
    <t>Bhutan</t>
  </si>
  <si>
    <t>BT</t>
  </si>
  <si>
    <t>Bolivia (BO)</t>
  </si>
  <si>
    <t>Bolivia</t>
  </si>
  <si>
    <t>BO</t>
  </si>
  <si>
    <t>Saint-Barthélemy</t>
  </si>
  <si>
    <t>BL</t>
  </si>
  <si>
    <t>Bosnia and Herzegovina (BA)</t>
  </si>
  <si>
    <t>Botswana (BW)</t>
  </si>
  <si>
    <t>Botswana</t>
  </si>
  <si>
    <t>BW</t>
  </si>
  <si>
    <t>Brunei Darussalam</t>
  </si>
  <si>
    <t>BN</t>
  </si>
  <si>
    <t>Bouvet Island (BV)</t>
  </si>
  <si>
    <t>Bouvet Island</t>
  </si>
  <si>
    <t>BV</t>
  </si>
  <si>
    <t>Brazil (BR)</t>
  </si>
  <si>
    <t>Brazil</t>
  </si>
  <si>
    <t>BR</t>
  </si>
  <si>
    <t>British Indian Ocean Territory (IO)</t>
  </si>
  <si>
    <t>British Indian Ocean Territory</t>
  </si>
  <si>
    <t>IO</t>
  </si>
  <si>
    <t>British Virgin Islands (VG)</t>
  </si>
  <si>
    <t>British Virgin Islands</t>
  </si>
  <si>
    <t>VG</t>
  </si>
  <si>
    <t>Brunei Darussalam (BN)</t>
  </si>
  <si>
    <t>Bulgaria (BG)</t>
  </si>
  <si>
    <t>Burkina Faso (BF)</t>
  </si>
  <si>
    <t>Burundi (BI)</t>
  </si>
  <si>
    <t>Cambodia (KH)</t>
  </si>
  <si>
    <t>Cambodia</t>
  </si>
  <si>
    <t>KH</t>
  </si>
  <si>
    <t>Canada</t>
  </si>
  <si>
    <t>CA</t>
  </si>
  <si>
    <t>Cameroon (CM)</t>
  </si>
  <si>
    <t>Cameroon</t>
  </si>
  <si>
    <t>CM</t>
  </si>
  <si>
    <t>Cocos (Keeling) Islands</t>
  </si>
  <si>
    <t>CC</t>
  </si>
  <si>
    <t>Canada (CA)</t>
  </si>
  <si>
    <t>Congo, (Kinshasa)</t>
  </si>
  <si>
    <t>CD</t>
  </si>
  <si>
    <t>Cape Verde (CV)</t>
  </si>
  <si>
    <t>Cape Verde</t>
  </si>
  <si>
    <t>CV</t>
  </si>
  <si>
    <t>Central African Republic</t>
  </si>
  <si>
    <t>CF</t>
  </si>
  <si>
    <t>Cayman Islands  (KY)</t>
  </si>
  <si>
    <t xml:space="preserve">Cayman Islands </t>
  </si>
  <si>
    <t>KY</t>
  </si>
  <si>
    <t>Congo (Brazzaville)</t>
  </si>
  <si>
    <t>CG</t>
  </si>
  <si>
    <t>Central African Republic (CF)</t>
  </si>
  <si>
    <t>Switzerland</t>
  </si>
  <si>
    <t>CH</t>
  </si>
  <si>
    <t>Chad (TD)</t>
  </si>
  <si>
    <t>Chad</t>
  </si>
  <si>
    <t>Côte d'Ivoire</t>
  </si>
  <si>
    <t>CI</t>
  </si>
  <si>
    <t>Chile (CL)</t>
  </si>
  <si>
    <t>Chile</t>
  </si>
  <si>
    <t>CL</t>
  </si>
  <si>
    <t xml:space="preserve">Cook Islands </t>
  </si>
  <si>
    <t>CK</t>
  </si>
  <si>
    <t>China (CN)</t>
  </si>
  <si>
    <t>China</t>
  </si>
  <si>
    <t>CN</t>
  </si>
  <si>
    <t>Christmas Island (CX)</t>
  </si>
  <si>
    <t>Christmas Island</t>
  </si>
  <si>
    <t>CX</t>
  </si>
  <si>
    <t>Cocos (Keeling) Islands (CC)</t>
  </si>
  <si>
    <t>Colombia (CO)</t>
  </si>
  <si>
    <t>Colombia</t>
  </si>
  <si>
    <t>CO</t>
  </si>
  <si>
    <t>Comoros (KM)</t>
  </si>
  <si>
    <t>Comoros</t>
  </si>
  <si>
    <t>KM</t>
  </si>
  <si>
    <t>Costa Rica</t>
  </si>
  <si>
    <t>CR</t>
  </si>
  <si>
    <t>Congo (Brazzaville) (CG)</t>
  </si>
  <si>
    <t>Cuba</t>
  </si>
  <si>
    <t>CU</t>
  </si>
  <si>
    <t>Congo, (Kinshasa) (CD)</t>
  </si>
  <si>
    <t>Cook Islands  (CK)</t>
  </si>
  <si>
    <t>Costa Rica (CR)</t>
  </si>
  <si>
    <t>Cyprus</t>
  </si>
  <si>
    <t>CY</t>
  </si>
  <si>
    <t>Côte d'Ivoire (CI)</t>
  </si>
  <si>
    <t>Czech Republic</t>
  </si>
  <si>
    <t>CZ</t>
  </si>
  <si>
    <t>Croatia (HR)</t>
  </si>
  <si>
    <t>Croatia</t>
  </si>
  <si>
    <t>HR</t>
  </si>
  <si>
    <t>Germany</t>
  </si>
  <si>
    <t>DE</t>
  </si>
  <si>
    <t>Cuba (CU)</t>
  </si>
  <si>
    <t>Djibouti</t>
  </si>
  <si>
    <t>DJ</t>
  </si>
  <si>
    <t>Cyprus (CY)</t>
  </si>
  <si>
    <t>Denmark</t>
  </si>
  <si>
    <t>DK</t>
  </si>
  <si>
    <t>Czech Republic (CZ)</t>
  </si>
  <si>
    <t>Dominica</t>
  </si>
  <si>
    <t>DM</t>
  </si>
  <si>
    <t>Denmark (DK)</t>
  </si>
  <si>
    <t>Dominican Republic</t>
  </si>
  <si>
    <t>DO</t>
  </si>
  <si>
    <t>Djibouti (DJ)</t>
  </si>
  <si>
    <t>Dominica (DM)</t>
  </si>
  <si>
    <t>Ecuador</t>
  </si>
  <si>
    <t>EC</t>
  </si>
  <si>
    <t>Dominican Republic (DO)</t>
  </si>
  <si>
    <t>Estonia</t>
  </si>
  <si>
    <t>EE</t>
  </si>
  <si>
    <t>Ecuador (EC)</t>
  </si>
  <si>
    <t>Egypt</t>
  </si>
  <si>
    <t>EG</t>
  </si>
  <si>
    <t>Egypt (EG)</t>
  </si>
  <si>
    <t>Western Sahara</t>
  </si>
  <si>
    <t>EH</t>
  </si>
  <si>
    <t>El Salvador (SV)</t>
  </si>
  <si>
    <t>El Salvador</t>
  </si>
  <si>
    <t>SV</t>
  </si>
  <si>
    <t>Eritrea</t>
  </si>
  <si>
    <t>ER</t>
  </si>
  <si>
    <t>Equatorial Guinea (GQ)</t>
  </si>
  <si>
    <t>Equatorial Guinea</t>
  </si>
  <si>
    <t>GQ</t>
  </si>
  <si>
    <t>Spain</t>
  </si>
  <si>
    <t>ES</t>
  </si>
  <si>
    <t>Eritrea (ER)</t>
  </si>
  <si>
    <t>Ethiopia</t>
  </si>
  <si>
    <t>ET</t>
  </si>
  <si>
    <t>Estonia (EE)</t>
  </si>
  <si>
    <t>Finland</t>
  </si>
  <si>
    <t>FI</t>
  </si>
  <si>
    <t>Ethiopia (ET)</t>
  </si>
  <si>
    <t>Fiji</t>
  </si>
  <si>
    <t>FJ</t>
  </si>
  <si>
    <t>Falkland Islands (Malvinas)  (FK)</t>
  </si>
  <si>
    <t xml:space="preserve">Falkland Islands (Malvinas) </t>
  </si>
  <si>
    <t>FK</t>
  </si>
  <si>
    <t>Faroe Islands (FO)</t>
  </si>
  <si>
    <t>Faroe Islands</t>
  </si>
  <si>
    <t>FO</t>
  </si>
  <si>
    <t>Micronesia, Federated States of</t>
  </si>
  <si>
    <t>FM</t>
  </si>
  <si>
    <t>Fiji (FJ)</t>
  </si>
  <si>
    <t>Finland (FI)</t>
  </si>
  <si>
    <t>France</t>
  </si>
  <si>
    <t>FR</t>
  </si>
  <si>
    <t>France (FR)</t>
  </si>
  <si>
    <t>Gabon</t>
  </si>
  <si>
    <t>GA</t>
  </si>
  <si>
    <t>French Guiana (GF)</t>
  </si>
  <si>
    <t>French Guiana</t>
  </si>
  <si>
    <t>GF</t>
  </si>
  <si>
    <t>United Kingdom</t>
  </si>
  <si>
    <t>GB</t>
  </si>
  <si>
    <t>French Polynesia (PF)</t>
  </si>
  <si>
    <t>French Polynesia</t>
  </si>
  <si>
    <t>PF</t>
  </si>
  <si>
    <t>Grenada</t>
  </si>
  <si>
    <t>GD</t>
  </si>
  <si>
    <t>French Southern Territories (TF)</t>
  </si>
  <si>
    <t>French Southern Territories</t>
  </si>
  <si>
    <t>TF</t>
  </si>
  <si>
    <t>Georgia</t>
  </si>
  <si>
    <t>GE</t>
  </si>
  <si>
    <t>Gabon (GA)</t>
  </si>
  <si>
    <t>Gambia (GM)</t>
  </si>
  <si>
    <t>Gambia</t>
  </si>
  <si>
    <t>GM</t>
  </si>
  <si>
    <t>Guernsey</t>
  </si>
  <si>
    <t>GG</t>
  </si>
  <si>
    <t>Georgia (GE)</t>
  </si>
  <si>
    <t>Ghana</t>
  </si>
  <si>
    <t>GH</t>
  </si>
  <si>
    <t>Germany (DE)</t>
  </si>
  <si>
    <t xml:space="preserve">Gibraltar </t>
  </si>
  <si>
    <t>GI</t>
  </si>
  <si>
    <t>Ghana (GH)</t>
  </si>
  <si>
    <t>Greenland</t>
  </si>
  <si>
    <t>GL</t>
  </si>
  <si>
    <t>Gibraltar  (GI)</t>
  </si>
  <si>
    <t>Greece (GR)</t>
  </si>
  <si>
    <t>Greece</t>
  </si>
  <si>
    <t>GR</t>
  </si>
  <si>
    <t>Guinea</t>
  </si>
  <si>
    <t>GN</t>
  </si>
  <si>
    <t>Greenland (GL)</t>
  </si>
  <si>
    <t>Guadeloupe</t>
  </si>
  <si>
    <t>GP</t>
  </si>
  <si>
    <t>Grenada (GD)</t>
  </si>
  <si>
    <t>Guadeloupe (GP)</t>
  </si>
  <si>
    <t>Guam (GU)</t>
  </si>
  <si>
    <t>Guam</t>
  </si>
  <si>
    <t>GU</t>
  </si>
  <si>
    <t>South Georgia and the South Sandwich Islands</t>
  </si>
  <si>
    <t>GS</t>
  </si>
  <si>
    <t>Guatemala (GT)</t>
  </si>
  <si>
    <t>Guatemala</t>
  </si>
  <si>
    <t>Guernsey (GG)</t>
  </si>
  <si>
    <t>Guinea (GN)</t>
  </si>
  <si>
    <t>Guinea-Bissau</t>
  </si>
  <si>
    <t>GW</t>
  </si>
  <si>
    <t>Guinea-Bissau (GW)</t>
  </si>
  <si>
    <t>Guyana</t>
  </si>
  <si>
    <t>GY</t>
  </si>
  <si>
    <t>Guyana (GY)</t>
  </si>
  <si>
    <t>Hong Kong, SAR China</t>
  </si>
  <si>
    <t>HK</t>
  </si>
  <si>
    <t>Haiti (HT)</t>
  </si>
  <si>
    <t>Haiti</t>
  </si>
  <si>
    <t>HT</t>
  </si>
  <si>
    <t>Heard and Mcdonald Islands</t>
  </si>
  <si>
    <t>HM</t>
  </si>
  <si>
    <t>Heard and Mcdonald Islands (HM)</t>
  </si>
  <si>
    <t>Honduras</t>
  </si>
  <si>
    <t>HN</t>
  </si>
  <si>
    <t>Holy See (Vatican City State) (VA)</t>
  </si>
  <si>
    <t>Holy See (Vatican City State)</t>
  </si>
  <si>
    <t>VA</t>
  </si>
  <si>
    <t>Honduras (HN)</t>
  </si>
  <si>
    <t>Hong Kong, SAR China (HK)</t>
  </si>
  <si>
    <t>Hungary</t>
  </si>
  <si>
    <t>HU</t>
  </si>
  <si>
    <t>Hungary (HU)</t>
  </si>
  <si>
    <t>Indonesia</t>
  </si>
  <si>
    <t>ID</t>
  </si>
  <si>
    <t>Iceland (IS)</t>
  </si>
  <si>
    <t>Iceland</t>
  </si>
  <si>
    <t>IS</t>
  </si>
  <si>
    <t>Ireland</t>
  </si>
  <si>
    <t>IE</t>
  </si>
  <si>
    <t>India (IN)</t>
  </si>
  <si>
    <t>India</t>
  </si>
  <si>
    <t>IN</t>
  </si>
  <si>
    <t>Israel</t>
  </si>
  <si>
    <t>IL</t>
  </si>
  <si>
    <t>Indonesia (ID)</t>
  </si>
  <si>
    <t xml:space="preserve">Isle of Man </t>
  </si>
  <si>
    <t>IM</t>
  </si>
  <si>
    <t>Iran, Islamic Republic of (IR)</t>
  </si>
  <si>
    <t>Iran, Islamic Republic of</t>
  </si>
  <si>
    <t>IR</t>
  </si>
  <si>
    <t>Iraq (IQ)</t>
  </si>
  <si>
    <t>Iraq</t>
  </si>
  <si>
    <t>IQ</t>
  </si>
  <si>
    <t>Ireland (IE)</t>
  </si>
  <si>
    <t>Isle of Man  (IM)</t>
  </si>
  <si>
    <t>Israel (IL)</t>
  </si>
  <si>
    <t>Italy (IT)</t>
  </si>
  <si>
    <t>Italy</t>
  </si>
  <si>
    <t>IT</t>
  </si>
  <si>
    <t>Jamaica (JM)</t>
  </si>
  <si>
    <t>Jamaica</t>
  </si>
  <si>
    <t>JM</t>
  </si>
  <si>
    <t>Jersey</t>
  </si>
  <si>
    <t>JE</t>
  </si>
  <si>
    <t>Japan (JP)</t>
  </si>
  <si>
    <t>Japan</t>
  </si>
  <si>
    <t>JP</t>
  </si>
  <si>
    <t>Jersey (JE)</t>
  </si>
  <si>
    <t>Jordan</t>
  </si>
  <si>
    <t>JO</t>
  </si>
  <si>
    <t>Jordan (JO)</t>
  </si>
  <si>
    <t>Kazakhstan (KZ)</t>
  </si>
  <si>
    <t>Kazakhstan</t>
  </si>
  <si>
    <t>KZ</t>
  </si>
  <si>
    <t>Kenya</t>
  </si>
  <si>
    <t>KE</t>
  </si>
  <si>
    <t>Kenya (KE)</t>
  </si>
  <si>
    <t>Kyrgyzstan</t>
  </si>
  <si>
    <t>KG</t>
  </si>
  <si>
    <t>Kiribati (KI)</t>
  </si>
  <si>
    <t>Kiribati</t>
  </si>
  <si>
    <t>KI</t>
  </si>
  <si>
    <t>Korea (North) (KP)</t>
  </si>
  <si>
    <t>Korea (North)</t>
  </si>
  <si>
    <t>KP</t>
  </si>
  <si>
    <t>Korea (South) (KR)</t>
  </si>
  <si>
    <t>Korea (South)</t>
  </si>
  <si>
    <t>KR</t>
  </si>
  <si>
    <t>Kosovo (XK)</t>
  </si>
  <si>
    <t>Kosovo</t>
  </si>
  <si>
    <t>XK</t>
  </si>
  <si>
    <t>Saint Kitts and Nevis</t>
  </si>
  <si>
    <t>KN</t>
  </si>
  <si>
    <t>Kuwait (KW)</t>
  </si>
  <si>
    <t>Kuwait</t>
  </si>
  <si>
    <t>KW</t>
  </si>
  <si>
    <t>Kyrgyzstan (KG)</t>
  </si>
  <si>
    <t>Lao PDR (LA)</t>
  </si>
  <si>
    <t>Lao PDR</t>
  </si>
  <si>
    <t>LA</t>
  </si>
  <si>
    <t>Latvia (LV)</t>
  </si>
  <si>
    <t>Latvia</t>
  </si>
  <si>
    <t>LV</t>
  </si>
  <si>
    <t>Lebanon (LB)</t>
  </si>
  <si>
    <t>Lebanon</t>
  </si>
  <si>
    <t>LB</t>
  </si>
  <si>
    <t>Lesotho (LS)</t>
  </si>
  <si>
    <t>Lesotho</t>
  </si>
  <si>
    <t>LS</t>
  </si>
  <si>
    <t>Liberia (LR)</t>
  </si>
  <si>
    <t>Liberia</t>
  </si>
  <si>
    <t>LR</t>
  </si>
  <si>
    <t>Libya (LY)</t>
  </si>
  <si>
    <t>Libya</t>
  </si>
  <si>
    <t>LY</t>
  </si>
  <si>
    <t>Saint Lucia</t>
  </si>
  <si>
    <t>LC</t>
  </si>
  <si>
    <t>Liechtenstein (LI)</t>
  </si>
  <si>
    <t>Liechtenstein</t>
  </si>
  <si>
    <t>LI</t>
  </si>
  <si>
    <t>Lithuania (LT)</t>
  </si>
  <si>
    <t>Lithuania</t>
  </si>
  <si>
    <t>LT</t>
  </si>
  <si>
    <t>Sri Lanka</t>
  </si>
  <si>
    <t>LK</t>
  </si>
  <si>
    <t>Luxembourg (LU)</t>
  </si>
  <si>
    <t>Luxembourg</t>
  </si>
  <si>
    <t>LU</t>
  </si>
  <si>
    <t>Macao, SAR China (MO)</t>
  </si>
  <si>
    <t>Macao, SAR China</t>
  </si>
  <si>
    <t>MO</t>
  </si>
  <si>
    <t>Macedonia, Republic of (MK)</t>
  </si>
  <si>
    <t>Macedonia, Republic of</t>
  </si>
  <si>
    <t>MK</t>
  </si>
  <si>
    <t>Madagascar (MG)</t>
  </si>
  <si>
    <t>Madagascar</t>
  </si>
  <si>
    <t>MG</t>
  </si>
  <si>
    <t>Malawi (MW)</t>
  </si>
  <si>
    <t>Malawi</t>
  </si>
  <si>
    <t>MW</t>
  </si>
  <si>
    <t>Malaysia (MY)</t>
  </si>
  <si>
    <t>Malaysia</t>
  </si>
  <si>
    <t>MY</t>
  </si>
  <si>
    <t>Maldives (MV)</t>
  </si>
  <si>
    <t>Maldives</t>
  </si>
  <si>
    <t>MV</t>
  </si>
  <si>
    <t>Morocco</t>
  </si>
  <si>
    <t>MA</t>
  </si>
  <si>
    <t>Mali (ML)</t>
  </si>
  <si>
    <t>Mali</t>
  </si>
  <si>
    <t>ML</t>
  </si>
  <si>
    <t>Monaco</t>
  </si>
  <si>
    <t>MC</t>
  </si>
  <si>
    <t>Malta (MT)</t>
  </si>
  <si>
    <t>Malta</t>
  </si>
  <si>
    <t>MT</t>
  </si>
  <si>
    <t>Moldova</t>
  </si>
  <si>
    <t>MD</t>
  </si>
  <si>
    <t>Marshall Islands (MH)</t>
  </si>
  <si>
    <t>Marshall Islands</t>
  </si>
  <si>
    <t>MH</t>
  </si>
  <si>
    <t>Montenegro</t>
  </si>
  <si>
    <t>ME</t>
  </si>
  <si>
    <t>Martinique (MQ)</t>
  </si>
  <si>
    <t>Martinique</t>
  </si>
  <si>
    <t>MQ</t>
  </si>
  <si>
    <t>Saint-Martin (French part)</t>
  </si>
  <si>
    <t>MF</t>
  </si>
  <si>
    <t>Mauritania (MR)</t>
  </si>
  <si>
    <t>Mauritania</t>
  </si>
  <si>
    <t>MR</t>
  </si>
  <si>
    <t>Mauritius (MU)</t>
  </si>
  <si>
    <t>Mauritius</t>
  </si>
  <si>
    <t>MU</t>
  </si>
  <si>
    <t>Mayotte (YT)</t>
  </si>
  <si>
    <t>Mayotte</t>
  </si>
  <si>
    <t>YT</t>
  </si>
  <si>
    <t>Mexico (MX)</t>
  </si>
  <si>
    <t>Mexico</t>
  </si>
  <si>
    <t>MX</t>
  </si>
  <si>
    <t>Micronesia, Federated States of (FM)</t>
  </si>
  <si>
    <t>Myanmar</t>
  </si>
  <si>
    <t>MM</t>
  </si>
  <si>
    <t>Moldova (MD)</t>
  </si>
  <si>
    <t>Mongolia</t>
  </si>
  <si>
    <t>MN</t>
  </si>
  <si>
    <t>Monaco (MC)</t>
  </si>
  <si>
    <t>Mongolia (MN)</t>
  </si>
  <si>
    <t>Northern Mariana Islands</t>
  </si>
  <si>
    <t>MP</t>
  </si>
  <si>
    <t>Montenegro (ME)</t>
  </si>
  <si>
    <t>Montserrat (MS)</t>
  </si>
  <si>
    <t>Montserrat</t>
  </si>
  <si>
    <t>MS</t>
  </si>
  <si>
    <t>Morocco (MA)</t>
  </si>
  <si>
    <t>Mozambique (MZ)</t>
  </si>
  <si>
    <t>Mozambique</t>
  </si>
  <si>
    <t>MZ</t>
  </si>
  <si>
    <t>Myanmar (MM)</t>
  </si>
  <si>
    <t>Namibia (NA)</t>
  </si>
  <si>
    <t>Namibia</t>
  </si>
  <si>
    <t>NA</t>
  </si>
  <si>
    <t>Nauru (NR)</t>
  </si>
  <si>
    <t>Nauru</t>
  </si>
  <si>
    <t>NR</t>
  </si>
  <si>
    <t>Nepal (NP)</t>
  </si>
  <si>
    <t>Nepal</t>
  </si>
  <si>
    <t>NP</t>
  </si>
  <si>
    <t>Netherlands (NL)</t>
  </si>
  <si>
    <t>Netherlands</t>
  </si>
  <si>
    <t>NL</t>
  </si>
  <si>
    <t>Netherlands Antilles (AN)</t>
  </si>
  <si>
    <t>New Caledonia (NC)</t>
  </si>
  <si>
    <t>New Caledonia</t>
  </si>
  <si>
    <t>NC</t>
  </si>
  <si>
    <t>New Zealand (NZ)</t>
  </si>
  <si>
    <t>New Zealand</t>
  </si>
  <si>
    <t>NZ</t>
  </si>
  <si>
    <t>Nicaragua (NI)</t>
  </si>
  <si>
    <t>Nicaragua</t>
  </si>
  <si>
    <t>NI</t>
  </si>
  <si>
    <t>Niger</t>
  </si>
  <si>
    <t>NE</t>
  </si>
  <si>
    <t>Niger (NE)</t>
  </si>
  <si>
    <t>Norfolk Island</t>
  </si>
  <si>
    <t>NF</t>
  </si>
  <si>
    <t>Nigeria (NG)</t>
  </si>
  <si>
    <t>Nigeria</t>
  </si>
  <si>
    <t>NG</t>
  </si>
  <si>
    <t>Niue  (NU)</t>
  </si>
  <si>
    <t xml:space="preserve">Niue </t>
  </si>
  <si>
    <t>NU</t>
  </si>
  <si>
    <t>Norfolk Island (NF)</t>
  </si>
  <si>
    <t>Northern Mariana Islands (MP)</t>
  </si>
  <si>
    <t>Norway</t>
  </si>
  <si>
    <t>NO</t>
  </si>
  <si>
    <t>Norway (NO)</t>
  </si>
  <si>
    <t>Oman (OM)</t>
  </si>
  <si>
    <t>Oman</t>
  </si>
  <si>
    <t>OM</t>
  </si>
  <si>
    <t>Pakistan (PK)</t>
  </si>
  <si>
    <t>Pakistan</t>
  </si>
  <si>
    <t>PK</t>
  </si>
  <si>
    <t>Palau (PW)</t>
  </si>
  <si>
    <t>Palau</t>
  </si>
  <si>
    <t>PW</t>
  </si>
  <si>
    <t>Palestinian Territory (PS)</t>
  </si>
  <si>
    <t>Palestinian Territory</t>
  </si>
  <si>
    <t>PS</t>
  </si>
  <si>
    <t>Panama (PA)</t>
  </si>
  <si>
    <t>Panama</t>
  </si>
  <si>
    <t>PA</t>
  </si>
  <si>
    <t>Papua New Guinea (PG)</t>
  </si>
  <si>
    <t>Papua New Guinea</t>
  </si>
  <si>
    <t>PG</t>
  </si>
  <si>
    <t>Peru</t>
  </si>
  <si>
    <t>PE</t>
  </si>
  <si>
    <t>Paraguay (PY)</t>
  </si>
  <si>
    <t>Paraguay</t>
  </si>
  <si>
    <t>PY</t>
  </si>
  <si>
    <t>Peru (PE)</t>
  </si>
  <si>
    <t>Philippines (PH)</t>
  </si>
  <si>
    <t>Philippines</t>
  </si>
  <si>
    <t>PH</t>
  </si>
  <si>
    <t>Pitcairn (PN)</t>
  </si>
  <si>
    <t>Pitcairn</t>
  </si>
  <si>
    <t>PN</t>
  </si>
  <si>
    <t>Poland (PL)</t>
  </si>
  <si>
    <t>Poland</t>
  </si>
  <si>
    <t>PL</t>
  </si>
  <si>
    <t>Portugal (PT)</t>
  </si>
  <si>
    <t>Portugal</t>
  </si>
  <si>
    <t>PT</t>
  </si>
  <si>
    <t xml:space="preserve">Saint Pierre and Miquelon </t>
  </si>
  <si>
    <t>PM</t>
  </si>
  <si>
    <t>Puerto Rico (PR)</t>
  </si>
  <si>
    <t>Puerto Rico</t>
  </si>
  <si>
    <t>PR</t>
  </si>
  <si>
    <t>Qatar (QA)</t>
  </si>
  <si>
    <t>Qatar</t>
  </si>
  <si>
    <t>QA</t>
  </si>
  <si>
    <t>Réunion (RE)</t>
  </si>
  <si>
    <t>Réunion</t>
  </si>
  <si>
    <t>RE</t>
  </si>
  <si>
    <t>Romania (RO)</t>
  </si>
  <si>
    <t>Romania</t>
  </si>
  <si>
    <t>RO</t>
  </si>
  <si>
    <t>Russian Federation (RU)</t>
  </si>
  <si>
    <t>Russian Federation</t>
  </si>
  <si>
    <t>RU</t>
  </si>
  <si>
    <t>Rwanda (RW)</t>
  </si>
  <si>
    <t>Rwanda</t>
  </si>
  <si>
    <t>RW</t>
  </si>
  <si>
    <t>Saint Helena (SH)</t>
  </si>
  <si>
    <t>Saint Helena</t>
  </si>
  <si>
    <t>SH</t>
  </si>
  <si>
    <t>Saint Kitts and Nevis (KN)</t>
  </si>
  <si>
    <t>Saint Lucia (LC)</t>
  </si>
  <si>
    <t>Saint Pierre and Miquelon  (PM)</t>
  </si>
  <si>
    <t>Serbia</t>
  </si>
  <si>
    <t>RS</t>
  </si>
  <si>
    <t>Saint Vincent and Grenadines (VC)</t>
  </si>
  <si>
    <t>Saint Vincent and Grenadines</t>
  </si>
  <si>
    <t>VC</t>
  </si>
  <si>
    <t>Saint-Barthélemy (BL)</t>
  </si>
  <si>
    <t>Saint-Martin (French part) (MF)</t>
  </si>
  <si>
    <t>Saudi Arabia</t>
  </si>
  <si>
    <t>SA</t>
  </si>
  <si>
    <t>Samoa (WS)</t>
  </si>
  <si>
    <t>Samoa</t>
  </si>
  <si>
    <t>WS</t>
  </si>
  <si>
    <t>Solomon Islands</t>
  </si>
  <si>
    <t>SB</t>
  </si>
  <si>
    <t>San Marino (SM)</t>
  </si>
  <si>
    <t>San Marino</t>
  </si>
  <si>
    <t>SM</t>
  </si>
  <si>
    <t>Seychelles</t>
  </si>
  <si>
    <t>SC</t>
  </si>
  <si>
    <t>Sao Tome and Principe (ST)</t>
  </si>
  <si>
    <t>Sao Tome and Principe</t>
  </si>
  <si>
    <t>ST</t>
  </si>
  <si>
    <t>Sudan</t>
  </si>
  <si>
    <t>SD</t>
  </si>
  <si>
    <t>Saudi Arabia (SA)</t>
  </si>
  <si>
    <t>Sweden</t>
  </si>
  <si>
    <t>SE</t>
  </si>
  <si>
    <t>Senegal (SN)</t>
  </si>
  <si>
    <t>Senegal</t>
  </si>
  <si>
    <t>SN</t>
  </si>
  <si>
    <t>Singapore</t>
  </si>
  <si>
    <t>SG</t>
  </si>
  <si>
    <t>Serbia (RS)</t>
  </si>
  <si>
    <t>Seychelles (SC)</t>
  </si>
  <si>
    <t>Slovenia</t>
  </si>
  <si>
    <t>SI</t>
  </si>
  <si>
    <t>Sierra Leone (SL)</t>
  </si>
  <si>
    <t>Sierra Leone</t>
  </si>
  <si>
    <t>SL</t>
  </si>
  <si>
    <t xml:space="preserve">Svalbard and Jan Mayen Islands </t>
  </si>
  <si>
    <t>SJ</t>
  </si>
  <si>
    <t>Singapore (SG)</t>
  </si>
  <si>
    <t>Slovakia</t>
  </si>
  <si>
    <t>SK</t>
  </si>
  <si>
    <t>Slovakia (SK)</t>
  </si>
  <si>
    <t>Slovenia (SI)</t>
  </si>
  <si>
    <t>Solomon Islands (SB)</t>
  </si>
  <si>
    <t>Somalia (SO)</t>
  </si>
  <si>
    <t>Somalia</t>
  </si>
  <si>
    <t>SO</t>
  </si>
  <si>
    <t>South Africa (ZA)</t>
  </si>
  <si>
    <t>South Africa</t>
  </si>
  <si>
    <t>ZA</t>
  </si>
  <si>
    <t>Suriname</t>
  </si>
  <si>
    <t>SR</t>
  </si>
  <si>
    <t>South Georgia and the South Sandwich Islands (GS)</t>
  </si>
  <si>
    <t>South Sudan</t>
  </si>
  <si>
    <t>SS</t>
  </si>
  <si>
    <t>South Sudan (SS)</t>
  </si>
  <si>
    <t>Spain (ES)</t>
  </si>
  <si>
    <t>Sri Lanka (LK)</t>
  </si>
  <si>
    <t>Syrian Arab Republic (Syria)</t>
  </si>
  <si>
    <t>SY</t>
  </si>
  <si>
    <t>Sudan (SD)</t>
  </si>
  <si>
    <t>Swaziland</t>
  </si>
  <si>
    <t>SZ</t>
  </si>
  <si>
    <t>Suriname (SR)</t>
  </si>
  <si>
    <t xml:space="preserve">Turks and Caicos Islands </t>
  </si>
  <si>
    <t>Svalbard and Jan Mayen Islands  (SJ)</t>
  </si>
  <si>
    <t>Swaziland (SZ)</t>
  </si>
  <si>
    <t>Sweden (SE)</t>
  </si>
  <si>
    <t>Togo</t>
  </si>
  <si>
    <t>TG</t>
  </si>
  <si>
    <t>Switzerland (CH)</t>
  </si>
  <si>
    <t>Thailand</t>
  </si>
  <si>
    <t>TH</t>
  </si>
  <si>
    <t>Syrian Arab Republic (Syria) (SY)</t>
  </si>
  <si>
    <t>Tajikistan</t>
  </si>
  <si>
    <t>TJ</t>
  </si>
  <si>
    <t>Taiwan, Republic of China (TW)</t>
  </si>
  <si>
    <t>Taiwan, Republic of China</t>
  </si>
  <si>
    <t>TW</t>
  </si>
  <si>
    <t xml:space="preserve">Tokelau </t>
  </si>
  <si>
    <t>TK</t>
  </si>
  <si>
    <t>Tajikistan (TJ)</t>
  </si>
  <si>
    <t>Timor-Leste</t>
  </si>
  <si>
    <t>TL</t>
  </si>
  <si>
    <t>Tanzania, United Republic of (TZ)</t>
  </si>
  <si>
    <t>Tanzania, United Republic of</t>
  </si>
  <si>
    <t>TZ</t>
  </si>
  <si>
    <t>Turkmenistan</t>
  </si>
  <si>
    <t>TM</t>
  </si>
  <si>
    <t>Thailand (TH)</t>
  </si>
  <si>
    <t>Tunisia</t>
  </si>
  <si>
    <t>TN</t>
  </si>
  <si>
    <t>Timor-Leste (TL)</t>
  </si>
  <si>
    <t>Tonga</t>
  </si>
  <si>
    <t>TO</t>
  </si>
  <si>
    <t>Togo (TG)</t>
  </si>
  <si>
    <t>Turkey</t>
  </si>
  <si>
    <t>TR</t>
  </si>
  <si>
    <t>Tokelau  (TK)</t>
  </si>
  <si>
    <t>Trinidad and Tobago</t>
  </si>
  <si>
    <t>Tonga (TO)</t>
  </si>
  <si>
    <t>Tuvalu</t>
  </si>
  <si>
    <t>TV</t>
  </si>
  <si>
    <t>Trinidad and Tobago (TT)</t>
  </si>
  <si>
    <t>Tunisia (TN)</t>
  </si>
  <si>
    <t>Turkey (TR)</t>
  </si>
  <si>
    <t>Ukraine</t>
  </si>
  <si>
    <t>UA</t>
  </si>
  <si>
    <t>Turkmenistan (TM)</t>
  </si>
  <si>
    <t>Uganda</t>
  </si>
  <si>
    <t>UG</t>
  </si>
  <si>
    <t>Turks and Caicos Islands  (TC)</t>
  </si>
  <si>
    <t>US Minor Outlying Islands</t>
  </si>
  <si>
    <t>UM</t>
  </si>
  <si>
    <t>Tuvalu (TV)</t>
  </si>
  <si>
    <t>United States of America</t>
  </si>
  <si>
    <t>US</t>
  </si>
  <si>
    <t>Uganda (UG)</t>
  </si>
  <si>
    <t>Uruguay</t>
  </si>
  <si>
    <t>UY</t>
  </si>
  <si>
    <t>Ukraine (UA)</t>
  </si>
  <si>
    <t>Uzbekistan</t>
  </si>
  <si>
    <t>UZ</t>
  </si>
  <si>
    <t>United Arab Emirates (AE)</t>
  </si>
  <si>
    <t>United Kingdom (GB)</t>
  </si>
  <si>
    <t>United States of America (US)</t>
  </si>
  <si>
    <t>Venezuela (Bolivarian Republic)</t>
  </si>
  <si>
    <t>VE</t>
  </si>
  <si>
    <t>Uruguay (UY)</t>
  </si>
  <si>
    <t>US Minor Outlying Islands (UM)</t>
  </si>
  <si>
    <t>Virgin Islands, US</t>
  </si>
  <si>
    <t>VI</t>
  </si>
  <si>
    <t>Uzbekistan (UZ)</t>
  </si>
  <si>
    <t>Viet Nam</t>
  </si>
  <si>
    <t>VN</t>
  </si>
  <si>
    <t>Vanuatu (VU)</t>
  </si>
  <si>
    <t>Vanuatu</t>
  </si>
  <si>
    <t>VU</t>
  </si>
  <si>
    <t>Venezuela (Bolivarian Republic) (VE)</t>
  </si>
  <si>
    <t xml:space="preserve">Wallis and Futuna Islands </t>
  </si>
  <si>
    <t>WF</t>
  </si>
  <si>
    <t>Viet Nam (VN)</t>
  </si>
  <si>
    <t>Virgin Islands, US (VI)</t>
  </si>
  <si>
    <t>Wallis and Futuna Islands  (WF)</t>
  </si>
  <si>
    <t>Yemen</t>
  </si>
  <si>
    <t>YE</t>
  </si>
  <si>
    <t>Western Sahara (EH)</t>
  </si>
  <si>
    <t>Yemen (YE)</t>
  </si>
  <si>
    <t>Zambia (ZM)</t>
  </si>
  <si>
    <t>Zambia</t>
  </si>
  <si>
    <t>ZM</t>
  </si>
  <si>
    <t>Zimbabwe (ZW)</t>
  </si>
  <si>
    <t>Zimbabwe</t>
  </si>
  <si>
    <t>ZW</t>
  </si>
  <si>
    <t>TOTAL PERSON/MONTHS FOR ALL BENEFICIARIES PER WP
(INCLUDING LINKED THIRD PARTIES)</t>
  </si>
  <si>
    <t>STEP</t>
  </si>
  <si>
    <t>Status</t>
  </si>
  <si>
    <t>TASKS IN PROGRESS</t>
  </si>
  <si>
    <t>P</t>
  </si>
  <si>
    <t>Update from BENEFICIARIES LIST</t>
  </si>
  <si>
    <t>PRINT TO PDF</t>
  </si>
  <si>
    <t>CHECK VALIDITY</t>
  </si>
  <si>
    <t>Update from WORK PACKAGES LIST</t>
  </si>
  <si>
    <t>CONVERT TO .XLSX</t>
  </si>
  <si>
    <t>Update DETAILED SUMMARY TABLE</t>
  </si>
  <si>
    <t>Update BE-WP Person Months</t>
  </si>
  <si>
    <t>Update TECHNICAL CALCULATIONS</t>
  </si>
  <si>
    <t>Update PROPOSAL BUDGET</t>
  </si>
  <si>
    <t>Update BE-WP Overview</t>
  </si>
  <si>
    <t>Total of the budget</t>
  </si>
  <si>
    <t>BE NR/EA</t>
  </si>
  <si>
    <t>TOOL:   DEPRECIATION COSTS LIST</t>
  </si>
  <si>
    <t>BE nr</t>
  </si>
  <si>
    <t>Beneficiary name</t>
  </si>
  <si>
    <t>WP nr</t>
  </si>
  <si>
    <t>Work Package name</t>
  </si>
  <si>
    <t>Resource type</t>
  </si>
  <si>
    <t>Short name of the investments</t>
  </si>
  <si>
    <t>Date of purchase</t>
  </si>
  <si>
    <t>Purchase cost</t>
  </si>
  <si>
    <t>% used for the project</t>
  </si>
  <si>
    <t>% use for lifetime of the investment</t>
  </si>
  <si>
    <t>Charged 
depreciation costs 
per investment</t>
  </si>
  <si>
    <t>Justification: Needed info for depreciation</t>
  </si>
  <si>
    <t>Any comments</t>
  </si>
  <si>
    <t>nr</t>
  </si>
  <si>
    <t>BE ref</t>
  </si>
  <si>
    <t>WP ref</t>
  </si>
  <si>
    <t>Comments</t>
  </si>
  <si>
    <t>Name</t>
  </si>
  <si>
    <t>Value</t>
  </si>
  <si>
    <t>CURRENT VERSION</t>
  </si>
  <si>
    <t>4.4</t>
  </si>
  <si>
    <t>DATE OF VERSION</t>
  </si>
  <si>
    <t>BUILD</t>
  </si>
  <si>
    <t>DO NOT CHANGE</t>
  </si>
  <si>
    <t>ANYTHING BELOW</t>
  </si>
  <si>
    <t>CurrentFileName</t>
  </si>
  <si>
    <t>Tpl_Detailed Budget Table (ERASMUS LSII).xlsm</t>
  </si>
  <si>
    <t>LastIDBeneficiaire</t>
  </si>
  <si>
    <t>&lt;init = 1</t>
  </si>
  <si>
    <t>LastIDWorkPackages</t>
  </si>
  <si>
    <t>SheetBEBenNumCell</t>
  </si>
  <si>
    <t>SheetBEBenCell</t>
  </si>
  <si>
    <t>NbrColForWP</t>
  </si>
  <si>
    <t>Total Budget</t>
  </si>
  <si>
    <t>MyRequestedEUContribution</t>
  </si>
  <si>
    <t>PRORATA</t>
  </si>
  <si>
    <t>ColumnForWPNumber</t>
  </si>
  <si>
    <t>ProtectionMode</t>
  </si>
  <si>
    <t>File Status</t>
  </si>
  <si>
    <t>Password for workbook</t>
  </si>
  <si>
    <t>Detailed budget table</t>
  </si>
  <si>
    <t>XXXXXX
X
X</t>
  </si>
  <si>
    <t xml:space="preserve">Maximum Grant Amount of this Action </t>
  </si>
  <si>
    <t>Cofinancing Percentage</t>
  </si>
  <si>
    <t>Double-Click to apply the changes --&gt;</t>
  </si>
  <si>
    <t>APPLY CHANGES</t>
  </si>
  <si>
    <t>X
X
X
X</t>
  </si>
  <si>
    <t>Type 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</si>
</sst>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00_);_(&quot;£&quot;* \(#,##0.00\);_(&quot;£&quot;* &quot;-&quot;??_);_(@_)"/>
    <numFmt numFmtId="165" formatCode="_(* #,##0.00_);_(* \(#,##0.00\);_(* &quot;-&quot;??_);_(@_)"/>
    <numFmt numFmtId="166" formatCode="#,##0.00\ &quot;€&quot;"/>
    <numFmt numFmtId="167" formatCode="_-* #,##0_-;\-* #,##0_-;_-* &quot;-&quot;??_-;_-@_-"/>
    <numFmt numFmtId="168" formatCode="00"/>
  </numFmts>
  <fonts count="69">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sz val="9"/>
      <color theme="1"/>
      <name val="Calibri"/>
      <family val="2"/>
      <scheme val="minor"/>
    </font>
    <font>
      <b/>
      <sz val="9"/>
      <color rgb="FFFF0000"/>
      <name val="Calibri"/>
      <family val="2"/>
    </font>
    <font>
      <b/>
      <sz val="9"/>
      <color rgb="FF000000"/>
      <name val="Calibri"/>
      <family val="2"/>
    </font>
    <font>
      <b/>
      <sz val="9"/>
      <name val="Calibri"/>
      <family val="2"/>
    </font>
    <font>
      <b/>
      <sz val="9"/>
      <color theme="1"/>
      <name val="Calibri"/>
      <family val="2"/>
      <scheme val="minor"/>
    </font>
    <font>
      <b/>
      <sz val="11"/>
      <color theme="0"/>
      <name val="Calibri"/>
      <family val="2"/>
      <scheme val="minor"/>
    </font>
    <font>
      <sz val="11"/>
      <color theme="7"/>
      <name val="Calibri"/>
      <family val="2"/>
      <scheme val="minor"/>
    </font>
    <font>
      <sz val="9"/>
      <color indexed="81"/>
      <name val="Tahoma"/>
      <family val="2"/>
    </font>
    <font>
      <sz val="11"/>
      <color rgb="FF9C6500"/>
      <name val="Calibri"/>
      <family val="2"/>
      <scheme val="minor"/>
    </font>
    <font>
      <sz val="11"/>
      <color theme="0"/>
      <name val="Calibri"/>
      <family val="2"/>
      <scheme val="minor"/>
    </font>
    <font>
      <sz val="11"/>
      <color rgb="FFC00000"/>
      <name val="Calibri"/>
      <family val="2"/>
      <scheme val="minor"/>
    </font>
    <font>
      <sz val="11"/>
      <color theme="9" tint="-0.249977111117893"/>
      <name val="Calibri"/>
      <family val="2"/>
      <scheme val="minor"/>
    </font>
    <font>
      <sz val="11"/>
      <name val="Calibri"/>
      <family val="2"/>
      <scheme val="minor"/>
    </font>
    <font>
      <b/>
      <sz val="16"/>
      <color theme="9"/>
      <name val="Calibri"/>
      <family val="2"/>
      <scheme val="minor"/>
    </font>
    <font>
      <b/>
      <sz val="9"/>
      <color indexed="81"/>
      <name val="Tahoma"/>
      <family val="2"/>
    </font>
    <font>
      <b/>
      <sz val="9"/>
      <color rgb="FFFF0000"/>
      <name val="Calibri"/>
      <family val="2"/>
      <scheme val="minor"/>
    </font>
    <font>
      <sz val="9"/>
      <color theme="1"/>
      <name val="Calibri"/>
      <family val="2"/>
    </font>
    <font>
      <b/>
      <i/>
      <sz val="9"/>
      <color rgb="FF000000"/>
      <name val="Calibri"/>
      <family val="2"/>
    </font>
    <font>
      <sz val="9"/>
      <color rgb="FF000000"/>
      <name val="Calibri"/>
      <family val="2"/>
    </font>
    <font>
      <b/>
      <sz val="9"/>
      <color rgb="FFFFFF00"/>
      <name val="Calibri"/>
      <family val="2"/>
    </font>
    <font>
      <sz val="18"/>
      <color rgb="FF9C6500"/>
      <name val="Calibri"/>
      <family val="2"/>
      <scheme val="minor"/>
    </font>
    <font>
      <sz val="15"/>
      <color theme="1"/>
      <name val="Calibri"/>
      <family val="2"/>
      <scheme val="minor"/>
    </font>
    <font>
      <sz val="9"/>
      <color rgb="FFFFFF00"/>
      <name val="Calibri"/>
      <family val="2"/>
      <scheme val="minor"/>
    </font>
    <font>
      <b/>
      <sz val="12"/>
      <color rgb="FFFF0000"/>
      <name val="Calibri"/>
      <family val="2"/>
    </font>
    <font>
      <sz val="12"/>
      <color theme="1"/>
      <name val="Calibri"/>
      <family val="2"/>
      <scheme val="minor"/>
    </font>
    <font>
      <b/>
      <sz val="9"/>
      <color rgb="FFFFFF00"/>
      <name val="Calibri"/>
      <family val="2"/>
      <scheme val="minor"/>
    </font>
    <font>
      <b/>
      <sz val="13"/>
      <color theme="9" tint="-0.249977111117893"/>
      <name val="Calibri"/>
      <family val="2"/>
      <scheme val="minor"/>
    </font>
    <font>
      <sz val="13"/>
      <color theme="9" tint="-0.249977111117893"/>
      <name val="Calibri"/>
      <family val="2"/>
      <scheme val="minor"/>
    </font>
    <font>
      <b/>
      <sz val="20"/>
      <color theme="4" tint="0.79998168889431442"/>
      <name val="Calibri"/>
      <family val="2"/>
      <scheme val="minor"/>
    </font>
    <font>
      <sz val="16"/>
      <color theme="1"/>
      <name val="Calibri"/>
      <family val="2"/>
      <scheme val="minor"/>
    </font>
    <font>
      <sz val="9"/>
      <color theme="0"/>
      <name val="Calibri"/>
      <family val="2"/>
      <scheme val="minor"/>
    </font>
    <font>
      <sz val="9"/>
      <color theme="4" tint="-0.499984740745262"/>
      <name val="Calibri"/>
      <family val="2"/>
      <scheme val="minor"/>
    </font>
    <font>
      <sz val="30"/>
      <color theme="1"/>
      <name val="Calibri"/>
      <family val="2"/>
      <scheme val="minor"/>
    </font>
    <font>
      <i/>
      <sz val="11"/>
      <color rgb="FFFF0000"/>
      <name val="Calibri"/>
      <family val="2"/>
      <scheme val="minor"/>
    </font>
    <font>
      <sz val="9"/>
      <color rgb="FF9C6500"/>
      <name val="Calibri"/>
      <family val="2"/>
      <scheme val="minor"/>
    </font>
    <font>
      <sz val="11"/>
      <color rgb="FF3F3F76"/>
      <name val="Calibri"/>
      <family val="2"/>
      <scheme val="minor"/>
    </font>
    <font>
      <b/>
      <sz val="11"/>
      <color rgb="FFFFFF00"/>
      <name val="Calibri"/>
      <family val="2"/>
      <scheme val="minor"/>
    </font>
    <font>
      <b/>
      <sz val="20"/>
      <color theme="1"/>
      <name val="Calibri"/>
      <family val="2"/>
      <scheme val="minor"/>
    </font>
    <font>
      <b/>
      <sz val="18"/>
      <color theme="1"/>
      <name val="Calibri"/>
      <family val="2"/>
      <scheme val="minor"/>
    </font>
    <font>
      <b/>
      <i/>
      <sz val="12"/>
      <color rgb="FF7030A0"/>
      <name val="Calibri"/>
      <family val="2"/>
      <scheme val="minor"/>
    </font>
    <font>
      <sz val="11"/>
      <color rgb="FF1F497D"/>
      <name val="Calibri"/>
      <family val="2"/>
      <scheme val="minor"/>
    </font>
    <font>
      <sz val="30"/>
      <color rgb="FF3F3F76"/>
      <name val="Calibri"/>
      <family val="2"/>
      <scheme val="minor"/>
    </font>
    <font>
      <sz val="9"/>
      <color theme="0" tint="-0.499984740745262"/>
      <name val="Calibri"/>
      <family val="2"/>
      <scheme val="minor"/>
    </font>
    <font>
      <b/>
      <sz val="9"/>
      <color theme="0"/>
      <name val="Calibri"/>
      <family val="2"/>
      <scheme val="minor"/>
    </font>
    <font>
      <b/>
      <sz val="9"/>
      <color theme="2" tint="-9.9978637043366805E-2"/>
      <name val="Calibri"/>
      <family val="2"/>
      <scheme val="minor"/>
    </font>
    <font>
      <b/>
      <sz val="9"/>
      <color theme="2" tint="-0.249977111117893"/>
      <name val="Calibri"/>
      <family val="2"/>
    </font>
    <font>
      <sz val="16"/>
      <color rgb="FF0070C0"/>
      <name val="Calibri"/>
      <family val="2"/>
      <scheme val="minor"/>
    </font>
    <font>
      <b/>
      <sz val="16"/>
      <color theme="0" tint="-0.499984740745262"/>
      <name val="Calibri"/>
      <family val="2"/>
      <scheme val="minor"/>
    </font>
    <font>
      <b/>
      <u/>
      <sz val="11"/>
      <color theme="1"/>
      <name val="Calibri"/>
      <family val="2"/>
      <scheme val="minor"/>
    </font>
    <font>
      <u/>
      <sz val="11"/>
      <color theme="1"/>
      <name val="Calibri"/>
      <family val="2"/>
      <scheme val="minor"/>
    </font>
    <font>
      <sz val="9"/>
      <color rgb="FF006100"/>
      <name val="EC Square Sans Pro"/>
      <family val="2"/>
    </font>
    <font>
      <b/>
      <sz val="14"/>
      <name val="Calibri"/>
      <family val="2"/>
      <scheme val="minor"/>
    </font>
    <font>
      <sz val="22"/>
      <color theme="1"/>
      <name val="Calibri"/>
      <family val="2"/>
      <scheme val="minor"/>
    </font>
    <font>
      <sz val="11"/>
      <color rgb="FF9C0006"/>
      <name val="EC Square Sans Pro"/>
      <family val="2"/>
    </font>
    <font>
      <b/>
      <sz val="11"/>
      <color rgb="FF9C0006"/>
      <name val="EC Square Sans Pro"/>
      <family val="2"/>
    </font>
    <font>
      <sz val="6"/>
      <color theme="0" tint="-0.249977111117893"/>
      <name val="Arial"/>
      <family val="2"/>
    </font>
    <font>
      <b/>
      <sz val="9"/>
      <color indexed="81"/>
      <name val="Tahoma"/>
      <charset val="1"/>
    </font>
    <font>
      <b/>
      <sz val="8"/>
      <color theme="1"/>
      <name val="Verdana"/>
      <family val="2"/>
    </font>
    <font>
      <sz val="8"/>
      <color theme="1"/>
      <name val="Verdana"/>
      <family val="2"/>
    </font>
    <font>
      <sz val="8"/>
      <color theme="2" tint="-0.249977111117893"/>
      <name val="Verdana"/>
      <family val="2"/>
    </font>
    <font>
      <i/>
      <sz val="8"/>
      <color theme="1"/>
      <name val="Verdana"/>
      <family val="2"/>
    </font>
    <font>
      <u/>
      <sz val="11"/>
      <name val="Calibri"/>
      <family val="2"/>
      <scheme val="minor"/>
    </font>
  </fonts>
  <fills count="35">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rgb="FFEDEDED"/>
        <bgColor rgb="FF000000"/>
      </patternFill>
    </fill>
    <fill>
      <patternFill patternType="solid">
        <fgColor rgb="FFD0CECE"/>
        <bgColor rgb="FF000000"/>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0.499984740745262"/>
        <bgColor rgb="FF000000"/>
      </patternFill>
    </fill>
    <fill>
      <patternFill patternType="solid">
        <fgColor rgb="FFA5A5A5"/>
      </patternFill>
    </fill>
    <fill>
      <patternFill patternType="solid">
        <fgColor theme="0" tint="-4.9989318521683403E-2"/>
        <bgColor indexed="64"/>
      </patternFill>
    </fill>
    <fill>
      <patternFill patternType="solid">
        <fgColor rgb="FFFFEB9C"/>
      </patternFill>
    </fill>
    <fill>
      <patternFill patternType="solid">
        <fgColor theme="2"/>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2" tint="-0.249977111117893"/>
        <bgColor rgb="FF000000"/>
      </patternFill>
    </fill>
    <fill>
      <patternFill patternType="solid">
        <fgColor theme="9"/>
        <bgColor indexed="64"/>
      </patternFill>
    </fill>
    <fill>
      <patternFill patternType="solid">
        <fgColor theme="8"/>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theme="1"/>
      </patternFill>
    </fill>
    <fill>
      <patternFill patternType="solid">
        <fgColor rgb="FFEEF2D8"/>
        <bgColor indexed="64"/>
      </patternFill>
    </fill>
    <fill>
      <patternFill patternType="solid">
        <fgColor rgb="FFFFCC99"/>
      </patternFill>
    </fill>
    <fill>
      <patternFill patternType="solid">
        <fgColor theme="1" tint="0.499984740745262"/>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theme="2" tint="-0.249977111117893"/>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style="medium">
        <color indexed="64"/>
      </right>
      <top/>
      <bottom/>
      <diagonal/>
    </border>
    <border>
      <left style="thin">
        <color indexed="64"/>
      </left>
      <right/>
      <top style="thin">
        <color indexed="64"/>
      </top>
      <bottom style="medium">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ck">
        <color indexed="64"/>
      </top>
      <bottom style="thin">
        <color indexed="64"/>
      </bottom>
      <diagonal/>
    </border>
    <border>
      <left/>
      <right/>
      <top/>
      <bottom style="double">
        <color rgb="FF3F3F3F"/>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top style="thin">
        <color theme="4" tint="-0.499984740745262"/>
      </top>
      <bottom style="thin">
        <color theme="4" tint="-0.4999847407452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theme="4" tint="-0.499984740745262"/>
      </top>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right/>
      <top style="thick">
        <color indexed="64"/>
      </top>
      <bottom/>
      <diagonal/>
    </border>
    <border>
      <left/>
      <right style="medium">
        <color indexed="64"/>
      </right>
      <top style="thick">
        <color indexed="64"/>
      </top>
      <bottom/>
      <diagonal/>
    </border>
    <border>
      <left style="medium">
        <color indexed="64"/>
      </left>
      <right style="thick">
        <color indexed="64"/>
      </right>
      <top style="thick">
        <color indexed="64"/>
      </top>
      <bottom style="thin">
        <color indexed="64"/>
      </bottom>
      <diagonal/>
    </border>
    <border>
      <left style="thick">
        <color indexed="64"/>
      </left>
      <right style="medium">
        <color indexed="64"/>
      </right>
      <top/>
      <bottom/>
      <diagonal/>
    </border>
    <border>
      <left style="medium">
        <color indexed="64"/>
      </left>
      <right style="thick">
        <color indexed="64"/>
      </right>
      <top style="thin">
        <color indexed="64"/>
      </top>
      <bottom style="thin">
        <color indexed="64"/>
      </bottom>
      <diagonal/>
    </border>
    <border>
      <left style="thick">
        <color indexed="64"/>
      </left>
      <right style="medium">
        <color indexed="64"/>
      </right>
      <top/>
      <bottom style="thick">
        <color indexed="64"/>
      </bottom>
      <diagonal/>
    </border>
    <border>
      <left style="medium">
        <color indexed="64"/>
      </left>
      <right/>
      <top style="thin">
        <color indexed="64"/>
      </top>
      <bottom style="thick">
        <color indexed="64"/>
      </bottom>
      <diagonal/>
    </border>
    <border>
      <left/>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style="thick">
        <color indexed="64"/>
      </right>
      <top style="thin">
        <color indexed="64"/>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theme="0"/>
      </left>
      <right/>
      <top/>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ck">
        <color indexed="64"/>
      </right>
      <top style="medium">
        <color indexed="64"/>
      </top>
      <bottom/>
      <diagonal/>
    </border>
    <border>
      <left style="medium">
        <color indexed="64"/>
      </left>
      <right style="thick">
        <color indexed="64"/>
      </right>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diagonal/>
    </border>
    <border>
      <left style="thin">
        <color indexed="64"/>
      </left>
      <right style="thick">
        <color indexed="64"/>
      </right>
      <top style="medium">
        <color indexed="64"/>
      </top>
      <bottom style="medium">
        <color indexed="64"/>
      </bottom>
      <diagonal/>
    </border>
    <border>
      <left style="medium">
        <color indexed="64"/>
      </left>
      <right style="thick">
        <color indexed="64"/>
      </right>
      <top/>
      <bottom style="thick">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11">
    <xf numFmtId="0" fontId="0" fillId="0" borderId="0"/>
    <xf numFmtId="9" fontId="1" fillId="0" borderId="0" applyFont="0" applyFill="0" applyBorder="0" applyAlignment="0" applyProtection="0"/>
    <xf numFmtId="0" fontId="12" fillId="11" borderId="24" applyNumberFormat="0" applyAlignment="0" applyProtection="0"/>
    <xf numFmtId="0" fontId="15" fillId="13" borderId="0" applyNumberFormat="0" applyBorder="0" applyAlignment="0" applyProtection="0"/>
    <xf numFmtId="0" fontId="42" fillId="26" borderId="70" applyNumberFormat="0" applyAlignment="0" applyProtection="0"/>
    <xf numFmtId="165" fontId="1" fillId="0" borderId="0" applyFont="0" applyFill="0" applyBorder="0" applyAlignment="0" applyProtection="0"/>
    <xf numFmtId="0" fontId="68" fillId="0" borderId="0" applyNumberFormat="0" applyFill="0" applyBorder="0" applyAlignment="0" applyProtection="0"/>
    <xf numFmtId="164" fontId="1" fillId="0" borderId="0" applyFont="0" applyFill="0" applyBorder="0" applyAlignment="0" applyProtection="0"/>
    <xf numFmtId="0" fontId="57" fillId="32" borderId="0" applyNumberFormat="0" applyBorder="0" applyAlignment="0" applyProtection="0"/>
    <xf numFmtId="0" fontId="60" fillId="33" borderId="0" applyNumberFormat="0" applyBorder="0" applyAlignment="0" applyProtection="0"/>
    <xf numFmtId="0" fontId="68" fillId="0" borderId="0" applyNumberFormat="0" applyFill="0" applyBorder="0" applyAlignment="0" applyProtection="0"/>
  </cellStyleXfs>
  <cellXfs count="493">
    <xf numFmtId="0" fontId="0" fillId="0" borderId="0" xfId="0"/>
    <xf numFmtId="0" fontId="0" fillId="0" borderId="1" xfId="0"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vertical="top" wrapText="1"/>
    </xf>
    <xf numFmtId="0" fontId="2" fillId="0" borderId="0" xfId="0" applyFont="1"/>
    <xf numFmtId="0" fontId="6" fillId="7" borderId="1" xfId="0" applyFont="1" applyFill="1" applyBorder="1" applyAlignment="1">
      <alignment vertical="center"/>
    </xf>
    <xf numFmtId="0" fontId="0" fillId="6" borderId="25" xfId="0" applyFill="1" applyBorder="1"/>
    <xf numFmtId="0" fontId="2" fillId="0" borderId="0" xfId="0" applyFont="1" applyAlignment="1">
      <alignment horizontal="center" vertical="center"/>
    </xf>
    <xf numFmtId="0" fontId="17" fillId="14" borderId="24" xfId="2" applyFont="1" applyFill="1" applyAlignment="1">
      <alignment horizontal="center"/>
    </xf>
    <xf numFmtId="0" fontId="18" fillId="14" borderId="24" xfId="2" applyFont="1" applyFill="1" applyAlignment="1">
      <alignment horizontal="center" vertical="center"/>
    </xf>
    <xf numFmtId="0" fontId="16" fillId="0" borderId="0" xfId="0" applyFont="1"/>
    <xf numFmtId="0" fontId="13" fillId="3" borderId="6" xfId="0" applyFont="1" applyFill="1" applyBorder="1"/>
    <xf numFmtId="0" fontId="16" fillId="3" borderId="6" xfId="0" applyFont="1" applyFill="1" applyBorder="1"/>
    <xf numFmtId="0" fontId="2" fillId="3" borderId="6" xfId="0" applyFont="1" applyFill="1" applyBorder="1"/>
    <xf numFmtId="0" fontId="20" fillId="9" borderId="24" xfId="2" applyFont="1" applyFill="1" applyAlignment="1">
      <alignment horizontal="center"/>
    </xf>
    <xf numFmtId="0" fontId="0" fillId="6" borderId="25" xfId="0" applyFill="1" applyBorder="1" applyProtection="1">
      <protection locked="0"/>
    </xf>
    <xf numFmtId="0" fontId="19" fillId="0" borderId="0" xfId="0" applyFont="1"/>
    <xf numFmtId="0" fontId="0" fillId="3" borderId="0" xfId="0" applyFill="1"/>
    <xf numFmtId="0" fontId="19" fillId="3" borderId="6" xfId="0" applyFont="1" applyFill="1" applyBorder="1"/>
    <xf numFmtId="0" fontId="19" fillId="0" borderId="0" xfId="0" applyFont="1" applyAlignment="1">
      <alignment horizontal="center" vertical="center"/>
    </xf>
    <xf numFmtId="0" fontId="19" fillId="3" borderId="0" xfId="0" applyFont="1" applyFill="1"/>
    <xf numFmtId="0" fontId="7" fillId="0" borderId="0" xfId="0" applyFont="1" applyAlignment="1">
      <alignment horizontal="center" vertical="center"/>
    </xf>
    <xf numFmtId="0" fontId="7" fillId="0" borderId="0" xfId="0" applyFont="1" applyAlignment="1">
      <alignment horizontal="left" vertical="center"/>
    </xf>
    <xf numFmtId="2" fontId="7" fillId="0" borderId="0" xfId="0" applyNumberFormat="1" applyFont="1" applyAlignment="1">
      <alignment horizontal="center" vertical="center"/>
    </xf>
    <xf numFmtId="0" fontId="7" fillId="17" borderId="34" xfId="0" applyFont="1" applyFill="1" applyBorder="1" applyAlignment="1">
      <alignment horizontal="center" vertical="center"/>
    </xf>
    <xf numFmtId="0" fontId="0" fillId="17" borderId="37" xfId="0" applyFill="1" applyBorder="1" applyAlignment="1">
      <alignment horizontal="center" vertical="center"/>
    </xf>
    <xf numFmtId="0" fontId="7" fillId="17" borderId="37" xfId="0" applyFont="1" applyFill="1" applyBorder="1" applyAlignment="1">
      <alignment horizontal="left" vertical="center"/>
    </xf>
    <xf numFmtId="0" fontId="9" fillId="0" borderId="28" xfId="0" applyFont="1" applyBorder="1" applyAlignment="1">
      <alignment horizontal="left" vertical="center"/>
    </xf>
    <xf numFmtId="0" fontId="23" fillId="0" borderId="15" xfId="0" applyFont="1" applyBorder="1" applyAlignment="1">
      <alignment horizontal="left" vertical="center"/>
    </xf>
    <xf numFmtId="0" fontId="23" fillId="0" borderId="2" xfId="0" applyFont="1" applyBorder="1" applyAlignment="1">
      <alignment horizontal="left" vertical="center"/>
    </xf>
    <xf numFmtId="0" fontId="23" fillId="0" borderId="5" xfId="0" applyFont="1" applyBorder="1" applyAlignment="1">
      <alignment horizontal="left" vertical="center"/>
    </xf>
    <xf numFmtId="0" fontId="9" fillId="0" borderId="15" xfId="0" applyFont="1" applyBorder="1" applyAlignment="1">
      <alignment horizontal="left" vertical="center"/>
    </xf>
    <xf numFmtId="0" fontId="9" fillId="0" borderId="30" xfId="0" applyFont="1" applyBorder="1" applyAlignment="1">
      <alignment horizontal="left" vertical="center"/>
    </xf>
    <xf numFmtId="0" fontId="24" fillId="0" borderId="31" xfId="0" applyFont="1" applyBorder="1" applyAlignment="1">
      <alignment horizontal="left" vertical="center"/>
    </xf>
    <xf numFmtId="0" fontId="24" fillId="0" borderId="5" xfId="0" applyFont="1" applyBorder="1" applyAlignment="1">
      <alignment horizontal="left" vertical="center"/>
    </xf>
    <xf numFmtId="0" fontId="25" fillId="0" borderId="5" xfId="0" applyFont="1" applyBorder="1" applyAlignment="1">
      <alignment horizontal="left" vertical="center"/>
    </xf>
    <xf numFmtId="0" fontId="9" fillId="0" borderId="31" xfId="0" applyFont="1" applyBorder="1" applyAlignment="1">
      <alignment horizontal="left" vertical="center"/>
    </xf>
    <xf numFmtId="0" fontId="9" fillId="0" borderId="32" xfId="0" applyFont="1" applyBorder="1" applyAlignment="1">
      <alignment horizontal="left" vertical="center"/>
    </xf>
    <xf numFmtId="0" fontId="24" fillId="0" borderId="10" xfId="0" applyFont="1" applyBorder="1" applyAlignment="1">
      <alignment horizontal="left" vertical="center"/>
    </xf>
    <xf numFmtId="0" fontId="23" fillId="0" borderId="27" xfId="0" applyFont="1" applyBorder="1" applyAlignment="1">
      <alignment horizontal="left" vertical="center"/>
    </xf>
    <xf numFmtId="0" fontId="9" fillId="0" borderId="27" xfId="0" applyFont="1" applyBorder="1" applyAlignment="1">
      <alignment horizontal="left" vertical="center"/>
    </xf>
    <xf numFmtId="0" fontId="7" fillId="17" borderId="0" xfId="0" applyFont="1" applyFill="1" applyAlignment="1">
      <alignment horizontal="center" vertical="center"/>
    </xf>
    <xf numFmtId="0" fontId="0" fillId="17" borderId="0" xfId="0" applyFill="1" applyAlignment="1">
      <alignment horizontal="center" vertical="center"/>
    </xf>
    <xf numFmtId="0" fontId="7" fillId="17" borderId="0" xfId="0" applyFont="1" applyFill="1" applyAlignment="1">
      <alignment horizontal="left" vertical="center"/>
    </xf>
    <xf numFmtId="0" fontId="28" fillId="0" borderId="0" xfId="0" applyFont="1" applyAlignment="1">
      <alignment horizontal="center" vertical="center"/>
    </xf>
    <xf numFmtId="2" fontId="0" fillId="14" borderId="0" xfId="0" applyNumberFormat="1" applyFill="1"/>
    <xf numFmtId="0" fontId="0" fillId="14" borderId="0" xfId="0" applyFill="1"/>
    <xf numFmtId="2" fontId="0" fillId="7" borderId="0" xfId="0" applyNumberFormat="1" applyFill="1" applyAlignment="1">
      <alignment horizontal="center" vertical="center"/>
    </xf>
    <xf numFmtId="0" fontId="0" fillId="7" borderId="0" xfId="0" applyFill="1" applyAlignment="1">
      <alignment horizontal="center" vertical="center"/>
    </xf>
    <xf numFmtId="0" fontId="33" fillId="9" borderId="24" xfId="2" applyFont="1" applyFill="1" applyAlignment="1">
      <alignment horizontal="center" vertical="center"/>
    </xf>
    <xf numFmtId="0" fontId="0" fillId="22" borderId="0" xfId="0" applyFill="1"/>
    <xf numFmtId="0" fontId="16" fillId="23" borderId="0" xfId="0" applyFont="1" applyFill="1" applyAlignment="1">
      <alignment wrapText="1"/>
    </xf>
    <xf numFmtId="0" fontId="16" fillId="23" borderId="0" xfId="0" applyFont="1" applyFill="1"/>
    <xf numFmtId="0" fontId="0" fillId="23" borderId="0" xfId="0" applyFill="1"/>
    <xf numFmtId="0" fontId="0" fillId="22" borderId="0" xfId="0" applyFill="1" applyAlignment="1">
      <alignment vertical="center"/>
    </xf>
    <xf numFmtId="0" fontId="0" fillId="15" borderId="0" xfId="0" applyFill="1" applyAlignment="1">
      <alignment horizontal="center" vertical="center"/>
    </xf>
    <xf numFmtId="0" fontId="0" fillId="15" borderId="0" xfId="1" applyNumberFormat="1" applyFont="1" applyFill="1" applyAlignment="1">
      <alignment horizontal="center" vertical="center"/>
    </xf>
    <xf numFmtId="0" fontId="0" fillId="0" borderId="0" xfId="0" applyAlignment="1">
      <alignment horizontal="left"/>
    </xf>
    <xf numFmtId="166" fontId="0" fillId="0" borderId="0" xfId="0" applyNumberFormat="1" applyAlignment="1">
      <alignment horizontal="left"/>
    </xf>
    <xf numFmtId="0" fontId="12" fillId="24" borderId="0" xfId="0" applyFont="1" applyFill="1"/>
    <xf numFmtId="0" fontId="12" fillId="24" borderId="58" xfId="0" applyFont="1" applyFill="1" applyBorder="1" applyAlignment="1">
      <alignment horizontal="left"/>
    </xf>
    <xf numFmtId="0" fontId="36" fillId="0" borderId="0" xfId="0" applyFont="1" applyAlignment="1">
      <alignment horizontal="right"/>
    </xf>
    <xf numFmtId="0" fontId="37" fillId="23" borderId="38" xfId="0" applyFont="1" applyFill="1" applyBorder="1" applyAlignment="1">
      <alignment horizontal="center" vertical="center"/>
    </xf>
    <xf numFmtId="0" fontId="0" fillId="0" borderId="0" xfId="0" applyAlignment="1">
      <alignment horizontal="center"/>
    </xf>
    <xf numFmtId="0" fontId="0" fillId="25" borderId="61" xfId="0" applyFill="1" applyBorder="1"/>
    <xf numFmtId="0" fontId="0" fillId="25" borderId="41" xfId="0" applyFill="1" applyBorder="1"/>
    <xf numFmtId="0" fontId="0" fillId="25" borderId="62" xfId="0" applyFill="1" applyBorder="1"/>
    <xf numFmtId="0" fontId="0" fillId="25" borderId="63" xfId="0" applyFill="1" applyBorder="1"/>
    <xf numFmtId="0" fontId="0" fillId="25" borderId="0" xfId="0" applyFill="1"/>
    <xf numFmtId="0" fontId="0" fillId="25" borderId="0" xfId="0" applyFill="1" applyAlignment="1">
      <alignment horizontal="center"/>
    </xf>
    <xf numFmtId="0" fontId="0" fillId="25" borderId="64" xfId="0" applyFill="1" applyBorder="1"/>
    <xf numFmtId="0" fontId="0" fillId="25" borderId="5" xfId="0" applyFill="1" applyBorder="1" applyAlignment="1">
      <alignment horizontal="right"/>
    </xf>
    <xf numFmtId="0" fontId="0" fillId="25" borderId="5" xfId="0" applyFill="1" applyBorder="1"/>
    <xf numFmtId="0" fontId="16" fillId="25" borderId="63" xfId="0" applyFont="1" applyFill="1" applyBorder="1" applyAlignment="1">
      <alignment wrapText="1"/>
    </xf>
    <xf numFmtId="0" fontId="16" fillId="25" borderId="63" xfId="0" applyFont="1" applyFill="1" applyBorder="1"/>
    <xf numFmtId="0" fontId="16" fillId="25" borderId="65" xfId="0" applyFont="1" applyFill="1" applyBorder="1" applyAlignment="1">
      <alignment wrapText="1"/>
    </xf>
    <xf numFmtId="0" fontId="0" fillId="25" borderId="66" xfId="0" applyFill="1" applyBorder="1"/>
    <xf numFmtId="0" fontId="0" fillId="25" borderId="66" xfId="0" applyFill="1" applyBorder="1" applyAlignment="1">
      <alignment horizontal="center"/>
    </xf>
    <xf numFmtId="0" fontId="0" fillId="25" borderId="67" xfId="0" applyFill="1" applyBorder="1"/>
    <xf numFmtId="0" fontId="2" fillId="0" borderId="0" xfId="0" applyFont="1" applyAlignment="1">
      <alignment horizontal="center"/>
    </xf>
    <xf numFmtId="0" fontId="0" fillId="6" borderId="25" xfId="0" applyFill="1" applyBorder="1" applyAlignment="1" applyProtection="1">
      <alignment horizontal="center"/>
      <protection locked="0"/>
    </xf>
    <xf numFmtId="0" fontId="13" fillId="3" borderId="6" xfId="0" applyFont="1" applyFill="1" applyBorder="1" applyAlignment="1">
      <alignment horizontal="center"/>
    </xf>
    <xf numFmtId="0" fontId="6" fillId="7" borderId="1" xfId="0" applyFont="1" applyFill="1" applyBorder="1" applyAlignment="1">
      <alignment horizontal="center" vertical="center"/>
    </xf>
    <xf numFmtId="0" fontId="0" fillId="0" borderId="0" xfId="0" quotePrefix="1"/>
    <xf numFmtId="0" fontId="0" fillId="15" borderId="0" xfId="0" applyFill="1" applyAlignment="1">
      <alignment horizontal="right" vertical="center"/>
    </xf>
    <xf numFmtId="0" fontId="0" fillId="25" borderId="5" xfId="0" applyFill="1" applyBorder="1" applyAlignment="1">
      <alignment horizontal="left"/>
    </xf>
    <xf numFmtId="0" fontId="16" fillId="23" borderId="0" xfId="0" applyFont="1" applyFill="1" applyAlignment="1">
      <alignment horizontal="left"/>
    </xf>
    <xf numFmtId="0" fontId="0" fillId="22" borderId="0" xfId="0" applyFill="1" applyAlignment="1">
      <alignment horizontal="left"/>
    </xf>
    <xf numFmtId="0" fontId="0" fillId="15" borderId="0" xfId="0" applyFill="1" applyAlignment="1">
      <alignment horizontal="left" vertical="center"/>
    </xf>
    <xf numFmtId="0" fontId="0" fillId="22" borderId="0" xfId="0" applyFill="1" applyAlignment="1">
      <alignment horizontal="left" vertical="center"/>
    </xf>
    <xf numFmtId="0" fontId="0" fillId="23" borderId="0" xfId="0" applyFill="1" applyAlignment="1">
      <alignment horizontal="left"/>
    </xf>
    <xf numFmtId="0" fontId="16" fillId="23" borderId="0" xfId="0" applyFont="1" applyFill="1" applyAlignment="1">
      <alignment horizontal="center"/>
    </xf>
    <xf numFmtId="0" fontId="5" fillId="20" borderId="1" xfId="0" applyFont="1" applyFill="1" applyBorder="1" applyAlignment="1">
      <alignment vertical="center"/>
    </xf>
    <xf numFmtId="0" fontId="5" fillId="20" borderId="1" xfId="0" applyFont="1" applyFill="1" applyBorder="1" applyAlignment="1">
      <alignment horizontal="center" vertical="center"/>
    </xf>
    <xf numFmtId="0" fontId="5" fillId="20" borderId="1" xfId="0" applyFont="1" applyFill="1" applyBorder="1" applyAlignment="1">
      <alignment horizontal="left" vertical="center"/>
    </xf>
    <xf numFmtId="166" fontId="36" fillId="14" borderId="0" xfId="0" applyNumberFormat="1" applyFont="1" applyFill="1"/>
    <xf numFmtId="0" fontId="23" fillId="0" borderId="68" xfId="0" applyFont="1" applyBorder="1" applyAlignment="1">
      <alignment horizontal="left" vertical="center"/>
    </xf>
    <xf numFmtId="0" fontId="23" fillId="0" borderId="69" xfId="0" applyFont="1" applyBorder="1" applyAlignment="1">
      <alignment horizontal="left" vertical="center"/>
    </xf>
    <xf numFmtId="0" fontId="41" fillId="13" borderId="1" xfId="3" applyFont="1" applyBorder="1" applyProtection="1">
      <protection locked="0"/>
    </xf>
    <xf numFmtId="2" fontId="0" fillId="0" borderId="0" xfId="0" applyNumberFormat="1"/>
    <xf numFmtId="0" fontId="0" fillId="0" borderId="1" xfId="0" applyBorder="1" applyAlignment="1">
      <alignment horizontal="left"/>
    </xf>
    <xf numFmtId="0" fontId="0" fillId="0" borderId="0" xfId="0" applyAlignment="1">
      <alignment horizontal="center" wrapText="1"/>
    </xf>
    <xf numFmtId="2" fontId="0" fillId="0" borderId="0" xfId="0" applyNumberFormat="1" applyAlignment="1">
      <alignment horizontal="center" wrapText="1"/>
    </xf>
    <xf numFmtId="4" fontId="36" fillId="14" borderId="0" xfId="0" applyNumberFormat="1" applyFont="1" applyFill="1"/>
    <xf numFmtId="0" fontId="16" fillId="23" borderId="0" xfId="0" applyFont="1" applyFill="1" applyAlignment="1">
      <alignment horizontal="center" vertical="center"/>
    </xf>
    <xf numFmtId="0" fontId="4" fillId="0" borderId="0" xfId="0" applyFont="1" applyAlignment="1">
      <alignment horizontal="center" vertical="center"/>
    </xf>
    <xf numFmtId="0" fontId="0" fillId="0" borderId="29" xfId="0" applyBorder="1" applyAlignment="1">
      <alignment horizontal="left" vertical="top" wrapText="1"/>
    </xf>
    <xf numFmtId="0" fontId="0" fillId="0" borderId="68" xfId="0" applyBorder="1" applyAlignment="1">
      <alignment vertical="top" wrapText="1"/>
    </xf>
    <xf numFmtId="0" fontId="13" fillId="3" borderId="70" xfId="4" applyFont="1" applyFill="1" applyAlignment="1">
      <alignment horizontal="left"/>
    </xf>
    <xf numFmtId="0" fontId="13" fillId="3" borderId="0" xfId="0" applyFont="1" applyFill="1" applyAlignment="1">
      <alignment horizontal="right"/>
    </xf>
    <xf numFmtId="2" fontId="0" fillId="0" borderId="0" xfId="0" applyNumberFormat="1" applyAlignment="1">
      <alignment horizontal="left"/>
    </xf>
    <xf numFmtId="2" fontId="36" fillId="14" borderId="0" xfId="0" applyNumberFormat="1" applyFont="1" applyFill="1" applyAlignment="1">
      <alignment wrapText="1"/>
    </xf>
    <xf numFmtId="0" fontId="0" fillId="14" borderId="0" xfId="0" applyFill="1" applyAlignment="1">
      <alignment horizontal="center"/>
    </xf>
    <xf numFmtId="167" fontId="7" fillId="0" borderId="0" xfId="0" applyNumberFormat="1" applyFont="1" applyAlignment="1">
      <alignment horizontal="center" vertical="center"/>
    </xf>
    <xf numFmtId="167" fontId="7" fillId="15" borderId="10" xfId="0" applyNumberFormat="1" applyFont="1" applyFill="1" applyBorder="1" applyAlignment="1">
      <alignment horizontal="center" vertical="center" wrapText="1"/>
    </xf>
    <xf numFmtId="167" fontId="38" fillId="17" borderId="15" xfId="0" applyNumberFormat="1" applyFont="1" applyFill="1" applyBorder="1" applyAlignment="1">
      <alignment horizontal="center" vertical="center" wrapText="1"/>
    </xf>
    <xf numFmtId="167" fontId="7" fillId="0" borderId="0" xfId="0" applyNumberFormat="1" applyFont="1" applyAlignment="1">
      <alignment horizontal="right" vertical="center"/>
    </xf>
    <xf numFmtId="167" fontId="11" fillId="16" borderId="0" xfId="0" applyNumberFormat="1" applyFont="1" applyFill="1" applyAlignment="1">
      <alignment horizontal="right" vertical="center"/>
    </xf>
    <xf numFmtId="167" fontId="7" fillId="15" borderId="1" xfId="0" applyNumberFormat="1" applyFont="1" applyFill="1" applyBorder="1" applyAlignment="1">
      <alignment horizontal="center" vertical="center" wrapText="1"/>
    </xf>
    <xf numFmtId="167" fontId="7" fillId="15" borderId="11" xfId="0" applyNumberFormat="1" applyFont="1" applyFill="1" applyBorder="1" applyAlignment="1">
      <alignment horizontal="center" vertical="center" wrapText="1"/>
    </xf>
    <xf numFmtId="167" fontId="38" fillId="17" borderId="0" xfId="0" applyNumberFormat="1" applyFont="1" applyFill="1" applyAlignment="1">
      <alignment horizontal="right" vertical="center" wrapText="1"/>
    </xf>
    <xf numFmtId="167" fontId="38" fillId="17" borderId="22" xfId="0" applyNumberFormat="1" applyFont="1" applyFill="1" applyBorder="1" applyAlignment="1">
      <alignment horizontal="right" vertical="center" wrapText="1"/>
    </xf>
    <xf numFmtId="167" fontId="0" fillId="0" borderId="1" xfId="0" applyNumberFormat="1" applyBorder="1"/>
    <xf numFmtId="167" fontId="0" fillId="0" borderId="12" xfId="0" applyNumberFormat="1" applyBorder="1"/>
    <xf numFmtId="167" fontId="0" fillId="0" borderId="0" xfId="0" applyNumberFormat="1"/>
    <xf numFmtId="167" fontId="0" fillId="0" borderId="1" xfId="0" quotePrefix="1" applyNumberFormat="1" applyBorder="1"/>
    <xf numFmtId="167" fontId="0" fillId="0" borderId="69" xfId="0" quotePrefix="1" applyNumberFormat="1" applyBorder="1"/>
    <xf numFmtId="167" fontId="0" fillId="0" borderId="0" xfId="0" applyNumberFormat="1" applyAlignment="1">
      <alignment horizontal="right"/>
    </xf>
    <xf numFmtId="167" fontId="0" fillId="0" borderId="36" xfId="0" applyNumberFormat="1" applyBorder="1" applyAlignment="1">
      <alignment horizontal="center" wrapText="1"/>
    </xf>
    <xf numFmtId="167" fontId="0" fillId="0" borderId="9" xfId="0" applyNumberFormat="1" applyBorder="1" applyAlignment="1">
      <alignment horizontal="center" wrapText="1"/>
    </xf>
    <xf numFmtId="167" fontId="0" fillId="0" borderId="74" xfId="0" applyNumberFormat="1" applyBorder="1" applyAlignment="1">
      <alignment horizontal="center" wrapText="1"/>
    </xf>
    <xf numFmtId="167" fontId="0" fillId="0" borderId="0" xfId="0" applyNumberFormat="1" applyAlignment="1">
      <alignment horizontal="center" wrapText="1"/>
    </xf>
    <xf numFmtId="167" fontId="3" fillId="22" borderId="0" xfId="0" applyNumberFormat="1" applyFont="1" applyFill="1" applyAlignment="1">
      <alignment horizontal="center" vertical="center" wrapText="1"/>
    </xf>
    <xf numFmtId="167" fontId="0" fillId="0" borderId="2" xfId="0" applyNumberFormat="1" applyBorder="1" applyAlignment="1">
      <alignment horizontal="center" wrapText="1"/>
    </xf>
    <xf numFmtId="167" fontId="0" fillId="0" borderId="5" xfId="0" applyNumberFormat="1" applyBorder="1" applyAlignment="1">
      <alignment horizontal="center" wrapText="1"/>
    </xf>
    <xf numFmtId="167" fontId="0" fillId="0" borderId="3" xfId="0" applyNumberFormat="1" applyBorder="1" applyAlignment="1">
      <alignment horizontal="center" wrapText="1"/>
    </xf>
    <xf numFmtId="167" fontId="0" fillId="0" borderId="23" xfId="0" applyNumberFormat="1" applyBorder="1" applyAlignment="1">
      <alignment horizontal="center" wrapText="1"/>
    </xf>
    <xf numFmtId="167" fontId="0" fillId="0" borderId="71" xfId="0" applyNumberFormat="1" applyBorder="1" applyAlignment="1">
      <alignment horizontal="center" wrapText="1"/>
    </xf>
    <xf numFmtId="167" fontId="0" fillId="0" borderId="20" xfId="0" applyNumberFormat="1" applyBorder="1" applyAlignment="1">
      <alignment horizontal="center" wrapText="1"/>
    </xf>
    <xf numFmtId="167" fontId="0" fillId="0" borderId="69" xfId="0" applyNumberFormat="1" applyBorder="1" applyAlignment="1">
      <alignment horizontal="center" wrapText="1"/>
    </xf>
    <xf numFmtId="167" fontId="0" fillId="0" borderId="72" xfId="0" applyNumberFormat="1" applyBorder="1" applyAlignment="1">
      <alignment horizontal="center" wrapText="1"/>
    </xf>
    <xf numFmtId="167" fontId="0" fillId="0" borderId="0" xfId="0" applyNumberFormat="1" applyAlignment="1">
      <alignment horizontal="center"/>
    </xf>
    <xf numFmtId="167" fontId="0" fillId="0" borderId="81" xfId="0" applyNumberFormat="1" applyBorder="1" applyAlignment="1">
      <alignment horizontal="center" wrapText="1"/>
    </xf>
    <xf numFmtId="167" fontId="0" fillId="0" borderId="78" xfId="0" applyNumberFormat="1" applyBorder="1" applyAlignment="1">
      <alignment horizontal="center" wrapText="1"/>
    </xf>
    <xf numFmtId="167" fontId="3" fillId="0" borderId="8" xfId="0" applyNumberFormat="1" applyFont="1" applyBorder="1" applyAlignment="1">
      <alignment horizontal="center" vertical="center" wrapText="1"/>
    </xf>
    <xf numFmtId="167" fontId="2" fillId="0" borderId="0" xfId="0" applyNumberFormat="1" applyFont="1"/>
    <xf numFmtId="167" fontId="36" fillId="0" borderId="0" xfId="0" applyNumberFormat="1" applyFont="1" applyAlignment="1">
      <alignment horizontal="center"/>
    </xf>
    <xf numFmtId="167" fontId="0" fillId="0" borderId="0" xfId="0" applyNumberFormat="1" applyAlignment="1">
      <alignment wrapText="1"/>
    </xf>
    <xf numFmtId="167" fontId="0" fillId="14" borderId="0" xfId="0" applyNumberFormat="1" applyFill="1"/>
    <xf numFmtId="167" fontId="0" fillId="7" borderId="0" xfId="0" applyNumberFormat="1" applyFill="1" applyAlignment="1">
      <alignment horizontal="center" vertical="center"/>
    </xf>
    <xf numFmtId="167" fontId="36" fillId="0" borderId="0" xfId="0" applyNumberFormat="1" applyFont="1"/>
    <xf numFmtId="167" fontId="8" fillId="4" borderId="1" xfId="0" applyNumberFormat="1" applyFont="1" applyFill="1" applyBorder="1" applyAlignment="1">
      <alignment horizontal="center" vertical="center" wrapText="1"/>
    </xf>
    <xf numFmtId="167" fontId="0" fillId="0" borderId="1" xfId="0" quotePrefix="1" applyNumberFormat="1" applyBorder="1" applyProtection="1">
      <protection locked="0"/>
    </xf>
    <xf numFmtId="167" fontId="0" fillId="0" borderId="84" xfId="0" quotePrefix="1" applyNumberFormat="1" applyBorder="1" applyProtection="1">
      <protection locked="0"/>
    </xf>
    <xf numFmtId="0" fontId="15" fillId="13" borderId="5" xfId="3" applyBorder="1" applyAlignment="1" applyProtection="1">
      <alignment horizontal="center"/>
      <protection locked="0"/>
    </xf>
    <xf numFmtId="0" fontId="15" fillId="13" borderId="0" xfId="3" applyAlignment="1">
      <alignment horizontal="center" vertical="center"/>
    </xf>
    <xf numFmtId="0" fontId="27" fillId="13" borderId="0" xfId="3" applyFont="1" applyAlignment="1">
      <alignment vertical="center"/>
    </xf>
    <xf numFmtId="0" fontId="7" fillId="0" borderId="0" xfId="0" applyFont="1" applyAlignment="1">
      <alignment horizontal="right" vertical="center"/>
    </xf>
    <xf numFmtId="0" fontId="11" fillId="16" borderId="0" xfId="0" applyFont="1" applyFill="1" applyAlignment="1">
      <alignment horizontal="right" vertical="center"/>
    </xf>
    <xf numFmtId="0" fontId="15" fillId="13" borderId="0" xfId="3" applyAlignment="1">
      <alignment horizontal="right" vertical="center"/>
    </xf>
    <xf numFmtId="0" fontId="7" fillId="17" borderId="37" xfId="0" applyFont="1" applyFill="1" applyBorder="1" applyAlignment="1">
      <alignment horizontal="center" vertical="center"/>
    </xf>
    <xf numFmtId="0" fontId="7" fillId="18" borderId="0" xfId="0" applyFont="1" applyFill="1" applyAlignment="1">
      <alignment horizontal="center" vertical="center"/>
    </xf>
    <xf numFmtId="0" fontId="7" fillId="18" borderId="34" xfId="0" applyFont="1" applyFill="1" applyBorder="1" applyAlignment="1">
      <alignment horizontal="center" vertical="center"/>
    </xf>
    <xf numFmtId="0" fontId="0" fillId="18" borderId="0" xfId="0" applyFill="1"/>
    <xf numFmtId="0" fontId="53" fillId="0" borderId="0" xfId="0" applyFont="1" applyAlignment="1">
      <alignment horizontal="center"/>
    </xf>
    <xf numFmtId="0" fontId="5" fillId="0" borderId="1" xfId="0" applyFont="1" applyBorder="1" applyAlignment="1">
      <alignment horizontal="left" vertical="top"/>
    </xf>
    <xf numFmtId="0" fontId="0" fillId="0" borderId="0" xfId="0" applyAlignment="1">
      <alignment horizontal="left" vertical="top"/>
    </xf>
    <xf numFmtId="0" fontId="0" fillId="0" borderId="1" xfId="0" applyBorder="1" applyAlignment="1" applyProtection="1">
      <alignment horizontal="left" vertical="top"/>
      <protection locked="0"/>
    </xf>
    <xf numFmtId="0" fontId="0" fillId="0" borderId="1" xfId="0" applyBorder="1" applyAlignment="1" applyProtection="1">
      <alignment horizontal="left" vertical="top" wrapText="1"/>
      <protection locked="0"/>
    </xf>
    <xf numFmtId="167" fontId="46" fillId="2" borderId="73" xfId="0" applyNumberFormat="1" applyFont="1" applyFill="1" applyBorder="1" applyAlignment="1">
      <alignment horizontal="center" vertical="center" wrapText="1"/>
    </xf>
    <xf numFmtId="167" fontId="46" fillId="2" borderId="74" xfId="0" applyNumberFormat="1" applyFont="1" applyFill="1" applyBorder="1" applyAlignment="1">
      <alignment horizontal="center" vertical="center" wrapText="1"/>
    </xf>
    <xf numFmtId="167" fontId="46" fillId="2" borderId="36" xfId="0" applyNumberFormat="1" applyFont="1" applyFill="1" applyBorder="1" applyAlignment="1">
      <alignment horizontal="center" vertical="center" wrapText="1"/>
    </xf>
    <xf numFmtId="167" fontId="46" fillId="2" borderId="75" xfId="0" applyNumberFormat="1" applyFont="1" applyFill="1" applyBorder="1" applyAlignment="1">
      <alignment horizontal="center" vertical="center" wrapText="1"/>
    </xf>
    <xf numFmtId="167" fontId="0" fillId="0" borderId="0" xfId="0" applyNumberFormat="1" applyAlignment="1">
      <alignment horizontal="center" vertical="center" wrapText="1"/>
    </xf>
    <xf numFmtId="167" fontId="0" fillId="23" borderId="1" xfId="7" applyNumberFormat="1" applyFont="1" applyFill="1" applyBorder="1"/>
    <xf numFmtId="167" fontId="0" fillId="23" borderId="84" xfId="7" applyNumberFormat="1" applyFont="1" applyFill="1" applyBorder="1"/>
    <xf numFmtId="167" fontId="0" fillId="0" borderId="0" xfId="0" applyNumberFormat="1" applyProtection="1">
      <protection locked="0"/>
    </xf>
    <xf numFmtId="167" fontId="0" fillId="0" borderId="10" xfId="0" applyNumberFormat="1" applyBorder="1" applyProtection="1">
      <protection locked="0"/>
    </xf>
    <xf numFmtId="167" fontId="0" fillId="0" borderId="1" xfId="0" applyNumberFormat="1" applyBorder="1" applyProtection="1">
      <protection locked="0"/>
    </xf>
    <xf numFmtId="167" fontId="47" fillId="0" borderId="1" xfId="0" applyNumberFormat="1" applyFont="1" applyBorder="1" applyProtection="1">
      <protection locked="0"/>
    </xf>
    <xf numFmtId="14" fontId="47" fillId="0" borderId="1" xfId="0" applyNumberFormat="1" applyFont="1" applyBorder="1" applyProtection="1">
      <protection locked="0"/>
    </xf>
    <xf numFmtId="9" fontId="0" fillId="0" borderId="1" xfId="1" applyFont="1" applyBorder="1" applyAlignment="1" applyProtection="1">
      <alignment horizontal="center"/>
      <protection locked="0"/>
    </xf>
    <xf numFmtId="167" fontId="0" fillId="0" borderId="11" xfId="0" applyNumberFormat="1" applyBorder="1" applyProtection="1">
      <protection locked="0"/>
    </xf>
    <xf numFmtId="167" fontId="0" fillId="23" borderId="1" xfId="0" applyNumberFormat="1" applyFill="1" applyBorder="1" applyProtection="1">
      <protection locked="0"/>
    </xf>
    <xf numFmtId="9" fontId="0" fillId="23" borderId="1" xfId="1" applyFont="1" applyFill="1" applyBorder="1" applyAlignment="1" applyProtection="1">
      <alignment horizontal="center"/>
      <protection locked="0"/>
    </xf>
    <xf numFmtId="167" fontId="0" fillId="0" borderId="83" xfId="0" applyNumberFormat="1" applyBorder="1" applyProtection="1">
      <protection locked="0"/>
    </xf>
    <xf numFmtId="167" fontId="0" fillId="0" borderId="84" xfId="0" applyNumberFormat="1" applyBorder="1" applyProtection="1">
      <protection locked="0"/>
    </xf>
    <xf numFmtId="167" fontId="0" fillId="23" borderId="84" xfId="0" applyNumberFormat="1" applyFill="1" applyBorder="1" applyProtection="1">
      <protection locked="0"/>
    </xf>
    <xf numFmtId="167" fontId="47" fillId="0" borderId="84" xfId="0" applyNumberFormat="1" applyFont="1" applyBorder="1" applyProtection="1">
      <protection locked="0"/>
    </xf>
    <xf numFmtId="9" fontId="0" fillId="0" borderId="84" xfId="1" applyFont="1" applyBorder="1" applyAlignment="1" applyProtection="1">
      <alignment horizontal="center"/>
      <protection locked="0"/>
    </xf>
    <xf numFmtId="9" fontId="0" fillId="23" borderId="84" xfId="1" applyFont="1" applyFill="1" applyBorder="1" applyAlignment="1" applyProtection="1">
      <alignment horizontal="center"/>
      <protection locked="0"/>
    </xf>
    <xf numFmtId="167" fontId="0" fillId="0" borderId="16" xfId="0" applyNumberFormat="1" applyBorder="1" applyProtection="1">
      <protection locked="0"/>
    </xf>
    <xf numFmtId="0" fontId="0" fillId="0" borderId="0" xfId="0" applyAlignment="1" applyProtection="1">
      <alignment horizontal="left"/>
      <protection locked="0"/>
    </xf>
    <xf numFmtId="0" fontId="39" fillId="31" borderId="85" xfId="0" applyFont="1" applyFill="1" applyBorder="1"/>
    <xf numFmtId="0" fontId="39" fillId="0" borderId="85" xfId="0" applyFont="1" applyBorder="1"/>
    <xf numFmtId="0" fontId="16" fillId="0" borderId="0" xfId="0" applyFont="1" applyAlignment="1">
      <alignment wrapText="1"/>
    </xf>
    <xf numFmtId="166" fontId="48" fillId="26" borderId="70" xfId="0" applyNumberFormat="1" applyFont="1" applyFill="1" applyBorder="1" applyAlignment="1" applyProtection="1">
      <alignment horizontal="center" vertical="center"/>
      <protection locked="0"/>
    </xf>
    <xf numFmtId="9" fontId="48" fillId="26" borderId="70" xfId="0" applyNumberFormat="1" applyFont="1" applyFill="1" applyBorder="1" applyAlignment="1" applyProtection="1">
      <alignment horizontal="center" vertical="center"/>
      <protection locked="0"/>
    </xf>
    <xf numFmtId="0" fontId="6" fillId="0" borderId="0" xfId="0" applyFont="1" applyAlignment="1">
      <alignment horizontal="right" vertical="center"/>
    </xf>
    <xf numFmtId="0" fontId="54" fillId="23" borderId="0" xfId="2" applyFont="1" applyFill="1" applyBorder="1" applyAlignment="1">
      <alignment horizontal="center"/>
    </xf>
    <xf numFmtId="0" fontId="68" fillId="23" borderId="7" xfId="6" applyFill="1" applyBorder="1" applyAlignment="1">
      <alignment horizontal="left" vertical="top" wrapText="1"/>
    </xf>
    <xf numFmtId="0" fontId="0" fillId="23" borderId="82" xfId="0" applyFill="1" applyBorder="1" applyAlignment="1">
      <alignment vertical="top" wrapText="1"/>
    </xf>
    <xf numFmtId="166" fontId="15" fillId="13" borderId="5" xfId="3" applyNumberFormat="1" applyBorder="1" applyAlignment="1" applyProtection="1">
      <alignment horizontal="center"/>
      <protection locked="0"/>
    </xf>
    <xf numFmtId="10" fontId="15" fillId="13" borderId="5" xfId="1" applyNumberFormat="1" applyFont="1" applyFill="1" applyBorder="1" applyAlignment="1" applyProtection="1">
      <alignment horizontal="center"/>
      <protection locked="0"/>
    </xf>
    <xf numFmtId="0" fontId="0" fillId="2" borderId="1" xfId="0" applyFill="1" applyBorder="1" applyAlignment="1">
      <alignment horizontal="center" vertical="top" wrapText="1"/>
    </xf>
    <xf numFmtId="0" fontId="0" fillId="2" borderId="2" xfId="0" applyFill="1" applyBorder="1" applyAlignment="1">
      <alignment horizontal="left" vertical="top" wrapText="1"/>
    </xf>
    <xf numFmtId="0" fontId="0" fillId="2" borderId="3" xfId="0" applyFill="1" applyBorder="1" applyAlignment="1">
      <alignment vertical="top" wrapText="1"/>
    </xf>
    <xf numFmtId="0" fontId="0" fillId="0" borderId="0" xfId="0" applyAlignment="1">
      <alignment wrapText="1"/>
    </xf>
    <xf numFmtId="0" fontId="57" fillId="32" borderId="0" xfId="8" applyAlignment="1">
      <alignment horizontal="center" vertical="center"/>
    </xf>
    <xf numFmtId="0" fontId="7" fillId="0" borderId="0" xfId="0" applyFont="1" applyAlignment="1">
      <alignment horizontal="left" vertical="center" wrapText="1"/>
    </xf>
    <xf numFmtId="0" fontId="7" fillId="17" borderId="34" xfId="0" applyFont="1" applyFill="1" applyBorder="1" applyAlignment="1">
      <alignment horizontal="left" vertical="center" wrapText="1"/>
    </xf>
    <xf numFmtId="0" fontId="0" fillId="0" borderId="0" xfId="0" applyAlignment="1">
      <alignment horizontal="left" wrapText="1"/>
    </xf>
    <xf numFmtId="0" fontId="7" fillId="17" borderId="0" xfId="0" applyFont="1" applyFill="1" applyAlignment="1">
      <alignment horizontal="left" vertical="center" wrapText="1"/>
    </xf>
    <xf numFmtId="0" fontId="0" fillId="0" borderId="1" xfId="0" applyFill="1" applyBorder="1" applyAlignment="1">
      <alignment horizontal="center" vertical="top" wrapText="1"/>
    </xf>
    <xf numFmtId="0" fontId="0" fillId="0" borderId="7" xfId="0" applyBorder="1" applyAlignment="1">
      <alignment horizontal="left" vertical="top" wrapText="1"/>
    </xf>
    <xf numFmtId="0" fontId="0" fillId="0" borderId="69" xfId="0" applyBorder="1" applyAlignment="1">
      <alignment vertical="top" wrapText="1"/>
    </xf>
    <xf numFmtId="0" fontId="0" fillId="0" borderId="82" xfId="0" applyBorder="1" applyAlignment="1">
      <alignment vertical="top" wrapText="1"/>
    </xf>
    <xf numFmtId="0" fontId="58" fillId="0" borderId="21" xfId="0" applyFont="1" applyBorder="1" applyAlignment="1">
      <alignment horizontal="center" vertical="top" wrapText="1"/>
    </xf>
    <xf numFmtId="0" fontId="0" fillId="0" borderId="2" xfId="0" applyFont="1" applyBorder="1" applyAlignment="1">
      <alignment horizontal="left" vertical="top" wrapText="1"/>
    </xf>
    <xf numFmtId="0" fontId="0" fillId="25" borderId="0" xfId="0" applyFill="1" applyAlignment="1">
      <alignment horizontal="right" vertical="center" wrapText="1"/>
    </xf>
    <xf numFmtId="0" fontId="15" fillId="13" borderId="0" xfId="3" applyAlignment="1" applyProtection="1">
      <alignment horizontal="center" vertical="center"/>
    </xf>
    <xf numFmtId="0" fontId="7" fillId="0" borderId="0" xfId="0" applyFont="1" applyAlignment="1" applyProtection="1">
      <alignment horizontal="center" vertical="center"/>
    </xf>
    <xf numFmtId="0" fontId="7" fillId="18" borderId="0" xfId="0" applyFont="1" applyFill="1" applyAlignment="1" applyProtection="1">
      <alignment horizontal="center" vertical="center"/>
    </xf>
    <xf numFmtId="0" fontId="27" fillId="13" borderId="0" xfId="3" applyFont="1" applyAlignment="1" applyProtection="1">
      <alignment vertical="center"/>
    </xf>
    <xf numFmtId="0" fontId="7" fillId="0" borderId="0" xfId="0" applyFont="1" applyAlignment="1" applyProtection="1">
      <alignment horizontal="left" vertical="center"/>
    </xf>
    <xf numFmtId="0" fontId="7" fillId="0" borderId="0" xfId="0" applyFont="1" applyAlignment="1" applyProtection="1">
      <alignment horizontal="right" vertical="center"/>
    </xf>
    <xf numFmtId="0" fontId="15" fillId="13" borderId="0" xfId="3" applyAlignment="1" applyProtection="1">
      <alignment horizontal="right" vertical="center"/>
    </xf>
    <xf numFmtId="0" fontId="0" fillId="0" borderId="0" xfId="0" applyProtection="1"/>
    <xf numFmtId="0" fontId="28" fillId="0" borderId="0" xfId="0" applyFont="1" applyAlignment="1" applyProtection="1">
      <alignment horizontal="center" vertical="center"/>
    </xf>
    <xf numFmtId="167" fontId="7" fillId="15" borderId="10" xfId="0" applyNumberFormat="1" applyFont="1" applyFill="1" applyBorder="1" applyAlignment="1" applyProtection="1">
      <alignment horizontal="center" vertical="center" wrapText="1"/>
    </xf>
    <xf numFmtId="167" fontId="7" fillId="15" borderId="1" xfId="0" applyNumberFormat="1" applyFont="1" applyFill="1" applyBorder="1" applyAlignment="1" applyProtection="1">
      <alignment horizontal="center" vertical="center" wrapText="1"/>
    </xf>
    <xf numFmtId="167" fontId="7" fillId="15" borderId="11" xfId="0" applyNumberFormat="1" applyFont="1" applyFill="1" applyBorder="1" applyAlignment="1" applyProtection="1">
      <alignment horizontal="center" vertical="center" wrapText="1"/>
    </xf>
    <xf numFmtId="0" fontId="7" fillId="17" borderId="34" xfId="0" applyFont="1" applyFill="1" applyBorder="1" applyAlignment="1" applyProtection="1">
      <alignment horizontal="center" vertical="center"/>
    </xf>
    <xf numFmtId="0" fontId="7" fillId="18" borderId="34" xfId="0" applyFont="1" applyFill="1" applyBorder="1" applyAlignment="1" applyProtection="1">
      <alignment horizontal="center" vertical="center"/>
    </xf>
    <xf numFmtId="0" fontId="7" fillId="17" borderId="37" xfId="0" applyFont="1" applyFill="1" applyBorder="1" applyAlignment="1" applyProtection="1">
      <alignment horizontal="center" vertical="center"/>
    </xf>
    <xf numFmtId="0" fontId="0" fillId="17" borderId="37" xfId="0" applyFill="1" applyBorder="1" applyAlignment="1" applyProtection="1">
      <alignment horizontal="center" vertical="center"/>
    </xf>
    <xf numFmtId="0" fontId="7" fillId="17" borderId="37" xfId="0" applyFont="1" applyFill="1" applyBorder="1" applyAlignment="1" applyProtection="1">
      <alignment horizontal="left" vertical="center"/>
    </xf>
    <xf numFmtId="167" fontId="38" fillId="17" borderId="15" xfId="0" applyNumberFormat="1" applyFont="1" applyFill="1" applyBorder="1" applyAlignment="1" applyProtection="1">
      <alignment horizontal="center" vertical="center" wrapText="1"/>
    </xf>
    <xf numFmtId="167" fontId="38" fillId="17" borderId="0" xfId="0" applyNumberFormat="1" applyFont="1" applyFill="1" applyAlignment="1" applyProtection="1">
      <alignment horizontal="right" vertical="center" wrapText="1"/>
    </xf>
    <xf numFmtId="167" fontId="38" fillId="17" borderId="22" xfId="0" applyNumberFormat="1" applyFont="1" applyFill="1" applyBorder="1" applyAlignment="1" applyProtection="1">
      <alignment horizontal="right" vertical="center" wrapText="1"/>
    </xf>
    <xf numFmtId="0" fontId="0" fillId="18" borderId="0" xfId="0" applyFill="1" applyProtection="1"/>
    <xf numFmtId="0" fontId="7" fillId="17" borderId="0" xfId="0" applyFont="1" applyFill="1" applyAlignment="1" applyProtection="1">
      <alignment horizontal="center" vertical="center"/>
    </xf>
    <xf numFmtId="0" fontId="0" fillId="17" borderId="0" xfId="0" applyFill="1" applyAlignment="1" applyProtection="1">
      <alignment horizontal="center" vertical="center"/>
    </xf>
    <xf numFmtId="0" fontId="7" fillId="17" borderId="0" xfId="0" applyFont="1" applyFill="1" applyAlignment="1" applyProtection="1">
      <alignment horizontal="left" vertical="center"/>
    </xf>
    <xf numFmtId="0" fontId="37" fillId="23" borderId="38" xfId="0" applyFont="1" applyFill="1" applyBorder="1" applyAlignment="1" applyProtection="1">
      <alignment horizontal="center" vertical="center"/>
    </xf>
    <xf numFmtId="0" fontId="9" fillId="0" borderId="28" xfId="0" applyFont="1" applyBorder="1" applyAlignment="1" applyProtection="1">
      <alignment horizontal="left" vertical="center"/>
    </xf>
    <xf numFmtId="2" fontId="7" fillId="0" borderId="0" xfId="0" applyNumberFormat="1" applyFont="1" applyAlignment="1" applyProtection="1">
      <alignment horizontal="center" vertical="center"/>
    </xf>
    <xf numFmtId="0" fontId="23" fillId="0" borderId="15" xfId="0" applyFont="1" applyBorder="1" applyAlignment="1" applyProtection="1">
      <alignment horizontal="left" vertical="center"/>
    </xf>
    <xf numFmtId="0" fontId="23" fillId="0" borderId="2" xfId="0" applyFont="1" applyBorder="1" applyAlignment="1" applyProtection="1">
      <alignment horizontal="left" vertical="center"/>
    </xf>
    <xf numFmtId="0" fontId="23" fillId="0" borderId="5" xfId="0" applyFont="1" applyBorder="1" applyAlignment="1" applyProtection="1">
      <alignment horizontal="left" vertical="center"/>
    </xf>
    <xf numFmtId="0" fontId="9" fillId="0" borderId="15" xfId="0" applyFont="1" applyBorder="1" applyAlignment="1" applyProtection="1">
      <alignment horizontal="left" vertical="center"/>
    </xf>
    <xf numFmtId="0" fontId="9" fillId="0" borderId="30" xfId="0" applyFont="1" applyBorder="1" applyAlignment="1" applyProtection="1">
      <alignment horizontal="left" vertical="center"/>
    </xf>
    <xf numFmtId="0" fontId="24" fillId="0" borderId="31" xfId="0" applyFont="1" applyBorder="1" applyAlignment="1" applyProtection="1">
      <alignment horizontal="left" vertical="center"/>
    </xf>
    <xf numFmtId="0" fontId="24" fillId="0" borderId="5" xfId="0" applyFont="1" applyBorder="1" applyAlignment="1" applyProtection="1">
      <alignment horizontal="left" vertical="center"/>
    </xf>
    <xf numFmtId="0" fontId="25" fillId="0" borderId="5" xfId="0" applyFont="1" applyBorder="1" applyAlignment="1" applyProtection="1">
      <alignment horizontal="left" vertical="center"/>
    </xf>
    <xf numFmtId="0" fontId="9" fillId="0" borderId="31" xfId="0" applyFont="1" applyBorder="1" applyAlignment="1" applyProtection="1">
      <alignment horizontal="left" vertical="center"/>
    </xf>
    <xf numFmtId="0" fontId="9" fillId="0" borderId="32" xfId="0" applyFont="1" applyBorder="1" applyAlignment="1" applyProtection="1">
      <alignment horizontal="left" vertical="center"/>
    </xf>
    <xf numFmtId="0" fontId="24" fillId="0" borderId="10" xfId="0" applyFont="1" applyBorder="1" applyAlignment="1" applyProtection="1">
      <alignment horizontal="left" vertical="center"/>
    </xf>
    <xf numFmtId="0" fontId="23" fillId="0" borderId="27" xfId="0" applyFont="1" applyBorder="1" applyAlignment="1" applyProtection="1">
      <alignment horizontal="left" vertical="center"/>
    </xf>
    <xf numFmtId="0" fontId="9" fillId="0" borderId="27" xfId="0" applyFont="1" applyBorder="1" applyAlignment="1" applyProtection="1">
      <alignment horizontal="left" vertical="center"/>
    </xf>
    <xf numFmtId="167" fontId="7" fillId="0" borderId="0" xfId="0" applyNumberFormat="1" applyFont="1" applyAlignment="1" applyProtection="1">
      <alignment horizontal="center" vertical="center"/>
    </xf>
    <xf numFmtId="167" fontId="7" fillId="0" borderId="0" xfId="0" applyNumberFormat="1" applyFont="1" applyAlignment="1" applyProtection="1">
      <alignment horizontal="right" vertical="center"/>
    </xf>
    <xf numFmtId="167" fontId="11" fillId="16" borderId="0" xfId="0" applyNumberFormat="1" applyFont="1" applyFill="1" applyAlignment="1" applyProtection="1">
      <alignment horizontal="right" vertical="center"/>
    </xf>
    <xf numFmtId="0" fontId="2" fillId="0" borderId="0" xfId="0" applyFont="1" applyAlignment="1">
      <alignment horizontal="left"/>
    </xf>
    <xf numFmtId="0" fontId="17" fillId="14" borderId="24" xfId="2" applyFont="1" applyFill="1" applyAlignment="1">
      <alignment horizontal="left"/>
    </xf>
    <xf numFmtId="0" fontId="13" fillId="3" borderId="6" xfId="0" applyFont="1" applyFill="1" applyBorder="1" applyAlignment="1">
      <alignment horizontal="left"/>
    </xf>
    <xf numFmtId="0" fontId="34" fillId="9" borderId="24" xfId="2" applyFont="1" applyFill="1" applyAlignment="1">
      <alignment horizontal="left" vertical="center"/>
    </xf>
    <xf numFmtId="0" fontId="0" fillId="14" borderId="0" xfId="0" applyFill="1" applyAlignment="1">
      <alignment wrapText="1"/>
    </xf>
    <xf numFmtId="167" fontId="11" fillId="16" borderId="88" xfId="0" applyNumberFormat="1" applyFont="1" applyFill="1" applyBorder="1" applyAlignment="1">
      <alignment horizontal="right" vertical="center"/>
    </xf>
    <xf numFmtId="167" fontId="11" fillId="17" borderId="89" xfId="0" applyNumberFormat="1" applyFont="1" applyFill="1" applyBorder="1" applyAlignment="1">
      <alignment horizontal="right" vertical="center"/>
    </xf>
    <xf numFmtId="167" fontId="11" fillId="16" borderId="88" xfId="0" applyNumberFormat="1" applyFont="1" applyFill="1" applyBorder="1" applyAlignment="1" applyProtection="1">
      <alignment horizontal="right" vertical="center"/>
    </xf>
    <xf numFmtId="167" fontId="11" fillId="17" borderId="89" xfId="0" applyNumberFormat="1" applyFont="1" applyFill="1" applyBorder="1" applyAlignment="1" applyProtection="1">
      <alignment horizontal="right" vertical="center"/>
    </xf>
    <xf numFmtId="0" fontId="11" fillId="16" borderId="64" xfId="0" applyFont="1" applyFill="1" applyBorder="1" applyAlignment="1">
      <alignment horizontal="right" vertical="center"/>
    </xf>
    <xf numFmtId="0" fontId="60" fillId="33" borderId="0" xfId="9"/>
    <xf numFmtId="0" fontId="57" fillId="32" borderId="0" xfId="8"/>
    <xf numFmtId="0" fontId="62" fillId="23" borderId="0" xfId="0" applyFont="1" applyFill="1" applyAlignment="1">
      <alignment horizontal="center"/>
    </xf>
    <xf numFmtId="167" fontId="3" fillId="0" borderId="12" xfId="0" applyNumberFormat="1" applyFont="1" applyBorder="1"/>
    <xf numFmtId="167" fontId="0" fillId="0" borderId="2" xfId="0" applyNumberFormat="1" applyBorder="1" applyAlignment="1">
      <alignment horizontal="right"/>
    </xf>
    <xf numFmtId="0" fontId="19" fillId="0" borderId="29" xfId="0" applyFont="1" applyBorder="1" applyAlignment="1">
      <alignment horizontal="left" vertical="top" wrapText="1"/>
    </xf>
    <xf numFmtId="0" fontId="61" fillId="33" borderId="0" xfId="9" applyFont="1" applyAlignment="1" applyProtection="1">
      <alignment horizontal="left"/>
      <protection locked="0"/>
    </xf>
    <xf numFmtId="22" fontId="61" fillId="33" borderId="0" xfId="9" applyNumberFormat="1" applyFont="1" applyAlignment="1" applyProtection="1">
      <alignment horizontal="left"/>
      <protection locked="0"/>
    </xf>
    <xf numFmtId="168" fontId="61" fillId="33" borderId="0" xfId="9" applyNumberFormat="1" applyFont="1" applyAlignment="1" applyProtection="1">
      <alignment horizontal="left"/>
      <protection locked="0"/>
    </xf>
    <xf numFmtId="0" fontId="60" fillId="33" borderId="0" xfId="9" applyProtection="1">
      <protection locked="0"/>
    </xf>
    <xf numFmtId="167" fontId="0" fillId="0" borderId="72" xfId="0" applyNumberFormat="1" applyFill="1" applyBorder="1"/>
    <xf numFmtId="0" fontId="64" fillId="7" borderId="12" xfId="0" applyFont="1" applyFill="1" applyBorder="1" applyAlignment="1">
      <alignment horizontal="center" vertical="center"/>
    </xf>
    <xf numFmtId="0" fontId="65" fillId="0" borderId="0" xfId="0" applyFont="1"/>
    <xf numFmtId="0" fontId="64" fillId="7" borderId="12" xfId="0" applyFont="1" applyFill="1" applyBorder="1" applyAlignment="1">
      <alignment horizontal="left" vertical="center"/>
    </xf>
    <xf numFmtId="0" fontId="66" fillId="34" borderId="92" xfId="0" applyFont="1" applyFill="1" applyBorder="1" applyAlignment="1">
      <alignment horizontal="center" vertical="center"/>
    </xf>
    <xf numFmtId="0" fontId="65" fillId="0" borderId="93" xfId="0" applyFont="1" applyBorder="1" applyAlignment="1">
      <alignment horizontal="left" vertical="top" wrapText="1"/>
    </xf>
    <xf numFmtId="0" fontId="65" fillId="0" borderId="93" xfId="0" applyFont="1" applyBorder="1"/>
    <xf numFmtId="0" fontId="65" fillId="0" borderId="93" xfId="0" applyFont="1" applyBorder="1" applyAlignment="1">
      <alignment horizontal="center" vertical="top" wrapText="1"/>
    </xf>
    <xf numFmtId="0" fontId="65" fillId="0" borderId="93" xfId="0" applyFont="1" applyBorder="1" applyAlignment="1">
      <alignment horizontal="left" vertical="center"/>
    </xf>
    <xf numFmtId="0" fontId="65" fillId="0" borderId="93" xfId="0" applyFont="1" applyBorder="1" applyAlignment="1">
      <alignment horizontal="center" vertical="center" wrapText="1"/>
    </xf>
    <xf numFmtId="0" fontId="66" fillId="34" borderId="94" xfId="0" applyFont="1" applyFill="1" applyBorder="1" applyAlignment="1">
      <alignment horizontal="center" vertical="center"/>
    </xf>
    <xf numFmtId="0" fontId="67" fillId="0" borderId="93" xfId="0" applyFont="1" applyBorder="1" applyAlignment="1">
      <alignment vertical="top" wrapText="1"/>
    </xf>
    <xf numFmtId="0" fontId="65" fillId="0" borderId="93" xfId="0" applyFont="1" applyBorder="1" applyAlignment="1">
      <alignment vertical="top" wrapText="1"/>
    </xf>
    <xf numFmtId="0" fontId="65" fillId="0" borderId="93" xfId="0" applyFont="1" applyBorder="1" applyAlignment="1">
      <alignment horizontal="left" vertical="center" wrapText="1"/>
    </xf>
    <xf numFmtId="0" fontId="67" fillId="0" borderId="93" xfId="0" applyFont="1" applyBorder="1" applyAlignment="1">
      <alignment horizontal="left" vertical="center" wrapText="1"/>
    </xf>
    <xf numFmtId="0" fontId="66" fillId="34" borderId="95" xfId="0" applyFont="1" applyFill="1" applyBorder="1" applyAlignment="1">
      <alignment horizontal="center" vertical="center"/>
    </xf>
    <xf numFmtId="0" fontId="65" fillId="0" borderId="0" xfId="0" applyFont="1" applyAlignment="1">
      <alignment horizontal="center" vertical="center"/>
    </xf>
    <xf numFmtId="0" fontId="65" fillId="0" borderId="0" xfId="0" applyFont="1" applyAlignment="1">
      <alignment horizontal="left" vertical="center"/>
    </xf>
    <xf numFmtId="165" fontId="0" fillId="0" borderId="1" xfId="0" applyNumberFormat="1" applyBorder="1"/>
    <xf numFmtId="4" fontId="7" fillId="0" borderId="0" xfId="0" applyNumberFormat="1" applyFont="1" applyAlignment="1">
      <alignment horizontal="center" vertical="center"/>
    </xf>
    <xf numFmtId="165" fontId="52" fillId="19" borderId="56" xfId="0" applyNumberFormat="1" applyFont="1" applyFill="1" applyBorder="1" applyAlignment="1">
      <alignment horizontal="center" vertical="center"/>
    </xf>
    <xf numFmtId="165" fontId="10" fillId="19" borderId="57" xfId="0" applyNumberFormat="1" applyFont="1" applyFill="1" applyBorder="1" applyAlignment="1">
      <alignment horizontal="right" vertical="center"/>
    </xf>
    <xf numFmtId="165" fontId="10" fillId="19" borderId="90" xfId="0" applyNumberFormat="1" applyFont="1" applyFill="1" applyBorder="1" applyAlignment="1">
      <alignment horizontal="right" vertical="center"/>
    </xf>
    <xf numFmtId="165" fontId="7" fillId="17" borderId="15" xfId="0" applyNumberFormat="1" applyFont="1" applyFill="1" applyBorder="1" applyAlignment="1">
      <alignment horizontal="center" vertical="center" wrapText="1"/>
    </xf>
    <xf numFmtId="165" fontId="7" fillId="17" borderId="0" xfId="0" applyNumberFormat="1" applyFont="1" applyFill="1" applyAlignment="1">
      <alignment horizontal="right" vertical="center" wrapText="1"/>
    </xf>
    <xf numFmtId="165" fontId="7" fillId="17" borderId="22" xfId="0" applyNumberFormat="1" applyFont="1" applyFill="1" applyBorder="1" applyAlignment="1">
      <alignment horizontal="right" vertical="center" wrapText="1"/>
    </xf>
    <xf numFmtId="165" fontId="11" fillId="17" borderId="91" xfId="0" applyNumberFormat="1" applyFont="1" applyFill="1" applyBorder="1" applyAlignment="1">
      <alignment horizontal="right" vertical="center"/>
    </xf>
    <xf numFmtId="165" fontId="7" fillId="14" borderId="40" xfId="0" applyNumberFormat="1" applyFont="1" applyFill="1" applyBorder="1" applyAlignment="1">
      <alignment horizontal="center" vertical="center"/>
    </xf>
    <xf numFmtId="165" fontId="7" fillId="14" borderId="41" xfId="0" applyNumberFormat="1" applyFont="1" applyFill="1" applyBorder="1" applyAlignment="1">
      <alignment horizontal="right" vertical="center"/>
    </xf>
    <xf numFmtId="165" fontId="7" fillId="14" borderId="42" xfId="0" applyNumberFormat="1" applyFont="1" applyFill="1" applyBorder="1" applyAlignment="1">
      <alignment horizontal="right" vertical="center"/>
    </xf>
    <xf numFmtId="165" fontId="11" fillId="14" borderId="43" xfId="0" applyNumberFormat="1" applyFont="1" applyFill="1" applyBorder="1" applyAlignment="1">
      <alignment horizontal="right" vertical="center"/>
    </xf>
    <xf numFmtId="165" fontId="51" fillId="18" borderId="10" xfId="0" applyNumberFormat="1" applyFont="1" applyFill="1" applyBorder="1" applyAlignment="1">
      <alignment horizontal="center" vertical="center"/>
    </xf>
    <xf numFmtId="165" fontId="11" fillId="18" borderId="1" xfId="0" applyNumberFormat="1" applyFont="1" applyFill="1" applyBorder="1" applyAlignment="1">
      <alignment horizontal="right" vertical="center"/>
    </xf>
    <xf numFmtId="165" fontId="11" fillId="18" borderId="11" xfId="0" applyNumberFormat="1" applyFont="1" applyFill="1" applyBorder="1" applyAlignment="1">
      <alignment horizontal="right" vertical="center"/>
    </xf>
    <xf numFmtId="165" fontId="11" fillId="18" borderId="45" xfId="0" applyNumberFormat="1" applyFont="1" applyFill="1" applyBorder="1" applyAlignment="1">
      <alignment horizontal="right" vertical="center"/>
    </xf>
    <xf numFmtId="165" fontId="50" fillId="0" borderId="10" xfId="0" applyNumberFormat="1" applyFont="1" applyBorder="1" applyAlignment="1">
      <alignment horizontal="center" vertical="center"/>
    </xf>
    <xf numFmtId="165" fontId="11" fillId="0" borderId="1" xfId="0" applyNumberFormat="1" applyFont="1" applyBorder="1" applyAlignment="1">
      <alignment horizontal="right" vertical="center"/>
    </xf>
    <xf numFmtId="165" fontId="11" fillId="0" borderId="11" xfId="0" applyNumberFormat="1" applyFont="1" applyBorder="1" applyAlignment="1">
      <alignment horizontal="right" vertical="center"/>
    </xf>
    <xf numFmtId="165" fontId="11" fillId="16" borderId="45" xfId="0" applyNumberFormat="1" applyFont="1" applyFill="1" applyBorder="1" applyAlignment="1">
      <alignment horizontal="right" vertical="center"/>
    </xf>
    <xf numFmtId="165" fontId="7" fillId="0" borderId="10" xfId="0" applyNumberFormat="1" applyFont="1" applyBorder="1" applyAlignment="1" applyProtection="1">
      <alignment horizontal="center" vertical="center"/>
      <protection locked="0"/>
    </xf>
    <xf numFmtId="165" fontId="7" fillId="0" borderId="1" xfId="0" applyNumberFormat="1" applyFont="1" applyBorder="1" applyAlignment="1" applyProtection="1">
      <alignment horizontal="right" vertical="center"/>
      <protection locked="0"/>
    </xf>
    <xf numFmtId="165" fontId="7" fillId="0" borderId="11" xfId="0" applyNumberFormat="1" applyFont="1" applyBorder="1" applyAlignment="1">
      <alignment horizontal="right" vertical="center"/>
    </xf>
    <xf numFmtId="165" fontId="11" fillId="0" borderId="10" xfId="0" applyNumberFormat="1" applyFont="1" applyBorder="1" applyAlignment="1" applyProtection="1">
      <alignment horizontal="center" vertical="center"/>
      <protection locked="0"/>
    </xf>
    <xf numFmtId="165" fontId="11" fillId="0" borderId="1" xfId="0" applyNumberFormat="1" applyFont="1" applyBorder="1" applyAlignment="1" applyProtection="1">
      <alignment horizontal="right" vertical="center"/>
      <protection locked="0"/>
    </xf>
    <xf numFmtId="165" fontId="11" fillId="18" borderId="10" xfId="0" applyNumberFormat="1" applyFont="1" applyFill="1" applyBorder="1" applyAlignment="1" applyProtection="1">
      <alignment horizontal="center" vertical="center"/>
      <protection locked="0"/>
    </xf>
    <xf numFmtId="165" fontId="11" fillId="18" borderId="1" xfId="0" applyNumberFormat="1" applyFont="1" applyFill="1" applyBorder="1" applyAlignment="1" applyProtection="1">
      <alignment horizontal="right" vertical="center"/>
      <protection locked="0"/>
    </xf>
    <xf numFmtId="165" fontId="11" fillId="0" borderId="10" xfId="0" applyNumberFormat="1" applyFont="1" applyBorder="1" applyAlignment="1">
      <alignment horizontal="center" vertical="center"/>
    </xf>
    <xf numFmtId="165" fontId="49" fillId="8" borderId="10" xfId="0" applyNumberFormat="1" applyFont="1" applyFill="1" applyBorder="1" applyAlignment="1">
      <alignment horizontal="center" vertical="center"/>
    </xf>
    <xf numFmtId="165" fontId="29" fillId="8" borderId="1" xfId="0" applyNumberFormat="1" applyFont="1" applyFill="1" applyBorder="1" applyAlignment="1">
      <alignment horizontal="right" vertical="center"/>
    </xf>
    <xf numFmtId="165" fontId="29" fillId="8" borderId="11" xfId="0" applyNumberFormat="1" applyFont="1" applyFill="1" applyBorder="1" applyAlignment="1">
      <alignment horizontal="right" vertical="center"/>
    </xf>
    <xf numFmtId="165" fontId="32" fillId="8" borderId="45" xfId="0" applyNumberFormat="1" applyFont="1" applyFill="1" applyBorder="1" applyAlignment="1">
      <alignment horizontal="right" vertical="center"/>
    </xf>
    <xf numFmtId="165" fontId="7" fillId="0" borderId="10" xfId="0" applyNumberFormat="1" applyFont="1" applyBorder="1" applyAlignment="1">
      <alignment horizontal="center" vertical="center"/>
    </xf>
    <xf numFmtId="165" fontId="7" fillId="0" borderId="1" xfId="0" applyNumberFormat="1" applyFont="1" applyBorder="1" applyAlignment="1">
      <alignment horizontal="right" vertical="center"/>
    </xf>
    <xf numFmtId="165" fontId="7" fillId="18" borderId="10" xfId="0" applyNumberFormat="1" applyFont="1" applyFill="1" applyBorder="1" applyAlignment="1">
      <alignment horizontal="center" vertical="center"/>
    </xf>
    <xf numFmtId="165" fontId="7" fillId="18" borderId="1" xfId="0" applyNumberFormat="1" applyFont="1" applyFill="1" applyBorder="1" applyAlignment="1">
      <alignment horizontal="right" vertical="center"/>
    </xf>
    <xf numFmtId="165" fontId="7" fillId="18" borderId="11" xfId="0" applyNumberFormat="1" applyFont="1" applyFill="1" applyBorder="1" applyAlignment="1">
      <alignment horizontal="right" vertical="center"/>
    </xf>
    <xf numFmtId="165" fontId="49" fillId="8" borderId="49" xfId="0" applyNumberFormat="1" applyFont="1" applyFill="1" applyBorder="1" applyAlignment="1">
      <alignment horizontal="center" vertical="center"/>
    </xf>
    <xf numFmtId="165" fontId="29" fillId="8" borderId="50" xfId="0" applyNumberFormat="1" applyFont="1" applyFill="1" applyBorder="1" applyAlignment="1">
      <alignment horizontal="right" vertical="center"/>
    </xf>
    <xf numFmtId="165" fontId="29" fillId="8" borderId="51" xfId="0" applyNumberFormat="1" applyFont="1" applyFill="1" applyBorder="1" applyAlignment="1">
      <alignment horizontal="right" vertical="center"/>
    </xf>
    <xf numFmtId="165" fontId="32" fillId="8" borderId="52" xfId="0" applyNumberFormat="1" applyFont="1" applyFill="1" applyBorder="1" applyAlignment="1">
      <alignment horizontal="right" vertical="center"/>
    </xf>
    <xf numFmtId="165" fontId="52" fillId="19" borderId="56" xfId="0" applyNumberFormat="1" applyFont="1" applyFill="1" applyBorder="1" applyAlignment="1" applyProtection="1">
      <alignment horizontal="center" vertical="center"/>
    </xf>
    <xf numFmtId="165" fontId="10" fillId="19" borderId="57" xfId="0" applyNumberFormat="1" applyFont="1" applyFill="1" applyBorder="1" applyAlignment="1" applyProtection="1">
      <alignment horizontal="right" vertical="center"/>
    </xf>
    <xf numFmtId="165" fontId="7" fillId="17" borderId="15" xfId="0" applyNumberFormat="1" applyFont="1" applyFill="1" applyBorder="1" applyAlignment="1" applyProtection="1">
      <alignment horizontal="center" vertical="center" wrapText="1"/>
    </xf>
    <xf numFmtId="165" fontId="7" fillId="17" borderId="0" xfId="0" applyNumberFormat="1" applyFont="1" applyFill="1" applyAlignment="1" applyProtection="1">
      <alignment horizontal="right" vertical="center" wrapText="1"/>
    </xf>
    <xf numFmtId="165" fontId="7" fillId="17" borderId="22" xfId="0" applyNumberFormat="1" applyFont="1" applyFill="1" applyBorder="1" applyAlignment="1" applyProtection="1">
      <alignment horizontal="right" vertical="center" wrapText="1"/>
    </xf>
    <xf numFmtId="165" fontId="11" fillId="17" borderId="91" xfId="0" applyNumberFormat="1" applyFont="1" applyFill="1" applyBorder="1" applyAlignment="1" applyProtection="1">
      <alignment horizontal="right" vertical="center"/>
    </xf>
    <xf numFmtId="165" fontId="7" fillId="14" borderId="40" xfId="0" applyNumberFormat="1" applyFont="1" applyFill="1" applyBorder="1" applyAlignment="1" applyProtection="1">
      <alignment horizontal="center" vertical="center"/>
    </xf>
    <xf numFmtId="165" fontId="7" fillId="14" borderId="41" xfId="0" applyNumberFormat="1" applyFont="1" applyFill="1" applyBorder="1" applyAlignment="1" applyProtection="1">
      <alignment horizontal="right" vertical="center"/>
    </xf>
    <xf numFmtId="165" fontId="7" fillId="14" borderId="42" xfId="0" applyNumberFormat="1" applyFont="1" applyFill="1" applyBorder="1" applyAlignment="1" applyProtection="1">
      <alignment horizontal="right" vertical="center"/>
    </xf>
    <xf numFmtId="165" fontId="11" fillId="14" borderId="43" xfId="0" applyNumberFormat="1" applyFont="1" applyFill="1" applyBorder="1" applyAlignment="1" applyProtection="1">
      <alignment horizontal="right" vertical="center"/>
    </xf>
    <xf numFmtId="165" fontId="51" fillId="18" borderId="10" xfId="0" applyNumberFormat="1" applyFont="1" applyFill="1" applyBorder="1" applyAlignment="1" applyProtection="1">
      <alignment horizontal="center" vertical="center"/>
    </xf>
    <xf numFmtId="165" fontId="11" fillId="18" borderId="1" xfId="0" applyNumberFormat="1" applyFont="1" applyFill="1" applyBorder="1" applyAlignment="1" applyProtection="1">
      <alignment horizontal="right" vertical="center"/>
    </xf>
    <xf numFmtId="165" fontId="11" fillId="18" borderId="11" xfId="0" applyNumberFormat="1" applyFont="1" applyFill="1" applyBorder="1" applyAlignment="1" applyProtection="1">
      <alignment horizontal="right" vertical="center"/>
    </xf>
    <xf numFmtId="165" fontId="11" fillId="18" borderId="45" xfId="0" applyNumberFormat="1" applyFont="1" applyFill="1" applyBorder="1" applyAlignment="1" applyProtection="1">
      <alignment horizontal="right" vertical="center"/>
    </xf>
    <xf numFmtId="165" fontId="50" fillId="0" borderId="10" xfId="0" applyNumberFormat="1" applyFont="1" applyBorder="1" applyAlignment="1" applyProtection="1">
      <alignment horizontal="center" vertical="center"/>
    </xf>
    <xf numFmtId="165" fontId="11" fillId="0" borderId="1" xfId="0" applyNumberFormat="1" applyFont="1" applyBorder="1" applyAlignment="1" applyProtection="1">
      <alignment horizontal="right" vertical="center"/>
    </xf>
    <xf numFmtId="165" fontId="11" fillId="0" borderId="11" xfId="0" applyNumberFormat="1" applyFont="1" applyBorder="1" applyAlignment="1" applyProtection="1">
      <alignment horizontal="right" vertical="center"/>
    </xf>
    <xf numFmtId="165" fontId="11" fillId="16" borderId="45" xfId="0" applyNumberFormat="1" applyFont="1" applyFill="1" applyBorder="1" applyAlignment="1" applyProtection="1">
      <alignment horizontal="right" vertical="center"/>
    </xf>
    <xf numFmtId="165" fontId="7" fillId="0" borderId="10" xfId="0" applyNumberFormat="1" applyFont="1" applyBorder="1" applyAlignment="1" applyProtection="1">
      <alignment horizontal="center" vertical="center"/>
    </xf>
    <xf numFmtId="165" fontId="7" fillId="0" borderId="1" xfId="0" applyNumberFormat="1" applyFont="1" applyBorder="1" applyAlignment="1" applyProtection="1">
      <alignment horizontal="right" vertical="center"/>
    </xf>
    <xf numFmtId="165" fontId="7" fillId="0" borderId="11" xfId="0" applyNumberFormat="1" applyFont="1" applyBorder="1" applyAlignment="1" applyProtection="1">
      <alignment horizontal="right" vertical="center"/>
    </xf>
    <xf numFmtId="165" fontId="11" fillId="0" borderId="10" xfId="0" applyNumberFormat="1" applyFont="1" applyBorder="1" applyAlignment="1" applyProtection="1">
      <alignment horizontal="center" vertical="center"/>
    </xf>
    <xf numFmtId="165" fontId="11" fillId="18" borderId="10" xfId="0" applyNumberFormat="1" applyFont="1" applyFill="1" applyBorder="1" applyAlignment="1" applyProtection="1">
      <alignment horizontal="center" vertical="center"/>
    </xf>
    <xf numFmtId="165" fontId="49" fillId="8" borderId="10" xfId="0" applyNumberFormat="1" applyFont="1" applyFill="1" applyBorder="1" applyAlignment="1" applyProtection="1">
      <alignment horizontal="center" vertical="center"/>
    </xf>
    <xf numFmtId="165" fontId="29" fillId="8" borderId="1" xfId="0" applyNumberFormat="1" applyFont="1" applyFill="1" applyBorder="1" applyAlignment="1" applyProtection="1">
      <alignment horizontal="right" vertical="center"/>
    </xf>
    <xf numFmtId="165" fontId="29" fillId="8" borderId="11" xfId="0" applyNumberFormat="1" applyFont="1" applyFill="1" applyBorder="1" applyAlignment="1" applyProtection="1">
      <alignment horizontal="right" vertical="center"/>
    </xf>
    <xf numFmtId="165" fontId="32" fillId="8" borderId="45" xfId="0" applyNumberFormat="1" applyFont="1" applyFill="1" applyBorder="1" applyAlignment="1" applyProtection="1">
      <alignment horizontal="right" vertical="center"/>
    </xf>
    <xf numFmtId="165" fontId="7" fillId="18" borderId="10" xfId="0" applyNumberFormat="1" applyFont="1" applyFill="1" applyBorder="1" applyAlignment="1" applyProtection="1">
      <alignment horizontal="center" vertical="center"/>
    </xf>
    <xf numFmtId="165" fontId="7" fillId="18" borderId="1" xfId="0" applyNumberFormat="1" applyFont="1" applyFill="1" applyBorder="1" applyAlignment="1" applyProtection="1">
      <alignment horizontal="right" vertical="center"/>
    </xf>
    <xf numFmtId="165" fontId="7" fillId="18" borderId="11" xfId="0" applyNumberFormat="1" applyFont="1" applyFill="1" applyBorder="1" applyAlignment="1" applyProtection="1">
      <alignment horizontal="right" vertical="center"/>
    </xf>
    <xf numFmtId="165" fontId="49" fillId="8" borderId="49" xfId="0" applyNumberFormat="1" applyFont="1" applyFill="1" applyBorder="1" applyAlignment="1" applyProtection="1">
      <alignment horizontal="center" vertical="center"/>
    </xf>
    <xf numFmtId="165" fontId="29" fillId="8" borderId="50" xfId="0" applyNumberFormat="1" applyFont="1" applyFill="1" applyBorder="1" applyAlignment="1" applyProtection="1">
      <alignment horizontal="right" vertical="center"/>
    </xf>
    <xf numFmtId="165" fontId="29" fillId="8" borderId="51" xfId="0" applyNumberFormat="1" applyFont="1" applyFill="1" applyBorder="1" applyAlignment="1" applyProtection="1">
      <alignment horizontal="right" vertical="center"/>
    </xf>
    <xf numFmtId="165" fontId="32" fillId="8" borderId="52" xfId="0" applyNumberFormat="1" applyFont="1" applyFill="1" applyBorder="1" applyAlignment="1" applyProtection="1">
      <alignment horizontal="right" vertical="center"/>
    </xf>
    <xf numFmtId="0" fontId="68" fillId="0" borderId="0" xfId="10" applyAlignment="1">
      <alignment horizontal="center" wrapText="1"/>
    </xf>
    <xf numFmtId="165" fontId="3" fillId="7" borderId="1" xfId="0" quotePrefix="1" applyNumberFormat="1" applyFont="1" applyFill="1" applyBorder="1"/>
    <xf numFmtId="165" fontId="3" fillId="0" borderId="1" xfId="0" applyNumberFormat="1" applyFont="1" applyBorder="1"/>
    <xf numFmtId="165" fontId="43" fillId="27" borderId="1" xfId="0" applyNumberFormat="1" applyFont="1" applyFill="1" applyBorder="1"/>
    <xf numFmtId="165" fontId="0" fillId="0" borderId="0" xfId="0" applyNumberFormat="1"/>
    <xf numFmtId="165" fontId="0" fillId="0" borderId="2" xfId="0" applyNumberFormat="1" applyBorder="1"/>
    <xf numFmtId="165" fontId="36" fillId="0" borderId="0" xfId="0" applyNumberFormat="1" applyFont="1" applyAlignment="1">
      <alignment horizontal="center"/>
    </xf>
    <xf numFmtId="165" fontId="0" fillId="14" borderId="0" xfId="0" applyNumberFormat="1" applyFill="1"/>
    <xf numFmtId="0" fontId="4" fillId="0" borderId="0" xfId="0" applyFont="1" applyAlignment="1">
      <alignment horizontal="center"/>
    </xf>
    <xf numFmtId="0" fontId="9" fillId="0" borderId="5" xfId="0" applyFont="1" applyBorder="1" applyAlignment="1">
      <alignment horizontal="left" vertical="center"/>
    </xf>
    <xf numFmtId="0" fontId="9" fillId="0" borderId="5" xfId="0" applyFont="1" applyBorder="1" applyAlignment="1">
      <alignment horizontal="left" vertical="center"/>
    </xf>
    <xf numFmtId="0" fontId="9" fillId="0" borderId="5" xfId="0" applyFont="1" applyBorder="1" applyAlignment="1">
      <alignment horizontal="left" vertical="center"/>
    </xf>
    <xf numFmtId="0" fontId="9" fillId="0" borderId="5" xfId="0" applyFont="1" applyBorder="1" applyAlignment="1" applyProtection="1">
      <alignment horizontal="left" vertical="center"/>
    </xf>
    <xf numFmtId="0" fontId="11" fillId="16" borderId="64" xfId="0" applyFont="1" applyFill="1" applyBorder="1" applyAlignment="1" applyProtection="1">
      <alignment horizontal="right" vertical="center"/>
    </xf>
    <xf numFmtId="165" fontId="10" fillId="19" borderId="90" xfId="0" applyNumberFormat="1" applyFont="1" applyFill="1" applyBorder="1" applyAlignment="1" applyProtection="1">
      <alignment horizontal="right" vertical="center"/>
    </xf>
    <xf numFmtId="0" fontId="0" fillId="0" borderId="0" xfId="0" applyProtection="1">
      <protection locked="0"/>
    </xf>
    <xf numFmtId="0" fontId="44" fillId="28" borderId="0" xfId="0" applyFont="1" applyFill="1" applyAlignment="1">
      <alignment horizontal="center" vertical="center" wrapText="1"/>
    </xf>
    <xf numFmtId="0" fontId="44" fillId="28" borderId="0" xfId="0" applyFont="1" applyFill="1" applyAlignment="1">
      <alignment horizontal="center" vertical="center"/>
    </xf>
    <xf numFmtId="0" fontId="4" fillId="0" borderId="0" xfId="0" applyFont="1" applyAlignment="1">
      <alignment horizontal="center"/>
    </xf>
    <xf numFmtId="0" fontId="9" fillId="0" borderId="29" xfId="0" applyFont="1" applyBorder="1" applyAlignment="1">
      <alignment horizontal="left" vertical="center"/>
    </xf>
    <xf numFmtId="0" fontId="9" fillId="0" borderId="68" xfId="0" applyFont="1" applyBorder="1" applyAlignment="1">
      <alignment horizontal="left" vertical="center"/>
    </xf>
    <xf numFmtId="0" fontId="9" fillId="5" borderId="27" xfId="0" applyFont="1" applyFill="1" applyBorder="1" applyAlignment="1">
      <alignment horizontal="left" vertical="center"/>
    </xf>
    <xf numFmtId="0" fontId="9" fillId="5" borderId="5" xfId="0" applyFont="1" applyFill="1" applyBorder="1" applyAlignment="1">
      <alignment horizontal="left" vertical="center"/>
    </xf>
    <xf numFmtId="0" fontId="9" fillId="5" borderId="3" xfId="0" applyFont="1" applyFill="1" applyBorder="1" applyAlignment="1">
      <alignment horizontal="left" vertical="center"/>
    </xf>
    <xf numFmtId="0" fontId="59" fillId="15" borderId="59" xfId="0" applyFont="1" applyFill="1" applyBorder="1" applyAlignment="1" applyProtection="1">
      <alignment horizontal="center" vertical="center" wrapText="1"/>
    </xf>
    <xf numFmtId="0" fontId="59" fillId="15" borderId="60" xfId="0" applyFont="1" applyFill="1" applyBorder="1" applyAlignment="1" applyProtection="1">
      <alignment horizontal="center" vertical="center" wrapText="1"/>
    </xf>
    <xf numFmtId="0" fontId="0" fillId="25" borderId="41" xfId="0" applyFill="1" applyBorder="1" applyAlignment="1">
      <alignment horizontal="center"/>
    </xf>
    <xf numFmtId="0" fontId="2" fillId="25" borderId="41" xfId="0" applyFont="1" applyFill="1" applyBorder="1" applyAlignment="1">
      <alignment horizontal="center" wrapText="1"/>
    </xf>
    <xf numFmtId="0" fontId="40" fillId="25" borderId="6" xfId="0" applyFont="1" applyFill="1" applyBorder="1" applyAlignment="1">
      <alignment horizontal="center"/>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6" xfId="0" applyBorder="1" applyAlignment="1">
      <alignment horizontal="left" wrapText="1"/>
    </xf>
    <xf numFmtId="0" fontId="0" fillId="0" borderId="6" xfId="0" applyBorder="1" applyAlignment="1">
      <alignment horizontal="left"/>
    </xf>
    <xf numFmtId="0" fontId="0" fillId="0" borderId="12" xfId="0" applyFill="1" applyBorder="1" applyAlignment="1">
      <alignment horizontal="center" vertical="top" wrapText="1"/>
    </xf>
    <xf numFmtId="0" fontId="0" fillId="0" borderId="72" xfId="0" applyFill="1" applyBorder="1" applyAlignment="1">
      <alignment horizontal="center" vertical="top" wrapText="1"/>
    </xf>
    <xf numFmtId="0" fontId="0" fillId="0" borderId="13" xfId="0" applyFill="1" applyBorder="1" applyAlignment="1">
      <alignment horizontal="center" vertical="top" wrapText="1"/>
    </xf>
    <xf numFmtId="0" fontId="4" fillId="12" borderId="13" xfId="0" applyFont="1" applyFill="1" applyBorder="1" applyAlignment="1">
      <alignment horizontal="center"/>
    </xf>
    <xf numFmtId="0" fontId="6" fillId="0" borderId="26"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9" fillId="0" borderId="1" xfId="0" applyFont="1" applyBorder="1" applyAlignment="1">
      <alignment horizontal="left" vertical="center"/>
    </xf>
    <xf numFmtId="0" fontId="9" fillId="0" borderId="2" xfId="0" applyFont="1" applyBorder="1" applyAlignment="1">
      <alignment horizontal="left" vertical="center"/>
    </xf>
    <xf numFmtId="0" fontId="26" fillId="10" borderId="27" xfId="0" applyFont="1" applyFill="1" applyBorder="1" applyAlignment="1">
      <alignment horizontal="left" vertical="center"/>
    </xf>
    <xf numFmtId="0" fontId="26" fillId="10" borderId="5" xfId="0" applyFont="1" applyFill="1" applyBorder="1" applyAlignment="1">
      <alignment horizontal="left" vertical="center"/>
    </xf>
    <xf numFmtId="0" fontId="26" fillId="10" borderId="47" xfId="0" applyFont="1" applyFill="1" applyBorder="1" applyAlignment="1">
      <alignment horizontal="left" vertical="center"/>
    </xf>
    <xf numFmtId="0" fontId="26" fillId="10" borderId="48" xfId="0" applyFont="1" applyFill="1" applyBorder="1" applyAlignment="1">
      <alignment horizontal="left" vertical="center"/>
    </xf>
    <xf numFmtId="0" fontId="8" fillId="4" borderId="39" xfId="0" applyFont="1" applyFill="1" applyBorder="1" applyAlignment="1">
      <alignment horizontal="center" vertical="center"/>
    </xf>
    <xf numFmtId="0" fontId="8" fillId="4" borderId="40" xfId="0" applyFont="1" applyFill="1" applyBorder="1" applyAlignment="1">
      <alignment horizontal="center" vertical="center"/>
    </xf>
    <xf numFmtId="0" fontId="22" fillId="12" borderId="44" xfId="0" applyFont="1" applyFill="1" applyBorder="1" applyAlignment="1">
      <alignment horizontal="center" vertical="center" textRotation="90"/>
    </xf>
    <xf numFmtId="0" fontId="22" fillId="12" borderId="46" xfId="0" applyFont="1" applyFill="1" applyBorder="1" applyAlignment="1">
      <alignment horizontal="center" vertical="center" textRotation="90"/>
    </xf>
    <xf numFmtId="0" fontId="9" fillId="5" borderId="33" xfId="0" applyFont="1" applyFill="1" applyBorder="1" applyAlignment="1">
      <alignment horizontal="left" vertical="center"/>
    </xf>
    <xf numFmtId="0" fontId="9" fillId="0" borderId="4" xfId="0" applyFont="1" applyBorder="1" applyAlignment="1">
      <alignment horizontal="left" vertical="center"/>
    </xf>
    <xf numFmtId="0" fontId="9" fillId="0" borderId="5" xfId="0" applyFont="1" applyBorder="1" applyAlignment="1">
      <alignment horizontal="left" vertical="center"/>
    </xf>
    <xf numFmtId="0" fontId="31" fillId="0" borderId="22" xfId="0" applyFont="1" applyBorder="1" applyAlignment="1">
      <alignment horizontal="center" vertical="center"/>
    </xf>
    <xf numFmtId="167" fontId="7" fillId="15" borderId="35" xfId="0" applyNumberFormat="1" applyFont="1" applyFill="1" applyBorder="1" applyAlignment="1">
      <alignment horizontal="center" vertical="center"/>
    </xf>
    <xf numFmtId="167" fontId="7" fillId="15" borderId="36" xfId="0" applyNumberFormat="1" applyFont="1" applyFill="1" applyBorder="1" applyAlignment="1">
      <alignment horizontal="center" vertical="center"/>
    </xf>
    <xf numFmtId="167" fontId="7" fillId="15" borderId="14" xfId="0" applyNumberFormat="1" applyFont="1" applyFill="1" applyBorder="1" applyAlignment="1">
      <alignment horizontal="center" vertical="center"/>
    </xf>
    <xf numFmtId="167" fontId="3" fillId="16" borderId="86" xfId="0" applyNumberFormat="1" applyFont="1" applyFill="1" applyBorder="1" applyAlignment="1">
      <alignment horizontal="center" vertical="center"/>
    </xf>
    <xf numFmtId="167" fontId="3" fillId="16" borderId="87" xfId="0" applyNumberFormat="1" applyFont="1" applyFill="1" applyBorder="1" applyAlignment="1">
      <alignment horizontal="center" vertical="center"/>
    </xf>
    <xf numFmtId="167" fontId="7" fillId="15" borderId="10" xfId="0" applyNumberFormat="1" applyFont="1" applyFill="1" applyBorder="1" applyAlignment="1">
      <alignment horizontal="left" vertical="center"/>
    </xf>
    <xf numFmtId="167" fontId="7" fillId="15" borderId="1" xfId="0" applyNumberFormat="1" applyFont="1" applyFill="1" applyBorder="1" applyAlignment="1">
      <alignment horizontal="left" vertical="center"/>
    </xf>
    <xf numFmtId="167" fontId="7" fillId="15" borderId="11" xfId="0" applyNumberFormat="1" applyFont="1" applyFill="1" applyBorder="1" applyAlignment="1">
      <alignment horizontal="left" vertical="center"/>
    </xf>
    <xf numFmtId="0" fontId="30" fillId="19" borderId="53" xfId="0" applyFont="1" applyFill="1" applyBorder="1" applyAlignment="1">
      <alignment horizontal="right" vertical="center"/>
    </xf>
    <xf numFmtId="0" fontId="30" fillId="19" borderId="54" xfId="0" applyFont="1" applyFill="1" applyBorder="1" applyAlignment="1">
      <alignment horizontal="right" vertical="center"/>
    </xf>
    <xf numFmtId="0" fontId="30" fillId="19" borderId="55" xfId="0" applyFont="1" applyFill="1" applyBorder="1" applyAlignment="1">
      <alignment horizontal="right" vertical="center"/>
    </xf>
    <xf numFmtId="167" fontId="7" fillId="15" borderId="35" xfId="0" applyNumberFormat="1" applyFont="1" applyFill="1" applyBorder="1" applyAlignment="1" applyProtection="1">
      <alignment horizontal="center" vertical="center"/>
    </xf>
    <xf numFmtId="167" fontId="7" fillId="15" borderId="36" xfId="0" applyNumberFormat="1" applyFont="1" applyFill="1" applyBorder="1" applyAlignment="1" applyProtection="1">
      <alignment horizontal="center" vertical="center"/>
    </xf>
    <xf numFmtId="167" fontId="7" fillId="15" borderId="14" xfId="0" applyNumberFormat="1" applyFont="1" applyFill="1" applyBorder="1" applyAlignment="1" applyProtection="1">
      <alignment horizontal="center" vertical="center"/>
    </xf>
    <xf numFmtId="167" fontId="7" fillId="15" borderId="10" xfId="0" applyNumberFormat="1" applyFont="1" applyFill="1" applyBorder="1" applyAlignment="1" applyProtection="1">
      <alignment horizontal="left" vertical="center"/>
    </xf>
    <xf numFmtId="167" fontId="7" fillId="15" borderId="1" xfId="0" applyNumberFormat="1" applyFont="1" applyFill="1" applyBorder="1" applyAlignment="1" applyProtection="1">
      <alignment horizontal="left" vertical="center"/>
    </xf>
    <xf numFmtId="167" fontId="7" fillId="15" borderId="11" xfId="0" applyNumberFormat="1" applyFont="1" applyFill="1" applyBorder="1" applyAlignment="1" applyProtection="1">
      <alignment horizontal="left" vertical="center"/>
    </xf>
    <xf numFmtId="167" fontId="3" fillId="16" borderId="86" xfId="0" applyNumberFormat="1" applyFont="1" applyFill="1" applyBorder="1" applyAlignment="1" applyProtection="1">
      <alignment horizontal="center" vertical="center"/>
    </xf>
    <xf numFmtId="167" fontId="3" fillId="16" borderId="87" xfId="0" applyNumberFormat="1" applyFont="1" applyFill="1" applyBorder="1" applyAlignment="1" applyProtection="1">
      <alignment horizontal="center" vertical="center"/>
    </xf>
    <xf numFmtId="0" fontId="26" fillId="10" borderId="27" xfId="0" applyFont="1" applyFill="1" applyBorder="1" applyAlignment="1" applyProtection="1">
      <alignment horizontal="left" vertical="center"/>
    </xf>
    <xf numFmtId="0" fontId="26" fillId="10" borderId="5" xfId="0" applyFont="1" applyFill="1" applyBorder="1" applyAlignment="1" applyProtection="1">
      <alignment horizontal="left" vertical="center"/>
    </xf>
    <xf numFmtId="0" fontId="9" fillId="5" borderId="27" xfId="0" applyFont="1" applyFill="1" applyBorder="1" applyAlignment="1" applyProtection="1">
      <alignment horizontal="left" vertical="center"/>
    </xf>
    <xf numFmtId="0" fontId="9" fillId="5" borderId="5" xfId="0" applyFont="1" applyFill="1" applyBorder="1" applyAlignment="1" applyProtection="1">
      <alignment horizontal="left" vertical="center"/>
    </xf>
    <xf numFmtId="0" fontId="26" fillId="10" borderId="47" xfId="0" applyFont="1" applyFill="1" applyBorder="1" applyAlignment="1" applyProtection="1">
      <alignment horizontal="left" vertical="center"/>
    </xf>
    <xf numFmtId="0" fontId="26" fillId="10" borderId="48" xfId="0" applyFont="1" applyFill="1" applyBorder="1" applyAlignment="1" applyProtection="1">
      <alignment horizontal="left" vertical="center"/>
    </xf>
    <xf numFmtId="0" fontId="9" fillId="0" borderId="5" xfId="0" applyFont="1" applyBorder="1" applyAlignment="1" applyProtection="1">
      <alignment horizontal="left" vertical="center"/>
    </xf>
    <xf numFmtId="0" fontId="9" fillId="0" borderId="1" xfId="0" applyFont="1" applyBorder="1" applyAlignment="1" applyProtection="1">
      <alignment horizontal="left" vertical="center"/>
    </xf>
    <xf numFmtId="0" fontId="9" fillId="0" borderId="2" xfId="0" applyFont="1" applyBorder="1" applyAlignment="1" applyProtection="1">
      <alignment horizontal="left" vertical="center"/>
    </xf>
    <xf numFmtId="0" fontId="8" fillId="4" borderId="39" xfId="0" applyFont="1" applyFill="1" applyBorder="1" applyAlignment="1" applyProtection="1">
      <alignment horizontal="center" vertical="center"/>
    </xf>
    <xf numFmtId="0" fontId="8" fillId="4" borderId="40" xfId="0" applyFont="1" applyFill="1" applyBorder="1" applyAlignment="1" applyProtection="1">
      <alignment horizontal="center" vertical="center"/>
    </xf>
    <xf numFmtId="0" fontId="22" fillId="12" borderId="44" xfId="0" applyFont="1" applyFill="1" applyBorder="1" applyAlignment="1" applyProtection="1">
      <alignment horizontal="center" vertical="center" textRotation="90"/>
    </xf>
    <xf numFmtId="0" fontId="22" fillId="12" borderId="46" xfId="0" applyFont="1" applyFill="1" applyBorder="1" applyAlignment="1" applyProtection="1">
      <alignment horizontal="center" vertical="center" textRotation="90"/>
    </xf>
    <xf numFmtId="0" fontId="9" fillId="5" borderId="33" xfId="0" applyFont="1" applyFill="1" applyBorder="1" applyAlignment="1" applyProtection="1">
      <alignment horizontal="left" vertical="center"/>
    </xf>
    <xf numFmtId="0" fontId="9" fillId="0" borderId="29" xfId="0" applyFont="1" applyBorder="1" applyAlignment="1" applyProtection="1">
      <alignment horizontal="left" vertical="center"/>
    </xf>
    <xf numFmtId="0" fontId="9" fillId="0" borderId="4" xfId="0" applyFont="1" applyBorder="1" applyAlignment="1" applyProtection="1">
      <alignment horizontal="left" vertical="center"/>
    </xf>
    <xf numFmtId="0" fontId="31" fillId="0" borderId="22" xfId="0" applyFont="1" applyBorder="1" applyAlignment="1" applyProtection="1">
      <alignment horizontal="center" vertical="center"/>
    </xf>
    <xf numFmtId="0" fontId="30" fillId="19" borderId="53" xfId="0" applyFont="1" applyFill="1" applyBorder="1" applyAlignment="1" applyProtection="1">
      <alignment horizontal="right" vertical="center"/>
    </xf>
    <xf numFmtId="0" fontId="30" fillId="19" borderId="54" xfId="0" applyFont="1" applyFill="1" applyBorder="1" applyAlignment="1" applyProtection="1">
      <alignment horizontal="right" vertical="center"/>
    </xf>
    <xf numFmtId="0" fontId="30" fillId="19" borderId="55" xfId="0" applyFont="1" applyFill="1" applyBorder="1" applyAlignment="1" applyProtection="1">
      <alignment horizontal="right" vertical="center"/>
    </xf>
    <xf numFmtId="167" fontId="3" fillId="0" borderId="74" xfId="0" applyNumberFormat="1" applyFont="1" applyBorder="1" applyAlignment="1">
      <alignment horizontal="center" wrapText="1"/>
    </xf>
    <xf numFmtId="167" fontId="3" fillId="0" borderId="13" xfId="0" applyNumberFormat="1" applyFont="1" applyBorder="1" applyAlignment="1">
      <alignment horizontal="center" wrapText="1"/>
    </xf>
    <xf numFmtId="167" fontId="3" fillId="7" borderId="74" xfId="0" applyNumberFormat="1" applyFont="1" applyFill="1" applyBorder="1" applyAlignment="1">
      <alignment horizontal="center" wrapText="1"/>
    </xf>
    <xf numFmtId="167" fontId="3" fillId="7" borderId="72" xfId="0" applyNumberFormat="1" applyFont="1" applyFill="1" applyBorder="1" applyAlignment="1">
      <alignment horizontal="center" wrapText="1"/>
    </xf>
    <xf numFmtId="167" fontId="3" fillId="7" borderId="78" xfId="0" applyNumberFormat="1" applyFont="1" applyFill="1" applyBorder="1" applyAlignment="1">
      <alignment horizontal="center" wrapText="1"/>
    </xf>
    <xf numFmtId="167" fontId="43" fillId="8" borderId="75" xfId="0" applyNumberFormat="1" applyFont="1" applyFill="1" applyBorder="1" applyAlignment="1">
      <alignment horizontal="center" wrapText="1"/>
    </xf>
    <xf numFmtId="167" fontId="43" fillId="8" borderId="76" xfId="0" applyNumberFormat="1" applyFont="1" applyFill="1" applyBorder="1" applyAlignment="1">
      <alignment horizontal="center" wrapText="1"/>
    </xf>
    <xf numFmtId="167" fontId="43" fillId="8" borderId="79" xfId="0" applyNumberFormat="1" applyFont="1" applyFill="1" applyBorder="1" applyAlignment="1">
      <alignment horizontal="center" wrapText="1"/>
    </xf>
    <xf numFmtId="167" fontId="0" fillId="0" borderId="80" xfId="0" applyNumberFormat="1" applyBorder="1" applyAlignment="1">
      <alignment horizontal="center" wrapText="1"/>
    </xf>
    <xf numFmtId="167" fontId="0" fillId="0" borderId="7" xfId="0" applyNumberFormat="1" applyBorder="1" applyAlignment="1">
      <alignment horizontal="center" wrapText="1"/>
    </xf>
    <xf numFmtId="167" fontId="43" fillId="8" borderId="19" xfId="0" applyNumberFormat="1" applyFont="1" applyFill="1" applyBorder="1" applyAlignment="1">
      <alignment horizontal="center" wrapText="1"/>
    </xf>
    <xf numFmtId="167" fontId="43" fillId="8" borderId="17" xfId="0" applyNumberFormat="1" applyFont="1" applyFill="1" applyBorder="1" applyAlignment="1">
      <alignment horizontal="center" wrapText="1"/>
    </xf>
    <xf numFmtId="167" fontId="43" fillId="8" borderId="18" xfId="0" applyNumberFormat="1" applyFont="1" applyFill="1" applyBorder="1" applyAlignment="1">
      <alignment horizontal="center" wrapText="1"/>
    </xf>
    <xf numFmtId="167" fontId="3" fillId="0" borderId="2" xfId="0" applyNumberFormat="1" applyFont="1" applyBorder="1" applyAlignment="1">
      <alignment horizontal="center" wrapText="1"/>
    </xf>
    <xf numFmtId="167" fontId="3" fillId="0" borderId="5" xfId="0" applyNumberFormat="1" applyFont="1" applyBorder="1" applyAlignment="1">
      <alignment horizontal="center" wrapText="1"/>
    </xf>
    <xf numFmtId="167" fontId="3" fillId="0" borderId="3" xfId="0" applyNumberFormat="1" applyFont="1" applyBorder="1" applyAlignment="1">
      <alignment horizontal="center" wrapText="1"/>
    </xf>
    <xf numFmtId="167" fontId="3" fillId="7" borderId="73" xfId="0" applyNumberFormat="1" applyFont="1" applyFill="1" applyBorder="1" applyAlignment="1">
      <alignment horizontal="center" wrapText="1"/>
    </xf>
    <xf numFmtId="167" fontId="3" fillId="7" borderId="31" xfId="0" applyNumberFormat="1" applyFont="1" applyFill="1" applyBorder="1" applyAlignment="1">
      <alignment horizontal="center" wrapText="1"/>
    </xf>
    <xf numFmtId="167" fontId="3" fillId="7" borderId="77" xfId="0" applyNumberFormat="1" applyFont="1" applyFill="1" applyBorder="1" applyAlignment="1">
      <alignment horizontal="center" wrapText="1"/>
    </xf>
    <xf numFmtId="0" fontId="36" fillId="0" borderId="6" xfId="0" applyFont="1" applyBorder="1" applyAlignment="1">
      <alignment horizontal="center" vertical="center" wrapText="1"/>
    </xf>
    <xf numFmtId="0" fontId="35" fillId="21" borderId="0" xfId="0" applyFont="1" applyFill="1" applyAlignment="1">
      <alignment horizontal="center" vertical="center"/>
    </xf>
    <xf numFmtId="167" fontId="45" fillId="29" borderId="0" xfId="0" applyNumberFormat="1" applyFont="1" applyFill="1" applyAlignment="1">
      <alignment horizontal="center"/>
    </xf>
    <xf numFmtId="0" fontId="53" fillId="30" borderId="0" xfId="0" applyFont="1" applyFill="1" applyAlignment="1">
      <alignment horizontal="center" vertical="top"/>
    </xf>
  </cellXfs>
  <cellStyles count="11">
    <cellStyle name="Bad" xfId="9" builtinId="27"/>
    <cellStyle name="Check Cell" xfId="2" builtinId="23"/>
    <cellStyle name="Comma 2" xfId="5"/>
    <cellStyle name="Currency 2" xfId="7"/>
    <cellStyle name="Followed Hyperlink" xfId="10" builtinId="9" customBuiltin="1"/>
    <cellStyle name="Good" xfId="8" builtinId="26"/>
    <cellStyle name="Hyperlink" xfId="6" builtinId="8" customBuiltin="1"/>
    <cellStyle name="Input" xfId="4" builtinId="20"/>
    <cellStyle name="Neutral" xfId="3" builtinId="28"/>
    <cellStyle name="Normal" xfId="0" builtinId="0"/>
    <cellStyle name="Percent" xfId="1" builtinId="5"/>
  </cellStyles>
  <dxfs count="513">
    <dxf>
      <alignment horizontal="left" vertical="bottom" textRotation="0" wrapText="0" indent="0" justifyLastLine="0" shrinkToFit="0" readingOrder="0"/>
    </dxf>
    <dxf>
      <alignment horizontal="left" vertical="bottom" textRotation="0" wrapText="0" indent="0" justifyLastLine="0" shrinkToFit="0" readingOrder="0"/>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ont>
        <b/>
        <i val="0"/>
        <color rgb="FFFF0000"/>
      </font>
      <fill>
        <patternFill>
          <bgColor rgb="FFFF99CC"/>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ont>
        <b/>
        <i val="0"/>
        <color theme="8" tint="0.79998168889431442"/>
      </font>
      <fill>
        <patternFill>
          <bgColor theme="8"/>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ont>
        <color theme="4" tint="0.59996337778862885"/>
      </font>
    </dxf>
    <dxf>
      <font>
        <color theme="4" tint="0.59996337778862885"/>
      </font>
    </dxf>
    <dxf>
      <font>
        <color theme="4" tint="0.59996337778862885"/>
      </font>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ont>
        <b/>
        <i val="0"/>
        <color theme="8" tint="0.79998168889431442"/>
      </font>
      <fill>
        <patternFill>
          <bgColor theme="8"/>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border>
        <top style="thin">
          <color theme="1"/>
        </top>
        <vertical/>
        <horizontal/>
      </border>
    </dxf>
    <dxf>
      <border>
        <top style="thin">
          <color theme="1"/>
        </top>
        <vertical/>
        <horizontal/>
      </border>
    </dxf>
    <dxf>
      <font>
        <b/>
        <i val="0"/>
        <color auto="1"/>
      </font>
    </dxf>
    <dxf>
      <border>
        <top style="thin">
          <color theme="1"/>
        </top>
        <vertical/>
        <horizontal/>
      </border>
    </dxf>
    <dxf>
      <border>
        <top style="thin">
          <color theme="1"/>
        </top>
        <vertical/>
        <horizontal/>
      </border>
    </dxf>
    <dxf>
      <font>
        <b/>
        <i val="0"/>
        <color auto="1"/>
      </font>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ont>
        <b/>
        <i val="0"/>
        <color rgb="FFFF0000"/>
      </font>
      <fill>
        <patternFill>
          <bgColor rgb="FFFF99CC"/>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ont>
        <b/>
        <i val="0"/>
        <color theme="8" tint="0.79998168889431442"/>
      </font>
      <fill>
        <patternFill>
          <bgColor theme="8"/>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9" tint="0.79995117038483843"/>
      </font>
      <fill>
        <patternFill>
          <bgColor theme="9"/>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i val="0"/>
      </font>
      <fill>
        <patternFill>
          <bgColor theme="8" tint="0.59996337778862885"/>
        </patternFill>
      </fill>
      <border>
        <left style="thin">
          <color auto="1"/>
        </left>
        <right style="thin">
          <color auto="1"/>
        </right>
        <top style="thin">
          <color auto="1"/>
        </top>
        <bottom style="thin">
          <color auto="1"/>
        </bottom>
        <vertical/>
        <horizontal/>
      </border>
    </dxf>
    <dxf>
      <font>
        <b/>
        <i val="0"/>
      </font>
      <fill>
        <patternFill>
          <bgColor theme="8" tint="0.79998168889431442"/>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ont>
        <b val="0"/>
        <i val="0"/>
        <color rgb="FF9C0006"/>
      </font>
      <fill>
        <patternFill>
          <bgColor rgb="FFFFC7CE"/>
        </patternFill>
      </fill>
      <border>
        <left style="thin">
          <color rgb="FFFF0000"/>
        </left>
        <right style="thin">
          <color rgb="FFFF0000"/>
        </right>
        <top style="thin">
          <color rgb="FFFF0000"/>
        </top>
        <bottom style="thin">
          <color rgb="FFFF0000"/>
        </bottom>
      </border>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ont>
        <b/>
        <i val="0"/>
        <color theme="8" tint="0.79995117038483843"/>
      </font>
      <fill>
        <patternFill>
          <bgColor theme="8"/>
        </patternFill>
      </fill>
      <border>
        <left style="thin">
          <color auto="1"/>
        </left>
        <right style="thin">
          <color auto="1"/>
        </right>
        <top style="thin">
          <color auto="1"/>
        </top>
        <bottom style="thin">
          <color auto="1"/>
        </bottom>
        <vertical/>
        <horizontal/>
      </border>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ill>
        <patternFill>
          <bgColor rgb="FFFFCC99"/>
        </patternFill>
      </fill>
    </dxf>
    <dxf>
      <fill>
        <patternFill>
          <bgColor theme="4"/>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4"/>
        </patternFill>
      </fill>
    </dxf>
    <dxf>
      <font>
        <b/>
        <i val="0"/>
      </font>
      <fill>
        <patternFill>
          <bgColor theme="0" tint="-0.24994659260841701"/>
        </patternFill>
      </fill>
    </dxf>
    <dxf>
      <font>
        <color theme="0"/>
      </font>
      <fill>
        <patternFill>
          <bgColor theme="2" tint="-0.499984740745262"/>
        </patternFill>
      </fill>
    </dxf>
    <dxf>
      <font>
        <color theme="0"/>
      </font>
      <fill>
        <patternFill>
          <bgColor theme="2" tint="-0.499984740745262"/>
        </patternFill>
      </fill>
    </dxf>
    <dxf>
      <font>
        <b/>
        <i val="0"/>
      </font>
      <fill>
        <patternFill>
          <bgColor theme="0" tint="-0.24994659260841701"/>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ont>
        <color theme="0"/>
      </font>
      <fill>
        <patternFill>
          <bgColor theme="2" tint="-0.499984740745262"/>
        </patternFill>
      </fill>
    </dxf>
    <dxf>
      <font>
        <b/>
        <i val="0"/>
      </font>
      <fill>
        <patternFill>
          <bgColor theme="0" tint="-0.24994659260841701"/>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ont>
        <color theme="0"/>
      </font>
      <fill>
        <patternFill>
          <bgColor theme="2" tint="-0.499984740745262"/>
        </patternFill>
      </fill>
    </dxf>
    <dxf>
      <font>
        <b/>
        <i val="0"/>
      </font>
      <fill>
        <patternFill>
          <bgColor theme="0" tint="-0.24994659260841701"/>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ont>
        <color theme="0"/>
      </font>
      <fill>
        <patternFill>
          <bgColor theme="2" tint="-0.499984740745262"/>
        </patternFill>
      </fill>
    </dxf>
    <dxf>
      <font>
        <b/>
        <i val="0"/>
      </font>
      <fill>
        <patternFill>
          <bgColor theme="0" tint="-0.24994659260841701"/>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ont>
        <color theme="0"/>
      </font>
      <fill>
        <patternFill>
          <bgColor theme="2" tint="-0.499984740745262"/>
        </patternFill>
      </fill>
    </dxf>
    <dxf>
      <font>
        <b/>
        <i val="0"/>
      </font>
      <fill>
        <patternFill>
          <bgColor theme="0" tint="-0.24994659260841701"/>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ont>
        <color theme="0"/>
      </font>
      <fill>
        <patternFill>
          <bgColor theme="2" tint="-0.499984740745262"/>
        </patternFill>
      </fill>
    </dxf>
    <dxf>
      <font>
        <b/>
        <i val="0"/>
      </font>
      <fill>
        <patternFill>
          <bgColor theme="0" tint="-0.24994659260841701"/>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ont>
        <color theme="0"/>
      </font>
      <fill>
        <patternFill>
          <bgColor theme="2" tint="-0.499984740745262"/>
        </patternFill>
      </fill>
    </dxf>
    <dxf>
      <font>
        <b/>
        <i val="0"/>
      </font>
      <fill>
        <patternFill>
          <bgColor theme="0" tint="-0.24994659260841701"/>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ont>
        <color theme="0"/>
      </font>
      <fill>
        <patternFill>
          <bgColor theme="2" tint="-0.499984740745262"/>
        </patternFill>
      </fill>
    </dxf>
    <dxf>
      <font>
        <b/>
        <i val="0"/>
      </font>
      <fill>
        <patternFill>
          <bgColor theme="0" tint="-0.24994659260841701"/>
        </patternFill>
      </fill>
    </dxf>
    <dxf>
      <fill>
        <patternFill>
          <bgColor theme="9" tint="0.79998168889431442"/>
        </patternFill>
      </fill>
      <border>
        <left style="thin">
          <color auto="1"/>
        </left>
        <right style="thin">
          <color auto="1"/>
        </right>
        <top style="thin">
          <color auto="1"/>
        </top>
        <bottom style="thin">
          <color auto="1"/>
        </bottom>
        <vertical/>
        <horizontal/>
      </border>
    </dxf>
    <dxf>
      <font>
        <color theme="0"/>
      </font>
      <fill>
        <patternFill>
          <bgColor theme="2" tint="-0.499984740745262"/>
        </patternFill>
      </fill>
    </dxf>
    <dxf>
      <font>
        <b/>
        <i val="0"/>
      </font>
      <fill>
        <patternFill>
          <bgColor theme="0" tint="-0.24994659260841701"/>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0" tint="-0.24994659260841701"/>
        </patternFill>
      </fill>
    </dxf>
    <dxf>
      <font>
        <color theme="0"/>
      </font>
      <fill>
        <patternFill>
          <bgColor theme="2" tint="-0.499984740745262"/>
        </patternFill>
      </fill>
    </dxf>
    <dxf>
      <fill>
        <patternFill>
          <bgColor theme="9" tint="0.7999816888943144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F6699"/>
      <color rgb="FFFF99CC"/>
      <color rgb="FFFFCC99"/>
      <color rgb="FFEEF2D8"/>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121519</xdr:colOff>
      <xdr:row>18</xdr:row>
      <xdr:rowOff>1164042</xdr:rowOff>
    </xdr:from>
    <xdr:to>
      <xdr:col>6</xdr:col>
      <xdr:colOff>120300</xdr:colOff>
      <xdr:row>24</xdr:row>
      <xdr:rowOff>267317</xdr:rowOff>
    </xdr:to>
    <xdr:pic>
      <xdr:nvPicPr>
        <xdr:cNvPr id="3" name="Picture 2">
          <a:extLst>
            <a:ext uri="{FF2B5EF4-FFF2-40B4-BE49-F238E27FC236}">
              <a16:creationId xmlns:a16="http://schemas.microsoft.com/office/drawing/2014/main" xmlns="" id="{93794D0D-7DAE-4621-82DB-3DF5A51E5016}"/>
            </a:ext>
          </a:extLst>
        </xdr:cNvPr>
        <xdr:cNvPicPr>
          <a:picLocks noChangeAspect="1"/>
        </xdr:cNvPicPr>
      </xdr:nvPicPr>
      <xdr:blipFill>
        <a:blip xmlns:r="http://schemas.openxmlformats.org/officeDocument/2006/relationships" r:embed="rId1"/>
        <a:stretch>
          <a:fillRect/>
        </a:stretch>
      </xdr:blipFill>
      <xdr:spPr>
        <a:xfrm>
          <a:off x="7882323" y="12254455"/>
          <a:ext cx="4552311" cy="1979245"/>
        </a:xfrm>
        <a:prstGeom prst="rect">
          <a:avLst/>
        </a:prstGeom>
      </xdr:spPr>
    </xdr:pic>
    <xdr:clientData/>
  </xdr:twoCellAnchor>
  <xdr:twoCellAnchor>
    <xdr:from>
      <xdr:col>4</xdr:col>
      <xdr:colOff>3966725</xdr:colOff>
      <xdr:row>23</xdr:row>
      <xdr:rowOff>300618</xdr:rowOff>
    </xdr:from>
    <xdr:to>
      <xdr:col>6</xdr:col>
      <xdr:colOff>18424</xdr:colOff>
      <xdr:row>23</xdr:row>
      <xdr:rowOff>624302</xdr:rowOff>
    </xdr:to>
    <xdr:sp macro="" textlink="">
      <xdr:nvSpPr>
        <xdr:cNvPr id="4" name="Rectangle 3">
          <a:extLst>
            <a:ext uri="{FF2B5EF4-FFF2-40B4-BE49-F238E27FC236}">
              <a16:creationId xmlns:a16="http://schemas.microsoft.com/office/drawing/2014/main" xmlns="" id="{61FF1653-9C7B-4518-8836-336B03F79BAA}"/>
            </a:ext>
          </a:extLst>
        </xdr:cNvPr>
        <xdr:cNvSpPr/>
      </xdr:nvSpPr>
      <xdr:spPr>
        <a:xfrm>
          <a:off x="11716265" y="14062338"/>
          <a:ext cx="600839" cy="32368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twoCellAnchor>
    <xdr:from>
      <xdr:col>2</xdr:col>
      <xdr:colOff>1664969</xdr:colOff>
      <xdr:row>22</xdr:row>
      <xdr:rowOff>18476</xdr:rowOff>
    </xdr:from>
    <xdr:to>
      <xdr:col>2</xdr:col>
      <xdr:colOff>2857500</xdr:colOff>
      <xdr:row>23</xdr:row>
      <xdr:rowOff>207687</xdr:rowOff>
    </xdr:to>
    <xdr:sp macro="" textlink="">
      <xdr:nvSpPr>
        <xdr:cNvPr id="5" name="Rectangle 4">
          <a:extLst>
            <a:ext uri="{FF2B5EF4-FFF2-40B4-BE49-F238E27FC236}">
              <a16:creationId xmlns:a16="http://schemas.microsoft.com/office/drawing/2014/main" xmlns="" id="{3AC68A44-1669-4663-AE76-6192EC55FAFD}"/>
            </a:ext>
          </a:extLst>
        </xdr:cNvPr>
        <xdr:cNvSpPr/>
      </xdr:nvSpPr>
      <xdr:spPr>
        <a:xfrm>
          <a:off x="2369819" y="13182026"/>
          <a:ext cx="1192531" cy="236836"/>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twoCellAnchor>
    <xdr:from>
      <xdr:col>2</xdr:col>
      <xdr:colOff>2261236</xdr:colOff>
      <xdr:row>23</xdr:row>
      <xdr:rowOff>207686</xdr:rowOff>
    </xdr:from>
    <xdr:to>
      <xdr:col>4</xdr:col>
      <xdr:colOff>3966726</xdr:colOff>
      <xdr:row>23</xdr:row>
      <xdr:rowOff>462459</xdr:rowOff>
    </xdr:to>
    <xdr:cxnSp macro="">
      <xdr:nvCxnSpPr>
        <xdr:cNvPr id="6" name="Connector: Elbow 5">
          <a:extLst>
            <a:ext uri="{FF2B5EF4-FFF2-40B4-BE49-F238E27FC236}">
              <a16:creationId xmlns:a16="http://schemas.microsoft.com/office/drawing/2014/main" xmlns="" id="{86EB3DC9-8C0F-46B3-8DA0-F053AAD87DF2}"/>
            </a:ext>
          </a:extLst>
        </xdr:cNvPr>
        <xdr:cNvCxnSpPr>
          <a:stCxn id="5" idx="2"/>
          <a:endCxn id="4" idx="1"/>
        </xdr:cNvCxnSpPr>
      </xdr:nvCxnSpPr>
      <xdr:spPr>
        <a:xfrm rot="16200000" flipH="1">
          <a:off x="7211884" y="9719798"/>
          <a:ext cx="254773" cy="8753990"/>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5219700</xdr:colOff>
      <xdr:row>16</xdr:row>
      <xdr:rowOff>160020</xdr:rowOff>
    </xdr:from>
    <xdr:to>
      <xdr:col>6</xdr:col>
      <xdr:colOff>110654</xdr:colOff>
      <xdr:row>18</xdr:row>
      <xdr:rowOff>45234</xdr:rowOff>
    </xdr:to>
    <xdr:grpSp>
      <xdr:nvGrpSpPr>
        <xdr:cNvPr id="2" name="Group 1">
          <a:extLst>
            <a:ext uri="{FF2B5EF4-FFF2-40B4-BE49-F238E27FC236}">
              <a16:creationId xmlns:a16="http://schemas.microsoft.com/office/drawing/2014/main" xmlns="" id="{3A87658D-4FCE-435F-A072-16AD3C72AE77}"/>
            </a:ext>
          </a:extLst>
        </xdr:cNvPr>
        <xdr:cNvGrpSpPr/>
      </xdr:nvGrpSpPr>
      <xdr:grpSpPr>
        <a:xfrm>
          <a:off x="5905500" y="11628120"/>
          <a:ext cx="6168554" cy="1028214"/>
          <a:chOff x="6016487" y="10893287"/>
          <a:chExt cx="6489257" cy="796964"/>
        </a:xfrm>
      </xdr:grpSpPr>
      <xdr:pic>
        <xdr:nvPicPr>
          <xdr:cNvPr id="7" name="Picture 6">
            <a:extLst>
              <a:ext uri="{FF2B5EF4-FFF2-40B4-BE49-F238E27FC236}">
                <a16:creationId xmlns:a16="http://schemas.microsoft.com/office/drawing/2014/main" xmlns="" id="{13EE3209-FF4F-BD0B-F2C1-ACBADAFC526C}"/>
              </a:ext>
            </a:extLst>
          </xdr:cNvPr>
          <xdr:cNvPicPr>
            <a:picLocks noChangeAspect="1"/>
          </xdr:cNvPicPr>
        </xdr:nvPicPr>
        <xdr:blipFill>
          <a:blip xmlns:r="http://schemas.openxmlformats.org/officeDocument/2006/relationships" r:embed="rId2"/>
          <a:stretch>
            <a:fillRect/>
          </a:stretch>
        </xdr:blipFill>
        <xdr:spPr>
          <a:xfrm>
            <a:off x="7938053" y="10893287"/>
            <a:ext cx="4567691" cy="796964"/>
          </a:xfrm>
          <a:prstGeom prst="rect">
            <a:avLst/>
          </a:prstGeom>
          <a:ln w="28575">
            <a:solidFill>
              <a:srgbClr val="FF0000"/>
            </a:solidFill>
          </a:ln>
        </xdr:spPr>
      </xdr:pic>
      <xdr:sp macro="" textlink="">
        <xdr:nvSpPr>
          <xdr:cNvPr id="8" name="Callout: Line 7">
            <a:extLst>
              <a:ext uri="{FF2B5EF4-FFF2-40B4-BE49-F238E27FC236}">
                <a16:creationId xmlns:a16="http://schemas.microsoft.com/office/drawing/2014/main" xmlns="" id="{41568C3C-7B3F-4203-2868-F4A3B0CB81AB}"/>
              </a:ext>
            </a:extLst>
          </xdr:cNvPr>
          <xdr:cNvSpPr/>
        </xdr:nvSpPr>
        <xdr:spPr>
          <a:xfrm flipH="1">
            <a:off x="6016487" y="11198087"/>
            <a:ext cx="616226" cy="324678"/>
          </a:xfrm>
          <a:prstGeom prst="borderCallout1">
            <a:avLst>
              <a:gd name="adj1" fmla="val 18750"/>
              <a:gd name="adj2" fmla="val -8333"/>
              <a:gd name="adj3" fmla="val 6377"/>
              <a:gd name="adj4" fmla="val -206075"/>
            </a:avLst>
          </a:prstGeom>
          <a:noFill/>
          <a:ln w="38100">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grpSp>
    <xdr:clientData/>
  </xdr:twoCellAnchor>
</xdr:wsDr>
</file>

<file path=xl/tables/table1.xml><?xml version="1.0" encoding="utf-8"?>
<table xmlns="http://schemas.openxmlformats.org/spreadsheetml/2006/main" id="1" name="Table1" displayName="Table1" ref="A1:B18">
  <autoFilter ref="A1:B18"/>
  <tableColumns count="2">
    <tableColumn id="1" name="Name"/>
    <tableColumn id="2" name="Value" dataDxfId="1" totalsRow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c.europa.eu/info/funding-tenders/opportunities/docs/2021-2027/common/guidance/aga_en.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5.vml"/><Relationship Id="rId1" Type="http://schemas.openxmlformats.org/officeDocument/2006/relationships/printerSettings" Target="../printerSettings/printerSettings26.bin"/><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49"/>
  <sheetViews>
    <sheetView showGridLines="0" zoomScaleNormal="100" workbookViewId="0">
      <selection activeCell="C2" sqref="C2:D2"/>
    </sheetView>
  </sheetViews>
  <sheetFormatPr defaultColWidth="0" defaultRowHeight="15"/>
  <cols>
    <col min="1" max="2" width="5.140625" bestFit="1" customWidth="1"/>
    <col min="3" max="3" width="100.85546875" customWidth="1"/>
    <col min="4" max="4" width="2" bestFit="1" customWidth="1"/>
    <col min="5" max="5" width="61.140625" customWidth="1"/>
    <col min="6" max="6" width="5.140625" style="63" bestFit="1" customWidth="1"/>
    <col min="7" max="8" width="5.140625" bestFit="1" customWidth="1"/>
    <col min="9" max="9" width="5.140625" hidden="1" customWidth="1"/>
    <col min="10" max="16384" width="8.85546875" hidden="1"/>
  </cols>
  <sheetData>
    <row r="1" spans="1:9" s="52" customFormat="1">
      <c r="A1" s="52" t="s">
        <v>0</v>
      </c>
      <c r="B1" s="52" t="s">
        <v>0</v>
      </c>
      <c r="C1" s="275" t="str">
        <f>CurrentVersion</f>
        <v>[ Version LUMP SUM II - ERASMUS - v4.4_001, of 04/10/2023 10:55 ]</v>
      </c>
      <c r="F1" s="52" t="s">
        <v>0</v>
      </c>
      <c r="G1" s="52" t="s">
        <v>0</v>
      </c>
      <c r="H1" s="52" t="s">
        <v>0</v>
      </c>
      <c r="I1" s="52" t="s">
        <v>0</v>
      </c>
    </row>
    <row r="2" spans="1:9" s="104" customFormat="1" ht="66.599999999999994" customHeight="1">
      <c r="C2" s="393" t="s">
        <v>1</v>
      </c>
      <c r="D2" s="394"/>
      <c r="E2" s="105"/>
    </row>
    <row r="3" spans="1:9" s="52" customFormat="1">
      <c r="F3" s="91"/>
    </row>
    <row r="4" spans="1:9" ht="21">
      <c r="B4" s="395" t="s">
        <v>2</v>
      </c>
      <c r="C4" s="395"/>
      <c r="D4" s="395"/>
    </row>
    <row r="5" spans="1:9" ht="21">
      <c r="B5" s="385"/>
      <c r="C5" s="385"/>
    </row>
    <row r="6" spans="1:9" ht="75">
      <c r="B6" s="1">
        <v>1</v>
      </c>
      <c r="C6" s="2" t="s">
        <v>3</v>
      </c>
      <c r="D6" s="3"/>
    </row>
    <row r="7" spans="1:9" ht="75">
      <c r="B7" s="1">
        <v>2</v>
      </c>
      <c r="C7" s="2" t="s">
        <v>4</v>
      </c>
      <c r="D7" s="3"/>
    </row>
    <row r="8" spans="1:9" ht="30">
      <c r="B8" s="1">
        <v>3</v>
      </c>
      <c r="C8" s="2" t="s">
        <v>5</v>
      </c>
      <c r="D8" s="3"/>
    </row>
    <row r="9" spans="1:9" ht="30">
      <c r="B9" s="1">
        <v>4</v>
      </c>
      <c r="C9" s="2" t="s">
        <v>6</v>
      </c>
      <c r="D9" s="3"/>
    </row>
    <row r="10" spans="1:9" ht="60">
      <c r="B10" s="204">
        <v>5</v>
      </c>
      <c r="C10" s="205" t="s">
        <v>7</v>
      </c>
      <c r="D10" s="206"/>
    </row>
    <row r="11" spans="1:9" ht="90">
      <c r="B11" s="213">
        <v>6</v>
      </c>
      <c r="C11" s="2" t="s">
        <v>8</v>
      </c>
      <c r="D11" s="3"/>
    </row>
    <row r="12" spans="1:9" ht="90">
      <c r="B12" s="1">
        <v>7</v>
      </c>
      <c r="C12" s="2" t="s">
        <v>9</v>
      </c>
      <c r="D12" s="3"/>
    </row>
    <row r="13" spans="1:9" ht="45">
      <c r="B13" s="1">
        <v>8</v>
      </c>
      <c r="C13" s="2" t="s">
        <v>10</v>
      </c>
      <c r="D13" s="3"/>
    </row>
    <row r="14" spans="1:9" ht="120">
      <c r="B14" s="213">
        <v>9</v>
      </c>
      <c r="C14" s="207" t="s">
        <v>11</v>
      </c>
      <c r="D14" s="3"/>
      <c r="F14"/>
    </row>
    <row r="15" spans="1:9" ht="90">
      <c r="B15" s="1">
        <v>10</v>
      </c>
      <c r="C15" s="2" t="s">
        <v>12</v>
      </c>
      <c r="D15" s="3"/>
    </row>
    <row r="16" spans="1:9" ht="60">
      <c r="B16" s="406">
        <v>11</v>
      </c>
      <c r="C16" s="106" t="s">
        <v>13</v>
      </c>
      <c r="D16" s="107"/>
    </row>
    <row r="17" spans="2:7">
      <c r="B17" s="407"/>
      <c r="C17" s="200" t="s">
        <v>14</v>
      </c>
      <c r="D17" s="201"/>
    </row>
    <row r="18" spans="2:7" ht="75">
      <c r="B18" s="1">
        <v>12</v>
      </c>
      <c r="C18" s="2" t="s">
        <v>15</v>
      </c>
      <c r="D18" s="3"/>
    </row>
    <row r="19" spans="2:7" ht="105">
      <c r="B19" s="1">
        <v>13</v>
      </c>
      <c r="C19" s="2" t="s">
        <v>16</v>
      </c>
      <c r="D19" s="3"/>
    </row>
    <row r="20" spans="2:7" ht="30">
      <c r="B20" s="1">
        <v>14</v>
      </c>
      <c r="C20" s="2" t="s">
        <v>17</v>
      </c>
      <c r="D20" s="3"/>
    </row>
    <row r="21" spans="2:7" ht="30">
      <c r="B21" s="410">
        <v>15</v>
      </c>
      <c r="C21" s="278" t="s">
        <v>18</v>
      </c>
      <c r="D21" s="107"/>
    </row>
    <row r="22" spans="2:7" ht="6.6" customHeight="1">
      <c r="B22" s="411"/>
      <c r="C22" s="217"/>
      <c r="D22" s="215"/>
    </row>
    <row r="23" spans="2:7" ht="3.6" customHeight="1">
      <c r="B23" s="412"/>
      <c r="C23" s="214"/>
      <c r="D23" s="216"/>
    </row>
    <row r="24" spans="2:7" ht="60">
      <c r="B24" s="1">
        <v>16</v>
      </c>
      <c r="C24" s="205" t="s">
        <v>19</v>
      </c>
      <c r="D24" s="3"/>
    </row>
    <row r="25" spans="2:7" ht="45">
      <c r="B25" s="213">
        <v>17</v>
      </c>
      <c r="C25" s="2" t="s">
        <v>20</v>
      </c>
      <c r="D25" s="3"/>
    </row>
    <row r="26" spans="2:7" ht="60">
      <c r="B26" s="1">
        <v>18</v>
      </c>
      <c r="C26" s="2" t="s">
        <v>21</v>
      </c>
      <c r="D26" s="3"/>
    </row>
    <row r="27" spans="2:7" ht="195">
      <c r="B27" s="213">
        <v>19</v>
      </c>
      <c r="C27" s="218" t="s">
        <v>22</v>
      </c>
      <c r="D27" s="3"/>
    </row>
    <row r="28" spans="2:7">
      <c r="E28" s="10" t="s">
        <v>23</v>
      </c>
    </row>
    <row r="29" spans="2:7" ht="15.75" thickBot="1"/>
    <row r="30" spans="2:7" ht="15.75" thickTop="1">
      <c r="B30" s="64"/>
      <c r="C30" s="65"/>
      <c r="D30" s="403"/>
      <c r="E30" s="403"/>
      <c r="F30" s="403"/>
      <c r="G30" s="66"/>
    </row>
    <row r="31" spans="2:7">
      <c r="B31" s="67"/>
      <c r="C31" s="68"/>
      <c r="D31" s="405" t="s">
        <v>24</v>
      </c>
      <c r="E31" s="405"/>
      <c r="F31" s="405"/>
      <c r="G31" s="70"/>
    </row>
    <row r="32" spans="2:7">
      <c r="B32" s="67"/>
      <c r="C32" s="71" t="s">
        <v>25</v>
      </c>
      <c r="D32" s="85" t="s">
        <v>26</v>
      </c>
      <c r="E32" s="154"/>
      <c r="F32" s="72"/>
      <c r="G32" s="70"/>
    </row>
    <row r="33" spans="1:7">
      <c r="B33" s="67"/>
      <c r="C33" s="71" t="s">
        <v>27</v>
      </c>
      <c r="D33" s="85" t="s">
        <v>26</v>
      </c>
      <c r="E33" s="154"/>
      <c r="F33" s="72"/>
      <c r="G33" s="70"/>
    </row>
    <row r="34" spans="1:7">
      <c r="B34" s="67"/>
      <c r="C34" s="71" t="s">
        <v>28</v>
      </c>
      <c r="D34" s="85" t="s">
        <v>26</v>
      </c>
      <c r="E34" s="202" t="s">
        <v>29</v>
      </c>
      <c r="F34" s="72"/>
      <c r="G34" s="70"/>
    </row>
    <row r="35" spans="1:7">
      <c r="B35" s="67"/>
      <c r="C35" s="71" t="s">
        <v>30</v>
      </c>
      <c r="D35" s="85" t="s">
        <v>26</v>
      </c>
      <c r="E35" s="203" t="s">
        <v>31</v>
      </c>
      <c r="F35" s="72"/>
      <c r="G35" s="70"/>
    </row>
    <row r="36" spans="1:7">
      <c r="B36" s="67"/>
      <c r="C36" s="68"/>
      <c r="D36" s="68"/>
      <c r="E36" s="68"/>
      <c r="F36" s="69"/>
      <c r="G36" s="70"/>
    </row>
    <row r="37" spans="1:7" ht="45.75" thickBot="1">
      <c r="B37" s="73" t="s">
        <v>32</v>
      </c>
      <c r="C37" s="219" t="s">
        <v>33</v>
      </c>
      <c r="D37" s="68"/>
      <c r="E37" s="401" t="s">
        <v>34</v>
      </c>
      <c r="F37" s="402"/>
      <c r="G37" s="70"/>
    </row>
    <row r="38" spans="1:7" ht="15.75" thickTop="1">
      <c r="B38" s="74"/>
      <c r="C38" s="68"/>
      <c r="D38" s="68"/>
      <c r="E38" s="404" t="s">
        <v>35</v>
      </c>
      <c r="F38" s="404"/>
      <c r="G38" s="70"/>
    </row>
    <row r="39" spans="1:7" ht="15.75" thickBot="1">
      <c r="B39" s="75"/>
      <c r="C39" s="76"/>
      <c r="D39" s="76"/>
      <c r="E39" s="76"/>
      <c r="F39" s="77"/>
      <c r="G39" s="78"/>
    </row>
    <row r="40" spans="1:7" ht="15.75" thickTop="1"/>
    <row r="42" spans="1:7" ht="45">
      <c r="A42" s="408" t="s">
        <v>36</v>
      </c>
      <c r="B42" s="409"/>
      <c r="C42" s="409"/>
      <c r="D42" s="195" t="s">
        <v>32</v>
      </c>
    </row>
    <row r="43" spans="1:7">
      <c r="A43" s="398" t="s">
        <v>37</v>
      </c>
      <c r="B43" s="399"/>
      <c r="C43" s="400"/>
      <c r="E43" s="63"/>
      <c r="F43"/>
    </row>
    <row r="44" spans="1:7">
      <c r="A44" s="27"/>
      <c r="B44" s="396" t="s">
        <v>38</v>
      </c>
      <c r="C44" s="397"/>
      <c r="E44" s="63"/>
      <c r="F44"/>
    </row>
    <row r="45" spans="1:7">
      <c r="A45" s="28"/>
      <c r="B45" s="96"/>
      <c r="C45" s="98" t="s">
        <v>39</v>
      </c>
      <c r="E45" s="63"/>
      <c r="F45"/>
    </row>
    <row r="46" spans="1:7">
      <c r="A46" s="28"/>
      <c r="B46" s="97"/>
      <c r="C46" s="98" t="s">
        <v>40</v>
      </c>
      <c r="E46" s="63"/>
      <c r="F46"/>
    </row>
    <row r="47" spans="1:7">
      <c r="A47" s="28"/>
      <c r="B47" s="97"/>
      <c r="C47" s="98" t="s">
        <v>41</v>
      </c>
      <c r="E47" s="63"/>
      <c r="F47"/>
    </row>
    <row r="48" spans="1:7">
      <c r="A48" s="28"/>
      <c r="B48" s="97"/>
      <c r="C48" s="98" t="s">
        <v>42</v>
      </c>
      <c r="E48" s="63"/>
      <c r="F48"/>
    </row>
    <row r="49" spans="1:6">
      <c r="A49" s="28"/>
      <c r="B49" s="97"/>
      <c r="C49" s="98" t="s">
        <v>975</v>
      </c>
      <c r="E49" s="63"/>
      <c r="F49"/>
    </row>
  </sheetData>
  <sheetProtection algorithmName="SHA-512" hashValue="Csh9x7HV9YvtjVVQYHftjFBR9D1tK942Co2U4mXYhYIRZseSVmlfsH8c3QnEbpRGAT8KE0lbyxJXaC3CLOWRhw==" saltValue="qvJ/bFViBjbUlNIvVZto/Q==" spinCount="100000" sheet="1" objects="1" scenarios="1"/>
  <mergeCells count="11">
    <mergeCell ref="C2:D2"/>
    <mergeCell ref="B4:D4"/>
    <mergeCell ref="B44:C44"/>
    <mergeCell ref="A43:C43"/>
    <mergeCell ref="E37:F37"/>
    <mergeCell ref="D30:F30"/>
    <mergeCell ref="E38:F38"/>
    <mergeCell ref="D31:F31"/>
    <mergeCell ref="B16:B17"/>
    <mergeCell ref="A42:C42"/>
    <mergeCell ref="B21:B23"/>
  </mergeCells>
  <hyperlinks>
    <hyperlink ref="C17"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9"/>
  </sheetPr>
  <dimension ref="A1:XFC18"/>
  <sheetViews>
    <sheetView showGridLines="0" workbookViewId="0">
      <pane ySplit="5" topLeftCell="A6" activePane="bottomLeft" state="frozen"/>
      <selection pane="bottomLeft" activeCell="F4" sqref="F4:G4"/>
    </sheetView>
  </sheetViews>
  <sheetFormatPr defaultColWidth="8.5703125" defaultRowHeight="15"/>
  <cols>
    <col min="1" max="1" width="19.140625" bestFit="1" customWidth="1"/>
    <col min="2" max="2" width="41.85546875" bestFit="1" customWidth="1"/>
    <col min="3" max="3" width="16.140625" bestFit="1" customWidth="1"/>
    <col min="4" max="4" width="7.85546875" style="63" bestFit="1" customWidth="1"/>
    <col min="5" max="5" width="2" style="10" bestFit="1" customWidth="1"/>
    <col min="6" max="6" width="24.42578125" bestFit="1" customWidth="1"/>
    <col min="7" max="7" width="62.85546875" customWidth="1"/>
    <col min="8" max="8" width="2.140625" style="10" bestFit="1" customWidth="1"/>
    <col min="9" max="9" width="2.140625" style="4" hidden="1" customWidth="1"/>
    <col min="10" max="11" width="5" style="4" hidden="1" customWidth="1"/>
    <col min="12" max="12" width="8.5703125" style="4" hidden="1" customWidth="1"/>
    <col min="13" max="13" width="3" style="4" hidden="1" customWidth="1"/>
    <col min="14" max="14" width="8.5703125" style="4" hidden="1" customWidth="1"/>
    <col min="15" max="16383" width="8.5703125" hidden="1" customWidth="1"/>
  </cols>
  <sheetData>
    <row r="1" spans="1:13" s="4" customFormat="1" ht="15.75" hidden="1" thickBot="1">
      <c r="A1" s="4" t="s">
        <v>43</v>
      </c>
      <c r="B1" s="4" t="s">
        <v>44</v>
      </c>
      <c r="C1" s="4" t="s">
        <v>45</v>
      </c>
      <c r="D1" s="79" t="s">
        <v>0</v>
      </c>
      <c r="E1" s="10"/>
      <c r="F1" s="7">
        <f ca="1">COUNTA(A:A)</f>
        <v>17</v>
      </c>
      <c r="G1" s="4">
        <f ca="1">COUNTA(A:A)</f>
        <v>17</v>
      </c>
      <c r="H1" s="10"/>
    </row>
    <row r="2" spans="1:13" ht="16.5" hidden="1" thickTop="1" thickBot="1">
      <c r="A2" s="6" t="str">
        <f ca="1">IF(J2=INT(J2),"BE "&amp;TEXT(J2,"000"),"BE "&amp;TEXT(INT(J2),"000")&amp;" / AE "&amp;TEXT((J2-INT(J2))*(10 ^ (LEN(J2)-LEN(INT(J2))-1)),"000"))</f>
        <v>BE 000 / AE 001</v>
      </c>
      <c r="B2" s="15"/>
      <c r="C2" s="15"/>
      <c r="D2" s="80"/>
      <c r="F2" s="8" t="str">
        <f>IF(I2="D","TO BE REMOVED","Remove this "&amp;IF(I2="B","Beneficiary","Affiliated Entity"))</f>
        <v>Remove this Affiliated Entity</v>
      </c>
      <c r="G2" s="9" t="str">
        <f ca="1">IF(I2="D",IF(J2=INT(J2),"UNDO DELETE this Beneficiary",IF(OFFSET(I2,INT(-1*(J2-INT(J2))*(10^(LEN(J2)-LEN(INT(J2))-1))),0)="D","","UNDO DELETE this Affiliated Entity")),IF(OR(OFFSET(I2,1,0)="T",OFFSET(I2,1,0)="D"),"","Add an Affiliated Entity"))</f>
        <v>Add an Affiliated Entity</v>
      </c>
      <c r="H2" s="10" t="s">
        <v>46</v>
      </c>
      <c r="J2" s="4">
        <f ca="1">OFFSET(J2,-1,0)+0.01</f>
        <v>0.01</v>
      </c>
    </row>
    <row r="3" spans="1:13" s="13" customFormat="1" ht="15.75" hidden="1" thickTop="1">
      <c r="A3" s="11" t="s">
        <v>47</v>
      </c>
      <c r="B3" s="11"/>
      <c r="C3" s="11"/>
      <c r="D3" s="81"/>
      <c r="E3" s="12"/>
      <c r="F3" s="11"/>
      <c r="G3" s="11" t="s">
        <v>48</v>
      </c>
      <c r="H3" s="12"/>
    </row>
    <row r="4" spans="1:13" ht="21.75" thickBot="1">
      <c r="A4" s="413" t="s">
        <v>49</v>
      </c>
      <c r="B4" s="413"/>
      <c r="C4" s="413"/>
      <c r="D4" s="413"/>
      <c r="E4" s="10">
        <v>1</v>
      </c>
      <c r="F4" s="414" t="s">
        <v>50</v>
      </c>
      <c r="G4" s="414"/>
      <c r="M4" s="4">
        <f ca="1">F1</f>
        <v>17</v>
      </c>
    </row>
    <row r="5" spans="1:13" ht="22.5" thickTop="1" thickBot="1">
      <c r="A5" s="5" t="s">
        <v>51</v>
      </c>
      <c r="B5" s="5" t="s">
        <v>52</v>
      </c>
      <c r="C5" s="5" t="s">
        <v>53</v>
      </c>
      <c r="D5" s="82" t="s">
        <v>54</v>
      </c>
      <c r="F5" s="14" t="str">
        <f>IF(E4=1,"APPLY CHANGES","All is coherent")</f>
        <v>APPLY CHANGES</v>
      </c>
      <c r="G5" s="49" t="s">
        <v>55</v>
      </c>
    </row>
    <row r="6" spans="1:13" ht="16.5" thickTop="1" thickBot="1">
      <c r="A6" s="6" t="str">
        <f t="shared" ref="A6" si="0">IF(J6=INT(J6),"BE "&amp;TEXT(J6,"000"),"BE "&amp;TEXT(INT(J6),"000")&amp;" / AE "&amp;TEXT((J6-INT(J6))*(10 ^ (LEN(J6)-LEN(INT(J6))-1)),"000"))</f>
        <v>BE 001</v>
      </c>
      <c r="B6" s="15"/>
      <c r="C6" s="15"/>
      <c r="D6" s="80"/>
      <c r="F6" s="8" t="str">
        <f t="shared" ref="F6" si="1">IF(I6="D","TO BE REMOVED","Remove this "&amp;IF(I6="B","Beneficiary","Affiliated Entity"))</f>
        <v>Remove this Beneficiary</v>
      </c>
      <c r="G6" s="9" t="str">
        <f t="shared" ref="G6" ca="1" si="2">IF(I6="D",IF(J6=INT(J6),"UNDO DELETE this Beneficiary",IF(OFFSET(I6,INT(-1*(J6-INT(J6))*(10^(LEN(J6)-LEN(INT(J6))-1))),0)="D","","UNDO DELETE this Affiliated Entity")),IF(OR(OFFSET(I6,1,0)="T",OFFSET(I6,1,0)="D"),"","Add an Affiliated Entity"))</f>
        <v>Add an Affiliated Entity</v>
      </c>
      <c r="H6" s="10" t="s">
        <v>56</v>
      </c>
      <c r="I6" s="4" t="s">
        <v>56</v>
      </c>
      <c r="J6" s="4">
        <v>1</v>
      </c>
      <c r="K6" s="4">
        <v>1</v>
      </c>
    </row>
    <row r="7" spans="1:13" ht="16.5" thickTop="1" thickBot="1">
      <c r="A7" s="6" t="str">
        <f t="shared" ref="A7:A17" si="3">IF(J7=INT(J7),"BE "&amp;TEXT(J7,"000"),"BE "&amp;TEXT(INT(J7),"000")&amp;" / AE "&amp;TEXT((J7-INT(J7))*(10 ^ (LEN(J7)-LEN(INT(J7))-1)),"000"))</f>
        <v>BE 002</v>
      </c>
      <c r="B7" s="15"/>
      <c r="C7" s="15"/>
      <c r="D7" s="80"/>
      <c r="F7" s="8" t="str">
        <f t="shared" ref="F7:F17" si="4">IF(I7="D","TO BE REMOVED","Remove this "&amp;IF(I7="B","Beneficiary","Affiliated Entity"))</f>
        <v>Remove this Beneficiary</v>
      </c>
      <c r="G7" s="9" t="str">
        <f t="shared" ref="G7:G17" ca="1" si="5">IF(I7="D",IF(J7=INT(J7),"UNDO DELETE this Beneficiary",IF(OFFSET(I7,INT(-1*(J7-INT(J7))*(10^(LEN(J7)-LEN(INT(J7))-1))),0)="D","","UNDO DELETE this Affiliated Entity")),IF(OR(OFFSET(I7,1,0)="T",OFFSET(I7,1,0)="D"),"","Add an Affiliated Entity"))</f>
        <v>Add an Affiliated Entity</v>
      </c>
      <c r="H7" s="10" t="s">
        <v>46</v>
      </c>
      <c r="I7" s="4" t="s">
        <v>56</v>
      </c>
      <c r="J7" s="4">
        <v>2</v>
      </c>
      <c r="K7" s="4">
        <v>2</v>
      </c>
    </row>
    <row r="8" spans="1:13" ht="16.5" thickTop="1" thickBot="1">
      <c r="A8" s="6" t="str">
        <f t="shared" si="3"/>
        <v>BE 003</v>
      </c>
      <c r="B8" s="15"/>
      <c r="C8" s="15"/>
      <c r="D8" s="80"/>
      <c r="F8" s="8" t="str">
        <f t="shared" si="4"/>
        <v>Remove this Beneficiary</v>
      </c>
      <c r="G8" s="9" t="str">
        <f t="shared" ca="1" si="5"/>
        <v>Add an Affiliated Entity</v>
      </c>
      <c r="H8" s="10" t="s">
        <v>46</v>
      </c>
      <c r="I8" s="4" t="s">
        <v>56</v>
      </c>
      <c r="J8" s="4">
        <v>3</v>
      </c>
      <c r="K8" s="4">
        <v>3</v>
      </c>
    </row>
    <row r="9" spans="1:13" ht="16.5" thickTop="1" thickBot="1">
      <c r="A9" s="6" t="str">
        <f t="shared" si="3"/>
        <v>BE 004</v>
      </c>
      <c r="B9" s="15"/>
      <c r="C9" s="15"/>
      <c r="D9" s="80"/>
      <c r="F9" s="8" t="str">
        <f t="shared" si="4"/>
        <v>Remove this Beneficiary</v>
      </c>
      <c r="G9" s="9" t="str">
        <f t="shared" ca="1" si="5"/>
        <v>Add an Affiliated Entity</v>
      </c>
      <c r="H9" s="10" t="s">
        <v>46</v>
      </c>
      <c r="I9" s="4" t="s">
        <v>56</v>
      </c>
      <c r="J9" s="4">
        <v>4</v>
      </c>
      <c r="K9" s="4">
        <v>4</v>
      </c>
    </row>
    <row r="10" spans="1:13" ht="16.5" thickTop="1" thickBot="1">
      <c r="A10" s="6" t="str">
        <f t="shared" si="3"/>
        <v>BE 005</v>
      </c>
      <c r="B10" s="15"/>
      <c r="C10" s="15"/>
      <c r="D10" s="80"/>
      <c r="F10" s="8" t="str">
        <f t="shared" si="4"/>
        <v>Remove this Beneficiary</v>
      </c>
      <c r="G10" s="9" t="str">
        <f t="shared" ca="1" si="5"/>
        <v>Add an Affiliated Entity</v>
      </c>
      <c r="H10" s="10" t="s">
        <v>46</v>
      </c>
      <c r="I10" s="4" t="s">
        <v>56</v>
      </c>
      <c r="J10" s="4">
        <v>5</v>
      </c>
      <c r="K10" s="4">
        <v>5</v>
      </c>
    </row>
    <row r="11" spans="1:13" ht="16.5" thickTop="1" thickBot="1">
      <c r="A11" s="6" t="str">
        <f t="shared" si="3"/>
        <v>BE 006</v>
      </c>
      <c r="B11" s="15"/>
      <c r="C11" s="15"/>
      <c r="D11" s="80"/>
      <c r="F11" s="8" t="str">
        <f t="shared" si="4"/>
        <v>Remove this Beneficiary</v>
      </c>
      <c r="G11" s="9" t="str">
        <f t="shared" ca="1" si="5"/>
        <v>Add an Affiliated Entity</v>
      </c>
      <c r="H11" s="10" t="s">
        <v>46</v>
      </c>
      <c r="I11" s="4" t="s">
        <v>56</v>
      </c>
      <c r="J11" s="4">
        <v>6</v>
      </c>
      <c r="K11" s="4">
        <v>6</v>
      </c>
    </row>
    <row r="12" spans="1:13" ht="16.5" thickTop="1" thickBot="1">
      <c r="A12" s="6" t="str">
        <f t="shared" si="3"/>
        <v>BE 007</v>
      </c>
      <c r="B12" s="15"/>
      <c r="C12" s="15"/>
      <c r="D12" s="80"/>
      <c r="F12" s="8" t="str">
        <f t="shared" si="4"/>
        <v>Remove this Beneficiary</v>
      </c>
      <c r="G12" s="9" t="str">
        <f t="shared" ca="1" si="5"/>
        <v>Add an Affiliated Entity</v>
      </c>
      <c r="H12" s="10" t="s">
        <v>46</v>
      </c>
      <c r="I12" s="4" t="s">
        <v>56</v>
      </c>
      <c r="J12" s="4">
        <v>7</v>
      </c>
      <c r="K12" s="4">
        <v>7</v>
      </c>
    </row>
    <row r="13" spans="1:13" ht="16.5" thickTop="1" thickBot="1">
      <c r="A13" s="6" t="str">
        <f t="shared" si="3"/>
        <v>BE 008</v>
      </c>
      <c r="B13" s="15"/>
      <c r="C13" s="15"/>
      <c r="D13" s="80"/>
      <c r="F13" s="8" t="str">
        <f t="shared" si="4"/>
        <v>Remove this Beneficiary</v>
      </c>
      <c r="G13" s="9" t="str">
        <f t="shared" ca="1" si="5"/>
        <v>Add an Affiliated Entity</v>
      </c>
      <c r="H13" s="10" t="s">
        <v>46</v>
      </c>
      <c r="I13" s="4" t="s">
        <v>56</v>
      </c>
      <c r="J13" s="4">
        <v>8</v>
      </c>
      <c r="K13" s="4">
        <v>8</v>
      </c>
    </row>
    <row r="14" spans="1:13" ht="16.5" thickTop="1" thickBot="1">
      <c r="A14" s="6" t="str">
        <f t="shared" si="3"/>
        <v>BE 009</v>
      </c>
      <c r="B14" s="15"/>
      <c r="C14" s="15"/>
      <c r="D14" s="80"/>
      <c r="F14" s="8" t="str">
        <f t="shared" si="4"/>
        <v>Remove this Beneficiary</v>
      </c>
      <c r="G14" s="9" t="str">
        <f t="shared" ca="1" si="5"/>
        <v>Add an Affiliated Entity</v>
      </c>
      <c r="H14" s="10" t="s">
        <v>46</v>
      </c>
      <c r="I14" s="4" t="s">
        <v>56</v>
      </c>
      <c r="J14" s="4">
        <v>9</v>
      </c>
      <c r="K14" s="4">
        <v>9</v>
      </c>
    </row>
    <row r="15" spans="1:13" ht="16.5" thickTop="1" thickBot="1">
      <c r="A15" s="6" t="str">
        <f t="shared" si="3"/>
        <v>BE 010</v>
      </c>
      <c r="B15" s="15"/>
      <c r="C15" s="15"/>
      <c r="D15" s="80"/>
      <c r="F15" s="8" t="str">
        <f t="shared" si="4"/>
        <v>Remove this Beneficiary</v>
      </c>
      <c r="G15" s="9" t="str">
        <f t="shared" ca="1" si="5"/>
        <v>Add an Affiliated Entity</v>
      </c>
      <c r="H15" s="10" t="s">
        <v>46</v>
      </c>
      <c r="I15" s="4" t="s">
        <v>56</v>
      </c>
      <c r="J15" s="4">
        <v>10</v>
      </c>
      <c r="K15" s="4">
        <v>10</v>
      </c>
    </row>
    <row r="16" spans="1:13" ht="16.5" thickTop="1" thickBot="1">
      <c r="A16" s="6" t="str">
        <f t="shared" si="3"/>
        <v>BE 011</v>
      </c>
      <c r="B16" s="15"/>
      <c r="C16" s="15"/>
      <c r="D16" s="80"/>
      <c r="F16" s="8" t="str">
        <f t="shared" si="4"/>
        <v>Remove this Beneficiary</v>
      </c>
      <c r="G16" s="9" t="str">
        <f t="shared" ca="1" si="5"/>
        <v>Add an Affiliated Entity</v>
      </c>
      <c r="H16" s="10" t="s">
        <v>46</v>
      </c>
      <c r="I16" s="4" t="s">
        <v>56</v>
      </c>
      <c r="J16" s="4">
        <v>11</v>
      </c>
      <c r="K16" s="4">
        <v>11</v>
      </c>
    </row>
    <row r="17" spans="1:14" ht="16.5" thickTop="1" thickBot="1">
      <c r="A17" s="6" t="str">
        <f t="shared" si="3"/>
        <v>BE 012</v>
      </c>
      <c r="B17" s="15"/>
      <c r="C17" s="15"/>
      <c r="D17" s="80"/>
      <c r="F17" s="8" t="str">
        <f t="shared" si="4"/>
        <v>Remove this Beneficiary</v>
      </c>
      <c r="G17" s="9" t="str">
        <f t="shared" ca="1" si="5"/>
        <v>Add an Affiliated Entity</v>
      </c>
      <c r="H17" s="10" t="s">
        <v>46</v>
      </c>
      <c r="I17" s="4" t="s">
        <v>56</v>
      </c>
      <c r="J17" s="4">
        <v>12</v>
      </c>
      <c r="K17" s="4">
        <v>12</v>
      </c>
    </row>
    <row r="18" spans="1:14" ht="15.75" thickTop="1">
      <c r="D18"/>
      <c r="E18"/>
      <c r="H18"/>
      <c r="I18"/>
      <c r="J18"/>
      <c r="K18"/>
      <c r="L18"/>
      <c r="M18"/>
      <c r="N18"/>
    </row>
  </sheetData>
  <sheetProtection algorithmName="SHA-512" hashValue="h4m6qwuyeXqr4OEQ/nltaQTHtve6KFIlCoZ89ndkSExHn4ZKQ/2Yihl3e1fVv0J97LzMRFYRKVWSTrvLu3rHEw==" saltValue="Ma2453OB3tCRt0I9uAROVA==" spinCount="100000" sheet="1" objects="1" scenarios="1"/>
  <mergeCells count="2">
    <mergeCell ref="A4:D4"/>
    <mergeCell ref="F4:G4"/>
  </mergeCells>
  <conditionalFormatting sqref="A2:D2">
    <cfRule type="expression" dxfId="512" priority="592">
      <formula>$I2="T"</formula>
    </cfRule>
  </conditionalFormatting>
  <conditionalFormatting sqref="F1:G6 A1:D6 A19:D1048576 F19:G1048576">
    <cfRule type="expression" dxfId="511" priority="593">
      <formula>$I1="D"</formula>
    </cfRule>
  </conditionalFormatting>
  <conditionalFormatting sqref="F1:F6 F19:F1048576">
    <cfRule type="expression" dxfId="510" priority="595">
      <formula>$I1="B"</formula>
    </cfRule>
  </conditionalFormatting>
  <conditionalFormatting sqref="A6:D6">
    <cfRule type="expression" dxfId="509" priority="302">
      <formula>$I6="T"</formula>
    </cfRule>
  </conditionalFormatting>
  <conditionalFormatting sqref="A6:D6">
    <cfRule type="expression" dxfId="508" priority="303">
      <formula>$I6="D"</formula>
    </cfRule>
  </conditionalFormatting>
  <conditionalFormatting sqref="F6">
    <cfRule type="expression" dxfId="507" priority="304">
      <formula>$I6="B"</formula>
    </cfRule>
  </conditionalFormatting>
  <conditionalFormatting sqref="A7:D7">
    <cfRule type="expression" dxfId="506" priority="31">
      <formula>$I7="T"</formula>
    </cfRule>
  </conditionalFormatting>
  <conditionalFormatting sqref="F7:G7 A7:D7">
    <cfRule type="expression" dxfId="505" priority="32">
      <formula>$I7="D"</formula>
    </cfRule>
  </conditionalFormatting>
  <conditionalFormatting sqref="F7">
    <cfRule type="expression" dxfId="504" priority="33">
      <formula>$I7="B"</formula>
    </cfRule>
  </conditionalFormatting>
  <conditionalFormatting sqref="A8:D8">
    <cfRule type="expression" dxfId="503" priority="28">
      <formula>$I8="T"</formula>
    </cfRule>
  </conditionalFormatting>
  <conditionalFormatting sqref="F8:G8 A8:D8">
    <cfRule type="expression" dxfId="502" priority="29">
      <formula>$I8="D"</formula>
    </cfRule>
  </conditionalFormatting>
  <conditionalFormatting sqref="F8">
    <cfRule type="expression" dxfId="501" priority="30">
      <formula>$I8="B"</formula>
    </cfRule>
  </conditionalFormatting>
  <conditionalFormatting sqref="A9:D9">
    <cfRule type="expression" dxfId="500" priority="25">
      <formula>$I9="T"</formula>
    </cfRule>
  </conditionalFormatting>
  <conditionalFormatting sqref="F9:G9 A9:D9">
    <cfRule type="expression" dxfId="499" priority="26">
      <formula>$I9="D"</formula>
    </cfRule>
  </conditionalFormatting>
  <conditionalFormatting sqref="F9">
    <cfRule type="expression" dxfId="498" priority="27">
      <formula>$I9="B"</formula>
    </cfRule>
  </conditionalFormatting>
  <conditionalFormatting sqref="A10:D10">
    <cfRule type="expression" dxfId="497" priority="22">
      <formula>$I10="T"</formula>
    </cfRule>
  </conditionalFormatting>
  <conditionalFormatting sqref="F10:G10 A10:D10">
    <cfRule type="expression" dxfId="496" priority="23">
      <formula>$I10="D"</formula>
    </cfRule>
  </conditionalFormatting>
  <conditionalFormatting sqref="F10">
    <cfRule type="expression" dxfId="495" priority="24">
      <formula>$I10="B"</formula>
    </cfRule>
  </conditionalFormatting>
  <conditionalFormatting sqref="A11:D11">
    <cfRule type="expression" dxfId="494" priority="19">
      <formula>$I11="T"</formula>
    </cfRule>
  </conditionalFormatting>
  <conditionalFormatting sqref="F11:G11 A11:D11">
    <cfRule type="expression" dxfId="493" priority="20">
      <formula>$I11="D"</formula>
    </cfRule>
  </conditionalFormatting>
  <conditionalFormatting sqref="F11">
    <cfRule type="expression" dxfId="492" priority="21">
      <formula>$I11="B"</formula>
    </cfRule>
  </conditionalFormatting>
  <conditionalFormatting sqref="A12:D12">
    <cfRule type="expression" dxfId="491" priority="16">
      <formula>$I12="T"</formula>
    </cfRule>
  </conditionalFormatting>
  <conditionalFormatting sqref="F12:G12 A12:D12">
    <cfRule type="expression" dxfId="490" priority="17">
      <formula>$I12="D"</formula>
    </cfRule>
  </conditionalFormatting>
  <conditionalFormatting sqref="F12">
    <cfRule type="expression" dxfId="489" priority="18">
      <formula>$I12="B"</formula>
    </cfRule>
  </conditionalFormatting>
  <conditionalFormatting sqref="A13:D13">
    <cfRule type="expression" dxfId="488" priority="13">
      <formula>$I13="T"</formula>
    </cfRule>
  </conditionalFormatting>
  <conditionalFormatting sqref="F13:G13 A13:D13">
    <cfRule type="expression" dxfId="487" priority="14">
      <formula>$I13="D"</formula>
    </cfRule>
  </conditionalFormatting>
  <conditionalFormatting sqref="F13">
    <cfRule type="expression" dxfId="486" priority="15">
      <formula>$I13="B"</formula>
    </cfRule>
  </conditionalFormatting>
  <conditionalFormatting sqref="A14:D14">
    <cfRule type="expression" dxfId="485" priority="10">
      <formula>$I14="T"</formula>
    </cfRule>
  </conditionalFormatting>
  <conditionalFormatting sqref="F14:G14 A14:D14">
    <cfRule type="expression" dxfId="484" priority="11">
      <formula>$I14="D"</formula>
    </cfRule>
  </conditionalFormatting>
  <conditionalFormatting sqref="F14">
    <cfRule type="expression" dxfId="483" priority="12">
      <formula>$I14="B"</formula>
    </cfRule>
  </conditionalFormatting>
  <conditionalFormatting sqref="A15:D15">
    <cfRule type="expression" dxfId="482" priority="7">
      <formula>$I15="T"</formula>
    </cfRule>
  </conditionalFormatting>
  <conditionalFormatting sqref="F15:G15 A15:D15">
    <cfRule type="expression" dxfId="481" priority="8">
      <formula>$I15="D"</formula>
    </cfRule>
  </conditionalFormatting>
  <conditionalFormatting sqref="F15">
    <cfRule type="expression" dxfId="480" priority="9">
      <formula>$I15="B"</formula>
    </cfRule>
  </conditionalFormatting>
  <conditionalFormatting sqref="A16:D16">
    <cfRule type="expression" dxfId="479" priority="4">
      <formula>$I16="T"</formula>
    </cfRule>
  </conditionalFormatting>
  <conditionalFormatting sqref="F16:G16 A16:D16">
    <cfRule type="expression" dxfId="478" priority="5">
      <formula>$I16="D"</formula>
    </cfRule>
  </conditionalFormatting>
  <conditionalFormatting sqref="F16">
    <cfRule type="expression" dxfId="477" priority="6">
      <formula>$I16="B"</formula>
    </cfRule>
  </conditionalFormatting>
  <conditionalFormatting sqref="A17:D17">
    <cfRule type="expression" dxfId="476" priority="1">
      <formula>$I17="T"</formula>
    </cfRule>
  </conditionalFormatting>
  <conditionalFormatting sqref="F17:G17 A17:D17">
    <cfRule type="expression" dxfId="475" priority="2">
      <formula>$I17="D"</formula>
    </cfRule>
  </conditionalFormatting>
  <conditionalFormatting sqref="F17">
    <cfRule type="expression" dxfId="474" priority="3">
      <formula>$I17="B"</formula>
    </cfRule>
  </conditionalFormatting>
  <dataValidations count="1">
    <dataValidation type="list" allowBlank="1" showInputMessage="1" showErrorMessage="1" sqref="D2 D6:D17">
      <formula1>ListOfCountries</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9"/>
  </sheetPr>
  <dimension ref="A1:Q14"/>
  <sheetViews>
    <sheetView showGridLines="0" workbookViewId="0">
      <pane ySplit="5" topLeftCell="A6" activePane="bottomLeft" state="frozen"/>
      <selection pane="bottomLeft" activeCell="D4" sqref="D4:E4"/>
    </sheetView>
  </sheetViews>
  <sheetFormatPr defaultColWidth="8.5703125" defaultRowHeight="15"/>
  <cols>
    <col min="1" max="1" width="19.140625" bestFit="1" customWidth="1"/>
    <col min="2" max="2" width="41.85546875" bestFit="1" customWidth="1"/>
    <col min="3" max="3" width="1.5703125" bestFit="1" customWidth="1"/>
    <col min="4" max="4" width="29.42578125" bestFit="1" customWidth="1"/>
    <col min="5" max="5" width="62.85546875" style="57" customWidth="1"/>
    <col min="6" max="6" width="1.5703125" style="16" bestFit="1" customWidth="1"/>
    <col min="7" max="7" width="2" style="16" hidden="1" customWidth="1"/>
    <col min="8" max="8" width="1.5703125" style="16" hidden="1" customWidth="1"/>
    <col min="9" max="9" width="2.5703125" style="16" hidden="1" customWidth="1"/>
    <col min="10" max="11" width="2" style="16" hidden="1" customWidth="1"/>
    <col min="12" max="12" width="8.5703125" style="16" hidden="1" customWidth="1"/>
    <col min="13" max="13" width="2" style="16" hidden="1" customWidth="1"/>
    <col min="14" max="14" width="8.5703125" style="16" hidden="1" customWidth="1"/>
    <col min="15" max="17" width="8.5703125" hidden="1" customWidth="1"/>
    <col min="18" max="16383" width="0" hidden="1" customWidth="1"/>
  </cols>
  <sheetData>
    <row r="1" spans="1:14" s="4" customFormat="1" ht="15.75" hidden="1" thickBot="1">
      <c r="A1" s="4" t="s">
        <v>43</v>
      </c>
      <c r="B1" s="4" t="s">
        <v>44</v>
      </c>
      <c r="C1" t="s">
        <v>57</v>
      </c>
      <c r="E1" s="263"/>
      <c r="F1" s="16" t="s">
        <v>57</v>
      </c>
      <c r="G1" s="19">
        <f>COUNTA(A:A)</f>
        <v>13</v>
      </c>
      <c r="H1" s="16" t="s">
        <v>57</v>
      </c>
      <c r="I1" s="16"/>
      <c r="J1" s="16"/>
      <c r="K1" s="16"/>
      <c r="L1" s="16"/>
      <c r="M1" s="16"/>
      <c r="N1" s="16"/>
    </row>
    <row r="2" spans="1:14" ht="16.5" hidden="1" thickTop="1" thickBot="1">
      <c r="A2" s="6" t="str">
        <f>"WP "&amp;TEXT(J2,"000")</f>
        <v>WP 000</v>
      </c>
      <c r="B2" s="15"/>
      <c r="D2" s="8" t="str">
        <f>IF(I2="D","TO BE REMOVED","Remove this Work Package")</f>
        <v>Remove this Work Package</v>
      </c>
      <c r="E2" s="264" t="str">
        <f>IF(I2="D","UNDO DELETE this Work Package","")</f>
        <v/>
      </c>
      <c r="I2" s="16" t="s">
        <v>58</v>
      </c>
    </row>
    <row r="3" spans="1:14" s="13" customFormat="1" ht="15.75" hidden="1" thickTop="1">
      <c r="A3" s="11" t="s">
        <v>47</v>
      </c>
      <c r="B3" s="11"/>
      <c r="C3" s="17"/>
      <c r="D3" s="11"/>
      <c r="E3" s="265"/>
      <c r="F3" s="20"/>
      <c r="G3" s="20"/>
      <c r="H3" s="20"/>
      <c r="I3" s="18"/>
      <c r="J3" s="18"/>
      <c r="K3" s="18"/>
      <c r="L3" s="18"/>
      <c r="M3" s="18"/>
      <c r="N3" s="18"/>
    </row>
    <row r="4" spans="1:14" ht="21.75" thickBot="1">
      <c r="A4" s="415" t="s">
        <v>59</v>
      </c>
      <c r="B4" s="416"/>
      <c r="D4" s="414" t="s">
        <v>50</v>
      </c>
      <c r="E4" s="414"/>
      <c r="I4" s="16">
        <v>1</v>
      </c>
      <c r="M4" s="16">
        <f>G1</f>
        <v>13</v>
      </c>
    </row>
    <row r="5" spans="1:14" ht="22.5" thickTop="1" thickBot="1">
      <c r="A5" s="5" t="s">
        <v>60</v>
      </c>
      <c r="B5" s="5" t="s">
        <v>61</v>
      </c>
      <c r="D5" s="14" t="str">
        <f>IF(I4=1,"APPLY CHANGES","All is coherent")</f>
        <v>APPLY CHANGES</v>
      </c>
      <c r="E5" s="266" t="s">
        <v>62</v>
      </c>
    </row>
    <row r="6" spans="1:14" ht="16.5" thickTop="1" thickBot="1">
      <c r="A6" s="6" t="str">
        <f t="shared" ref="A6:A13" si="0">"WP "&amp;TEXT(J6,"000")</f>
        <v>WP 001</v>
      </c>
      <c r="B6" s="15"/>
      <c r="D6" s="8" t="str">
        <f t="shared" ref="D6:D13" si="1">IF(I6="D","TO BE REMOVED","Remove this Work Package")</f>
        <v>Remove this Work Package</v>
      </c>
      <c r="E6" s="264" t="str">
        <f t="shared" ref="E6" si="2">IF(I6="D","UNDO DELETE this Work Package","")</f>
        <v/>
      </c>
      <c r="I6" s="16" t="s">
        <v>58</v>
      </c>
      <c r="J6" s="16">
        <v>1</v>
      </c>
    </row>
    <row r="7" spans="1:14" ht="16.5" thickTop="1" thickBot="1">
      <c r="A7" s="6" t="str">
        <f t="shared" si="0"/>
        <v>WP 002</v>
      </c>
      <c r="B7" s="15"/>
      <c r="D7" s="8" t="str">
        <f t="shared" si="1"/>
        <v>Remove this Work Package</v>
      </c>
      <c r="E7" s="264" t="str">
        <f t="shared" ref="E7:E13" si="3">IF(I7="D","UNDO DELETE this Work Package","")</f>
        <v/>
      </c>
      <c r="I7" s="16" t="s">
        <v>58</v>
      </c>
      <c r="J7" s="16">
        <v>2</v>
      </c>
    </row>
    <row r="8" spans="1:14" ht="16.5" thickTop="1" thickBot="1">
      <c r="A8" s="6" t="str">
        <f t="shared" si="0"/>
        <v>WP 003</v>
      </c>
      <c r="B8" s="15"/>
      <c r="D8" s="8" t="str">
        <f t="shared" si="1"/>
        <v>Remove this Work Package</v>
      </c>
      <c r="E8" s="264" t="str">
        <f t="shared" si="3"/>
        <v/>
      </c>
      <c r="I8" s="16" t="s">
        <v>58</v>
      </c>
      <c r="J8" s="16">
        <v>3</v>
      </c>
    </row>
    <row r="9" spans="1:14" ht="16.5" thickTop="1" thickBot="1">
      <c r="A9" s="6" t="str">
        <f t="shared" si="0"/>
        <v>WP 004</v>
      </c>
      <c r="B9" s="15"/>
      <c r="D9" s="8" t="str">
        <f t="shared" si="1"/>
        <v>Remove this Work Package</v>
      </c>
      <c r="E9" s="264" t="str">
        <f t="shared" si="3"/>
        <v/>
      </c>
      <c r="I9" s="16" t="s">
        <v>58</v>
      </c>
      <c r="J9" s="16">
        <v>4</v>
      </c>
    </row>
    <row r="10" spans="1:14" ht="16.5" thickTop="1" thickBot="1">
      <c r="A10" s="6" t="str">
        <f t="shared" si="0"/>
        <v>WP 005</v>
      </c>
      <c r="B10" s="15"/>
      <c r="D10" s="8" t="str">
        <f t="shared" si="1"/>
        <v>Remove this Work Package</v>
      </c>
      <c r="E10" s="264" t="str">
        <f t="shared" si="3"/>
        <v/>
      </c>
      <c r="I10" s="16" t="s">
        <v>58</v>
      </c>
      <c r="J10" s="16">
        <v>5</v>
      </c>
    </row>
    <row r="11" spans="1:14" ht="16.5" thickTop="1" thickBot="1">
      <c r="A11" s="6" t="str">
        <f t="shared" si="0"/>
        <v>WP 006</v>
      </c>
      <c r="B11" s="15"/>
      <c r="D11" s="8" t="str">
        <f t="shared" si="1"/>
        <v>Remove this Work Package</v>
      </c>
      <c r="E11" s="264" t="str">
        <f t="shared" si="3"/>
        <v/>
      </c>
      <c r="I11" s="16" t="s">
        <v>58</v>
      </c>
      <c r="J11" s="16">
        <v>6</v>
      </c>
    </row>
    <row r="12" spans="1:14" ht="16.5" thickTop="1" thickBot="1">
      <c r="A12" s="6" t="str">
        <f t="shared" si="0"/>
        <v>WP 007</v>
      </c>
      <c r="B12" s="15"/>
      <c r="D12" s="8" t="str">
        <f t="shared" si="1"/>
        <v>Remove this Work Package</v>
      </c>
      <c r="E12" s="264" t="str">
        <f t="shared" si="3"/>
        <v/>
      </c>
      <c r="I12" s="16" t="s">
        <v>58</v>
      </c>
      <c r="J12" s="16">
        <v>7</v>
      </c>
    </row>
    <row r="13" spans="1:14" ht="16.5" thickTop="1" thickBot="1">
      <c r="A13" s="6" t="str">
        <f t="shared" si="0"/>
        <v>WP 008</v>
      </c>
      <c r="B13" s="15"/>
      <c r="D13" s="8" t="str">
        <f t="shared" si="1"/>
        <v>Remove this Work Package</v>
      </c>
      <c r="E13" s="264" t="str">
        <f t="shared" si="3"/>
        <v/>
      </c>
      <c r="I13" s="16" t="s">
        <v>58</v>
      </c>
      <c r="J13" s="16">
        <v>8</v>
      </c>
    </row>
    <row r="14" spans="1:14" ht="15.75" thickTop="1"/>
  </sheetData>
  <sheetProtection algorithmName="SHA-512" hashValue="YdXuXMYoXHzTR5yJ6PuY1b4WBAWt6G0/mkPn+atW75iFOZ7NdENcUwDCwHHnwn495HwsV3www9SMVQcrQZLmXA==" saltValue="Yq7Fw6/pbkjJXgo41sAOmQ==" spinCount="100000" sheet="1" objects="1" scenarios="1"/>
  <mergeCells count="2">
    <mergeCell ref="D4:E4"/>
    <mergeCell ref="A4:B4"/>
  </mergeCells>
  <conditionalFormatting sqref="A2:B2">
    <cfRule type="expression" dxfId="473" priority="458">
      <formula>$I2="T"</formula>
    </cfRule>
  </conditionalFormatting>
  <conditionalFormatting sqref="D2 E6">
    <cfRule type="expression" dxfId="472" priority="459">
      <formula>$I2="B"</formula>
    </cfRule>
  </conditionalFormatting>
  <conditionalFormatting sqref="A2:B2 D2 E6">
    <cfRule type="expression" dxfId="471" priority="460">
      <formula>$I2="D"</formula>
    </cfRule>
  </conditionalFormatting>
  <conditionalFormatting sqref="A6:B6">
    <cfRule type="expression" dxfId="470" priority="269">
      <formula>$I6="T"</formula>
    </cfRule>
  </conditionalFormatting>
  <conditionalFormatting sqref="D6">
    <cfRule type="expression" dxfId="469" priority="270">
      <formula>$I6="B"</formula>
    </cfRule>
  </conditionalFormatting>
  <conditionalFormatting sqref="A6:B6 D6">
    <cfRule type="expression" dxfId="468" priority="271">
      <formula>$I6="D"</formula>
    </cfRule>
  </conditionalFormatting>
  <conditionalFormatting sqref="E2">
    <cfRule type="expression" dxfId="467" priority="258">
      <formula>$I2="D"</formula>
    </cfRule>
  </conditionalFormatting>
  <conditionalFormatting sqref="E2">
    <cfRule type="expression" dxfId="466" priority="257">
      <formula>$I2="B"</formula>
    </cfRule>
  </conditionalFormatting>
  <conditionalFormatting sqref="A7:B7">
    <cfRule type="expression" dxfId="465" priority="33">
      <formula>$I7="T"</formula>
    </cfRule>
  </conditionalFormatting>
  <conditionalFormatting sqref="D7">
    <cfRule type="expression" dxfId="464" priority="34">
      <formula>$I7="B"</formula>
    </cfRule>
  </conditionalFormatting>
  <conditionalFormatting sqref="A7:B7 D7">
    <cfRule type="expression" dxfId="463" priority="35">
      <formula>$I7="D"</formula>
    </cfRule>
  </conditionalFormatting>
  <conditionalFormatting sqref="E7">
    <cfRule type="expression" dxfId="462" priority="32">
      <formula>$I7="D"</formula>
    </cfRule>
  </conditionalFormatting>
  <conditionalFormatting sqref="E7">
    <cfRule type="expression" dxfId="461" priority="31">
      <formula>$I7="B"</formula>
    </cfRule>
  </conditionalFormatting>
  <conditionalFormatting sqref="A8:B8">
    <cfRule type="expression" dxfId="460" priority="28">
      <formula>$I8="T"</formula>
    </cfRule>
  </conditionalFormatting>
  <conditionalFormatting sqref="D8">
    <cfRule type="expression" dxfId="459" priority="29">
      <formula>$I8="B"</formula>
    </cfRule>
  </conditionalFormatting>
  <conditionalFormatting sqref="A8:B8 D8">
    <cfRule type="expression" dxfId="458" priority="30">
      <formula>$I8="D"</formula>
    </cfRule>
  </conditionalFormatting>
  <conditionalFormatting sqref="E8">
    <cfRule type="expression" dxfId="457" priority="27">
      <formula>$I8="D"</formula>
    </cfRule>
  </conditionalFormatting>
  <conditionalFormatting sqref="E8">
    <cfRule type="expression" dxfId="456" priority="26">
      <formula>$I8="B"</formula>
    </cfRule>
  </conditionalFormatting>
  <conditionalFormatting sqref="A9:B9">
    <cfRule type="expression" dxfId="455" priority="23">
      <formula>$I9="T"</formula>
    </cfRule>
  </conditionalFormatting>
  <conditionalFormatting sqref="D9">
    <cfRule type="expression" dxfId="454" priority="24">
      <formula>$I9="B"</formula>
    </cfRule>
  </conditionalFormatting>
  <conditionalFormatting sqref="A9:B9 D9">
    <cfRule type="expression" dxfId="453" priority="25">
      <formula>$I9="D"</formula>
    </cfRule>
  </conditionalFormatting>
  <conditionalFormatting sqref="E9">
    <cfRule type="expression" dxfId="452" priority="22">
      <formula>$I9="D"</formula>
    </cfRule>
  </conditionalFormatting>
  <conditionalFormatting sqref="E9">
    <cfRule type="expression" dxfId="451" priority="21">
      <formula>$I9="B"</formula>
    </cfRule>
  </conditionalFormatting>
  <conditionalFormatting sqref="A10:B10">
    <cfRule type="expression" dxfId="450" priority="18">
      <formula>$I10="T"</formula>
    </cfRule>
  </conditionalFormatting>
  <conditionalFormatting sqref="D10">
    <cfRule type="expression" dxfId="449" priority="19">
      <formula>$I10="B"</formula>
    </cfRule>
  </conditionalFormatting>
  <conditionalFormatting sqref="A10:B10 D10">
    <cfRule type="expression" dxfId="448" priority="20">
      <formula>$I10="D"</formula>
    </cfRule>
  </conditionalFormatting>
  <conditionalFormatting sqref="E10">
    <cfRule type="expression" dxfId="447" priority="17">
      <formula>$I10="D"</formula>
    </cfRule>
  </conditionalFormatting>
  <conditionalFormatting sqref="E10">
    <cfRule type="expression" dxfId="446" priority="16">
      <formula>$I10="B"</formula>
    </cfRule>
  </conditionalFormatting>
  <conditionalFormatting sqref="A11:B11">
    <cfRule type="expression" dxfId="445" priority="13">
      <formula>$I11="T"</formula>
    </cfRule>
  </conditionalFormatting>
  <conditionalFormatting sqref="D11">
    <cfRule type="expression" dxfId="444" priority="14">
      <formula>$I11="B"</formula>
    </cfRule>
  </conditionalFormatting>
  <conditionalFormatting sqref="A11:B11 D11">
    <cfRule type="expression" dxfId="443" priority="15">
      <formula>$I11="D"</formula>
    </cfRule>
  </conditionalFormatting>
  <conditionalFormatting sqref="E11">
    <cfRule type="expression" dxfId="442" priority="12">
      <formula>$I11="D"</formula>
    </cfRule>
  </conditionalFormatting>
  <conditionalFormatting sqref="E11">
    <cfRule type="expression" dxfId="441" priority="11">
      <formula>$I11="B"</formula>
    </cfRule>
  </conditionalFormatting>
  <conditionalFormatting sqref="A12:B12">
    <cfRule type="expression" dxfId="440" priority="8">
      <formula>$I12="T"</formula>
    </cfRule>
  </conditionalFormatting>
  <conditionalFormatting sqref="D12">
    <cfRule type="expression" dxfId="439" priority="9">
      <formula>$I12="B"</formula>
    </cfRule>
  </conditionalFormatting>
  <conditionalFormatting sqref="A12:B12 D12">
    <cfRule type="expression" dxfId="438" priority="10">
      <formula>$I12="D"</formula>
    </cfRule>
  </conditionalFormatting>
  <conditionalFormatting sqref="E12">
    <cfRule type="expression" dxfId="437" priority="7">
      <formula>$I12="D"</formula>
    </cfRule>
  </conditionalFormatting>
  <conditionalFormatting sqref="E12">
    <cfRule type="expression" dxfId="436" priority="6">
      <formula>$I12="B"</formula>
    </cfRule>
  </conditionalFormatting>
  <conditionalFormatting sqref="A13:B13">
    <cfRule type="expression" dxfId="435" priority="3">
      <formula>$I13="T"</formula>
    </cfRule>
  </conditionalFormatting>
  <conditionalFormatting sqref="D13">
    <cfRule type="expression" dxfId="434" priority="4">
      <formula>$I13="B"</formula>
    </cfRule>
  </conditionalFormatting>
  <conditionalFormatting sqref="A13:B13 D13">
    <cfRule type="expression" dxfId="433" priority="5">
      <formula>$I13="D"</formula>
    </cfRule>
  </conditionalFormatting>
  <conditionalFormatting sqref="E13">
    <cfRule type="expression" dxfId="432" priority="2">
      <formula>$I13="D"</formula>
    </cfRule>
  </conditionalFormatting>
  <conditionalFormatting sqref="E13">
    <cfRule type="expression" dxfId="431" priority="1">
      <formula>$I13="B"</formula>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W280"/>
  <sheetViews>
    <sheetView showGridLines="0" zoomScaleNormal="100" workbookViewId="0">
      <pane xSplit="17" ySplit="8" topLeftCell="R9"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2" width="4.5703125" style="209" customWidth="1"/>
    <col min="23" max="23" width="4.5703125" style="21"/>
    <col min="24" max="24" width="17.42578125" style="21" bestFit="1" customWidth="1"/>
    <col min="25" max="16384" width="4.5703125" style="21"/>
  </cols>
  <sheetData>
    <row r="1" spans="1:23" ht="23.25" hidden="1">
      <c r="A1" s="155">
        <v>8</v>
      </c>
      <c r="B1" s="21">
        <f ca="1">IF(ISERROR(MATCH("STARTWP" &amp; TEXT(A1,"000"),A:A,0)),"N",MATCH("STARTWP" &amp; TEXT(A1,"000"),A:A,0))</f>
        <v>247</v>
      </c>
      <c r="C1" s="21">
        <f>COUNTIF(E:E,"GT")</f>
        <v>8</v>
      </c>
      <c r="D1" s="21">
        <f ca="1">IF(ISERROR(MATCH("ENDWP" &amp; TEXT(A1,"000"),A:A,0)),"N",MATCH("ENDWP" &amp; TEXT(A1,"000"),A:A,0))</f>
        <v>279</v>
      </c>
      <c r="F1" s="21">
        <f ca="1">COUNTA(A:A)</f>
        <v>272</v>
      </c>
      <c r="H1" s="21" t="s">
        <v>63</v>
      </c>
      <c r="I1" s="21">
        <f ca="1">MATCH(H1,2:2,0)</f>
        <v>21</v>
      </c>
      <c r="J1" s="161">
        <f ca="1">MATCH("BE",2:2,0)</f>
        <v>18</v>
      </c>
      <c r="K1" s="21">
        <f ca="1">COUNTIF(2:2,"TP")</f>
        <v>0</v>
      </c>
      <c r="N1" s="156">
        <v>1</v>
      </c>
      <c r="O1" s="22" t="s">
        <v>64</v>
      </c>
      <c r="P1" s="22" t="s">
        <v>64</v>
      </c>
      <c r="Q1" s="22" t="s">
        <v>65</v>
      </c>
      <c r="R1" s="302" t="s">
        <v>66</v>
      </c>
      <c r="S1" s="157" t="s">
        <v>67</v>
      </c>
      <c r="T1" s="157" t="s">
        <v>68</v>
      </c>
      <c r="U1" s="158"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1</v>
      </c>
      <c r="T2" s="157" t="str">
        <f ca="1">IF(OFFSET(T2,0,-2)="TT","E","T")</f>
        <v>T</v>
      </c>
      <c r="U2" s="158" t="s">
        <v>63</v>
      </c>
    </row>
    <row r="3" spans="1:23" ht="15">
      <c r="A3" s="21" t="s">
        <v>70</v>
      </c>
      <c r="N3"/>
      <c r="Q3" s="430" t="str">
        <f ca="1">""&amp;IF(OFFSET(Q3,-2,-3)="C","DETAILED",INDIRECT("'Beneficiaries List'!A" &amp; MATCH(OFFSET(Q3,-2,-3),'Beneficiaries List'!$J:$J,0),TRUE))</f>
        <v>BE 001</v>
      </c>
      <c r="R3" s="431" t="str">
        <f ca="1">""&amp;INDIRECT("'Beneficiaries List'!A" &amp; MATCH(OFFSET(R3,-1,1),'Beneficiaries List'!$K:$K,0),TRUE)</f>
        <v>BE 001</v>
      </c>
      <c r="S3" s="432"/>
      <c r="T3" s="433"/>
      <c r="U3" s="434" t="str">
        <f ca="1">IF(U2="TBE","BE " &amp; TEXT(INDIRECT(ADDRESS(2,MATCH(INT(OFFSET(U3,-1,-2)),2:2,0)),TRUE),"000"),"PROJECT")</f>
        <v>BE 001</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c r="V6" s="210"/>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c r="V7" s="211"/>
    </row>
    <row r="8" spans="1:23" s="41" customFormat="1" ht="15.75" thickBot="1">
      <c r="A8" s="41" t="s">
        <v>70</v>
      </c>
      <c r="J8" s="161"/>
      <c r="N8" s="42"/>
      <c r="O8" s="43"/>
      <c r="P8" s="43"/>
      <c r="Q8" s="43"/>
      <c r="R8" s="306"/>
      <c r="S8" s="307"/>
      <c r="T8" s="308"/>
      <c r="U8" s="309"/>
      <c r="V8" s="212"/>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6"/>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6"/>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6"/>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6"/>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6"/>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6"/>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6"/>
      <c r="Q40" s="386"/>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c r="V43" s="21"/>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c r="V44" s="21"/>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V45" s="21"/>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V46" s="21"/>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V47" s="21"/>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V48" s="21"/>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V49" s="21"/>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V50" s="21"/>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V51" s="21"/>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V52" s="21"/>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V53" s="21"/>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c r="V54" s="21"/>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c r="V55" s="21"/>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c r="V56" s="21"/>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c r="V57" s="21"/>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c r="V58" s="21"/>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c r="V59" s="21"/>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c r="V60" s="21"/>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c r="V61" s="21"/>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c r="V62" s="21"/>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c r="V63" s="21"/>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c r="V64" s="21"/>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c r="V65" s="21"/>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c r="V66" s="21"/>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c r="V67" s="21"/>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c r="V68" s="21"/>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c r="V69" s="21"/>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c r="V70" s="21"/>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c r="V71" s="21"/>
    </row>
    <row r="72" spans="1:23">
      <c r="A72" s="21" t="str">
        <f t="shared" ca="1" si="4"/>
        <v>WP002</v>
      </c>
      <c r="B72" s="21" t="str">
        <f t="shared" ca="1" si="5"/>
        <v>WP002</v>
      </c>
      <c r="C72" s="21">
        <v>1</v>
      </c>
      <c r="N72" s="425"/>
      <c r="O72" s="39"/>
      <c r="P72" s="30"/>
      <c r="Q72" s="30"/>
      <c r="R72" s="334"/>
      <c r="S72" s="335"/>
      <c r="T72" s="324"/>
      <c r="U72" s="321"/>
      <c r="V72" s="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c r="V73" s="21"/>
    </row>
    <row r="74" spans="1:23">
      <c r="A74" s="21" t="str">
        <f t="shared" ca="1" si="4"/>
        <v>WP002</v>
      </c>
      <c r="B74" s="21" t="str">
        <f t="shared" ca="1" si="5"/>
        <v>WP002</v>
      </c>
      <c r="C74" s="21">
        <v>1</v>
      </c>
      <c r="N74" s="425"/>
      <c r="O74" s="40"/>
      <c r="P74" s="388"/>
      <c r="Q74" s="388"/>
      <c r="R74" s="334"/>
      <c r="S74" s="335"/>
      <c r="T74" s="324"/>
      <c r="U74" s="321"/>
      <c r="V74" s="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c r="V75" s="21"/>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c r="V77" s="21"/>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c r="V78" s="21"/>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V79" s="21"/>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V80" s="21"/>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V81" s="21"/>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V82" s="21"/>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V83" s="21"/>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V84" s="21"/>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V85" s="21"/>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V86" s="21"/>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V87" s="21"/>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c r="V88" s="21"/>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c r="V89" s="21"/>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c r="V90" s="21"/>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c r="V91" s="21"/>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c r="V92" s="21"/>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c r="V93" s="21"/>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c r="V94" s="21"/>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c r="V95" s="21"/>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c r="V96" s="21"/>
    </row>
    <row r="97" spans="1:22">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c r="V97" s="21"/>
    </row>
    <row r="98" spans="1:22">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c r="V98" s="21"/>
    </row>
    <row r="99" spans="1:22">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c r="V99" s="21"/>
    </row>
    <row r="100" spans="1:22">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c r="V100" s="21"/>
    </row>
    <row r="101" spans="1:22">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c r="V101" s="21"/>
    </row>
    <row r="102" spans="1:22">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c r="V102" s="21"/>
    </row>
    <row r="103" spans="1:22">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c r="V103" s="21"/>
    </row>
    <row r="104" spans="1:22">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c r="V104" s="21"/>
    </row>
    <row r="105" spans="1:22">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c r="V105" s="21"/>
    </row>
    <row r="106" spans="1:22">
      <c r="A106" s="21" t="str">
        <f t="shared" ca="1" si="8"/>
        <v>WP003</v>
      </c>
      <c r="B106" s="21" t="str">
        <f t="shared" ca="1" si="9"/>
        <v>WP003</v>
      </c>
      <c r="C106" s="21">
        <v>1</v>
      </c>
      <c r="N106" s="425"/>
      <c r="O106" s="39"/>
      <c r="P106" s="30"/>
      <c r="Q106" s="30"/>
      <c r="R106" s="334"/>
      <c r="S106" s="335"/>
      <c r="T106" s="324"/>
      <c r="U106" s="321"/>
      <c r="V106" s="21"/>
    </row>
    <row r="107" spans="1:22">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c r="V107" s="21"/>
    </row>
    <row r="108" spans="1:22">
      <c r="A108" s="21" t="str">
        <f t="shared" ca="1" si="8"/>
        <v>WP003</v>
      </c>
      <c r="B108" s="21" t="str">
        <f t="shared" ca="1" si="9"/>
        <v>WP003</v>
      </c>
      <c r="C108" s="21">
        <v>1</v>
      </c>
      <c r="N108" s="425"/>
      <c r="O108" s="40"/>
      <c r="P108" s="388"/>
      <c r="Q108" s="388"/>
      <c r="R108" s="334"/>
      <c r="S108" s="335"/>
      <c r="T108" s="324"/>
      <c r="U108" s="321"/>
      <c r="V108" s="21"/>
    </row>
    <row r="109" spans="1:22"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c r="V109" s="21"/>
    </row>
    <row r="110" spans="1:22" ht="13.5" thickTop="1" thickBot="1"/>
    <row r="111" spans="1:22"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c r="V111" s="21"/>
    </row>
    <row r="112" spans="1:22">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c r="V112" s="21"/>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V113" s="21"/>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V114" s="21"/>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V115" s="21"/>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V116" s="21"/>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V117" s="21"/>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V118" s="21"/>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V119" s="21"/>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V120" s="21"/>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V121" s="21"/>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c r="V122" s="21"/>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c r="V123" s="21"/>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c r="V124" s="21"/>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c r="V125" s="21"/>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c r="V126" s="21"/>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c r="V127" s="21"/>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c r="V128" s="21"/>
    </row>
    <row r="129" spans="1:22">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c r="V129" s="21"/>
    </row>
    <row r="130" spans="1:22">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c r="V130" s="21"/>
    </row>
    <row r="131" spans="1:22">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c r="V131" s="21"/>
    </row>
    <row r="132" spans="1:22">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c r="V132" s="21"/>
    </row>
    <row r="133" spans="1:22">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c r="V133" s="21"/>
    </row>
    <row r="134" spans="1:22">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c r="V134" s="21"/>
    </row>
    <row r="135" spans="1:22">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c r="V135" s="21"/>
    </row>
    <row r="136" spans="1:22">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c r="V136" s="21"/>
    </row>
    <row r="137" spans="1:22">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c r="V137" s="21"/>
    </row>
    <row r="138" spans="1:22">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c r="V138" s="21"/>
    </row>
    <row r="139" spans="1:22">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c r="V139" s="21"/>
    </row>
    <row r="140" spans="1:22">
      <c r="A140" s="21" t="str">
        <f t="shared" ca="1" si="12"/>
        <v>WP004</v>
      </c>
      <c r="B140" s="21" t="str">
        <f t="shared" ca="1" si="13"/>
        <v>WP004</v>
      </c>
      <c r="C140" s="21">
        <v>1</v>
      </c>
      <c r="N140" s="425"/>
      <c r="O140" s="39"/>
      <c r="P140" s="30"/>
      <c r="Q140" s="30"/>
      <c r="R140" s="334"/>
      <c r="S140" s="335"/>
      <c r="T140" s="324"/>
      <c r="U140" s="321"/>
      <c r="V140" s="21"/>
    </row>
    <row r="141" spans="1:22">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c r="V141" s="21"/>
    </row>
    <row r="142" spans="1:22">
      <c r="A142" s="21" t="str">
        <f t="shared" ca="1" si="12"/>
        <v>WP004</v>
      </c>
      <c r="B142" s="21" t="str">
        <f t="shared" ca="1" si="13"/>
        <v>WP004</v>
      </c>
      <c r="C142" s="21">
        <v>1</v>
      </c>
      <c r="N142" s="425"/>
      <c r="O142" s="40"/>
      <c r="P142" s="388"/>
      <c r="Q142" s="388"/>
      <c r="R142" s="334"/>
      <c r="S142" s="335"/>
      <c r="T142" s="324"/>
      <c r="U142" s="321"/>
      <c r="V142" s="21"/>
    </row>
    <row r="143" spans="1:22"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c r="V143" s="21"/>
    </row>
    <row r="144" spans="1:22"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c r="V145" s="21"/>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c r="V146" s="21"/>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V147" s="21"/>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V148" s="21"/>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V149" s="21"/>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V150" s="21"/>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V151" s="21"/>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V152" s="21"/>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V153" s="21"/>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V154" s="21"/>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V155" s="21"/>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c r="V156" s="21"/>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c r="V157" s="21"/>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c r="V158" s="21"/>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c r="V159" s="21"/>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c r="V160" s="21"/>
    </row>
    <row r="161" spans="1:22">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c r="V161" s="21"/>
    </row>
    <row r="162" spans="1:22">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c r="V162" s="21"/>
    </row>
    <row r="163" spans="1:22">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c r="V163" s="21"/>
    </row>
    <row r="164" spans="1:22">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c r="V164" s="21"/>
    </row>
    <row r="165" spans="1:22">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c r="V165" s="21"/>
    </row>
    <row r="166" spans="1:22">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c r="V166" s="21"/>
    </row>
    <row r="167" spans="1:22">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c r="V167" s="21"/>
    </row>
    <row r="168" spans="1:22">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c r="V168" s="21"/>
    </row>
    <row r="169" spans="1:22">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c r="V169" s="21"/>
    </row>
    <row r="170" spans="1:22">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c r="V170" s="21"/>
    </row>
    <row r="171" spans="1:22">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c r="V171" s="21"/>
    </row>
    <row r="172" spans="1:22">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c r="V172" s="21"/>
    </row>
    <row r="173" spans="1:22">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c r="V173" s="21"/>
    </row>
    <row r="174" spans="1:22">
      <c r="A174" s="21" t="str">
        <f t="shared" ca="1" si="16"/>
        <v>WP005</v>
      </c>
      <c r="B174" s="21" t="str">
        <f t="shared" ca="1" si="17"/>
        <v>WP005</v>
      </c>
      <c r="C174" s="21">
        <v>1</v>
      </c>
      <c r="N174" s="425"/>
      <c r="O174" s="39"/>
      <c r="P174" s="30"/>
      <c r="Q174" s="30"/>
      <c r="R174" s="334"/>
      <c r="S174" s="335"/>
      <c r="T174" s="324"/>
      <c r="U174" s="321"/>
      <c r="V174" s="21"/>
    </row>
    <row r="175" spans="1:22">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c r="V175" s="21"/>
    </row>
    <row r="176" spans="1:22">
      <c r="A176" s="21" t="str">
        <f t="shared" ca="1" si="16"/>
        <v>WP005</v>
      </c>
      <c r="B176" s="21" t="str">
        <f t="shared" ca="1" si="17"/>
        <v>WP005</v>
      </c>
      <c r="C176" s="21">
        <v>1</v>
      </c>
      <c r="N176" s="425"/>
      <c r="O176" s="40"/>
      <c r="P176" s="388"/>
      <c r="Q176" s="388"/>
      <c r="R176" s="334"/>
      <c r="S176" s="335"/>
      <c r="T176" s="324"/>
      <c r="U176" s="321"/>
      <c r="V176" s="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c r="V177" s="21"/>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c r="V179" s="21"/>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c r="V180" s="21"/>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V181" s="21"/>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V182" s="21"/>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V183" s="21"/>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V184" s="21"/>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V185" s="21"/>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V186" s="21"/>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V187" s="21"/>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V188" s="21"/>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V189" s="21"/>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c r="V190" s="21"/>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c r="V191" s="21"/>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c r="V192" s="21"/>
    </row>
    <row r="193" spans="1:22">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c r="V193" s="21"/>
    </row>
    <row r="194" spans="1:22">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c r="V194" s="21"/>
    </row>
    <row r="195" spans="1:22">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c r="V195" s="21"/>
    </row>
    <row r="196" spans="1:22">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c r="V196" s="21"/>
    </row>
    <row r="197" spans="1:22">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c r="V197" s="21"/>
    </row>
    <row r="198" spans="1:22">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c r="V198" s="21"/>
    </row>
    <row r="199" spans="1:22">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c r="V199" s="21"/>
    </row>
    <row r="200" spans="1:22">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c r="V200" s="21"/>
    </row>
    <row r="201" spans="1:22">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c r="V201" s="21"/>
    </row>
    <row r="202" spans="1:22">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c r="V202" s="21"/>
    </row>
    <row r="203" spans="1:22">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c r="V203" s="21"/>
    </row>
    <row r="204" spans="1:22">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c r="V204" s="21"/>
    </row>
    <row r="205" spans="1:22">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c r="V205" s="21"/>
    </row>
    <row r="206" spans="1:22">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c r="V206" s="21"/>
    </row>
    <row r="207" spans="1:22">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c r="V207" s="21"/>
    </row>
    <row r="208" spans="1:22">
      <c r="A208" s="21" t="str">
        <f t="shared" ca="1" si="20"/>
        <v>WP006</v>
      </c>
      <c r="B208" s="21" t="str">
        <f t="shared" ca="1" si="21"/>
        <v>WP006</v>
      </c>
      <c r="C208" s="21">
        <v>1</v>
      </c>
      <c r="N208" s="425"/>
      <c r="O208" s="39"/>
      <c r="P208" s="30"/>
      <c r="Q208" s="30"/>
      <c r="R208" s="334"/>
      <c r="S208" s="335"/>
      <c r="T208" s="324"/>
      <c r="U208" s="321"/>
      <c r="V208" s="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c r="V209" s="21"/>
    </row>
    <row r="210" spans="1:23">
      <c r="A210" s="21" t="str">
        <f t="shared" ca="1" si="20"/>
        <v>WP006</v>
      </c>
      <c r="B210" s="21" t="str">
        <f t="shared" ca="1" si="21"/>
        <v>WP006</v>
      </c>
      <c r="C210" s="21">
        <v>1</v>
      </c>
      <c r="N210" s="425"/>
      <c r="O210" s="40"/>
      <c r="P210" s="388"/>
      <c r="Q210" s="388"/>
      <c r="R210" s="334"/>
      <c r="S210" s="335"/>
      <c r="T210" s="324"/>
      <c r="U210" s="321"/>
      <c r="V210" s="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c r="V211" s="21"/>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c r="V213" s="21"/>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c r="V214" s="21"/>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V215" s="21"/>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V216" s="21"/>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V217" s="21"/>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V218" s="21"/>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V219" s="21"/>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V220" s="21"/>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V221" s="21"/>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V222" s="21"/>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V223" s="21"/>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c r="V224" s="21"/>
    </row>
    <row r="225" spans="1:22">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c r="V225" s="21"/>
    </row>
    <row r="226" spans="1:22">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c r="V226" s="21"/>
    </row>
    <row r="227" spans="1:22">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c r="V227" s="21"/>
    </row>
    <row r="228" spans="1:22">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c r="V228" s="21"/>
    </row>
    <row r="229" spans="1:22">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c r="V229" s="21"/>
    </row>
    <row r="230" spans="1:22">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c r="V230" s="21"/>
    </row>
    <row r="231" spans="1:22">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c r="V231" s="21"/>
    </row>
    <row r="232" spans="1:22">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c r="V232" s="21"/>
    </row>
    <row r="233" spans="1:22">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c r="V233" s="21"/>
    </row>
    <row r="234" spans="1:22">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c r="V234" s="21"/>
    </row>
    <row r="235" spans="1:22">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c r="V235" s="21"/>
    </row>
    <row r="236" spans="1:22">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c r="V236" s="21"/>
    </row>
    <row r="237" spans="1:22">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c r="V237" s="21"/>
    </row>
    <row r="238" spans="1:22">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c r="V238" s="21"/>
    </row>
    <row r="239" spans="1:22">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c r="V239" s="21"/>
    </row>
    <row r="240" spans="1:22">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c r="V240" s="21"/>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c r="V241" s="21"/>
    </row>
    <row r="242" spans="1:23">
      <c r="A242" s="21" t="str">
        <f t="shared" ca="1" si="24"/>
        <v>WP007</v>
      </c>
      <c r="B242" s="21" t="str">
        <f t="shared" ca="1" si="25"/>
        <v>WP007</v>
      </c>
      <c r="C242" s="21">
        <v>1</v>
      </c>
      <c r="N242" s="425"/>
      <c r="O242" s="39"/>
      <c r="P242" s="30"/>
      <c r="Q242" s="30"/>
      <c r="R242" s="334"/>
      <c r="S242" s="335"/>
      <c r="T242" s="324"/>
      <c r="U242" s="321"/>
      <c r="V242" s="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c r="V243" s="21"/>
    </row>
    <row r="244" spans="1:23">
      <c r="A244" s="21" t="str">
        <f t="shared" ca="1" si="24"/>
        <v>WP007</v>
      </c>
      <c r="B244" s="21" t="str">
        <f t="shared" ca="1" si="25"/>
        <v>WP007</v>
      </c>
      <c r="C244" s="21">
        <v>1</v>
      </c>
      <c r="N244" s="425"/>
      <c r="O244" s="40"/>
      <c r="P244" s="388"/>
      <c r="Q244" s="388"/>
      <c r="R244" s="334"/>
      <c r="S244" s="335"/>
      <c r="T244" s="324"/>
      <c r="U244" s="321"/>
      <c r="V244" s="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c r="V245" s="21"/>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c r="V247" s="21"/>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c r="V248" s="21"/>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V249" s="21"/>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V250" s="21"/>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V251" s="21"/>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V252" s="21"/>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V253" s="21"/>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V254" s="21"/>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V255" s="21"/>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V256" s="21"/>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V257" s="21"/>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c r="V258" s="21"/>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c r="V259" s="21"/>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c r="V260" s="21"/>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c r="V261" s="21"/>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c r="V262" s="21"/>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c r="V263" s="21"/>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c r="V264" s="21"/>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c r="V265" s="21"/>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c r="V266" s="21"/>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c r="V267" s="21"/>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c r="V268" s="21"/>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c r="V269" s="21"/>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c r="V270" s="21"/>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c r="V271" s="21"/>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c r="V272" s="21"/>
    </row>
    <row r="273" spans="1:22">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c r="V273" s="21"/>
    </row>
    <row r="274" spans="1:22">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c r="V274" s="21"/>
    </row>
    <row r="275" spans="1:22">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c r="V275" s="21"/>
    </row>
    <row r="276" spans="1:22">
      <c r="A276" s="21" t="str">
        <f t="shared" ca="1" si="28"/>
        <v>WP008</v>
      </c>
      <c r="B276" s="21" t="str">
        <f t="shared" ca="1" si="29"/>
        <v>WP008</v>
      </c>
      <c r="C276" s="21">
        <v>1</v>
      </c>
      <c r="N276" s="425"/>
      <c r="O276" s="39"/>
      <c r="P276" s="30"/>
      <c r="Q276" s="30"/>
      <c r="R276" s="334"/>
      <c r="S276" s="335"/>
      <c r="T276" s="324"/>
      <c r="U276" s="321"/>
      <c r="V276" s="21"/>
    </row>
    <row r="277" spans="1:22">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c r="V277" s="21"/>
    </row>
    <row r="278" spans="1:22">
      <c r="A278" s="21" t="str">
        <f t="shared" ca="1" si="28"/>
        <v>WP008</v>
      </c>
      <c r="B278" s="21" t="str">
        <f t="shared" ca="1" si="29"/>
        <v>WP008</v>
      </c>
      <c r="C278" s="21">
        <v>1</v>
      </c>
      <c r="N278" s="425"/>
      <c r="O278" s="40"/>
      <c r="P278" s="388"/>
      <c r="Q278" s="388"/>
      <c r="R278" s="334"/>
      <c r="S278" s="335"/>
      <c r="T278" s="324"/>
      <c r="U278" s="321"/>
      <c r="V278" s="21"/>
    </row>
    <row r="279" spans="1:22"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c r="V279" s="21"/>
    </row>
    <row r="280" spans="1:22" ht="12.75" thickTop="1"/>
  </sheetData>
  <sheetProtection algorithmName="SHA-512" hashValue="r9cp/h2IWmVbyWBE1LjH0wZjmtXgBfthELSfd5Q4uws3WdEshjjhx9ZspjtTwMa5IHvwySA62DOUU3+2bI3EdA==" saltValue="BIAMH9b08tSsVGVNFqEI1w==" spinCount="100000" sheet="1" objects="1" scenarios="1"/>
  <mergeCells count="149">
    <mergeCell ref="O37:Q37"/>
    <mergeCell ref="O9:Q9"/>
    <mergeCell ref="Q3:Q4"/>
    <mergeCell ref="R3:T3"/>
    <mergeCell ref="U3:U4"/>
    <mergeCell ref="R4:T4"/>
    <mergeCell ref="O7:Q7"/>
    <mergeCell ref="O39:Q39"/>
    <mergeCell ref="N10:N41"/>
    <mergeCell ref="O10:Q10"/>
    <mergeCell ref="P11:Q11"/>
    <mergeCell ref="P17:Q17"/>
    <mergeCell ref="P18:Q18"/>
    <mergeCell ref="P19:Q19"/>
    <mergeCell ref="P20:Q20"/>
    <mergeCell ref="O21:Q21"/>
    <mergeCell ref="O22:Q22"/>
    <mergeCell ref="P23:Q23"/>
    <mergeCell ref="O41:Q41"/>
    <mergeCell ref="P27:Q27"/>
    <mergeCell ref="P28:Q28"/>
    <mergeCell ref="O35:Q35"/>
    <mergeCell ref="P36:Q36"/>
    <mergeCell ref="O43:Q43"/>
    <mergeCell ref="N44:N75"/>
    <mergeCell ref="O44:Q44"/>
    <mergeCell ref="P45:Q45"/>
    <mergeCell ref="P51:Q51"/>
    <mergeCell ref="P52:Q52"/>
    <mergeCell ref="P53:Q53"/>
    <mergeCell ref="P54:Q54"/>
    <mergeCell ref="O55:Q55"/>
    <mergeCell ref="O56:Q56"/>
    <mergeCell ref="P57:Q57"/>
    <mergeCell ref="P61:Q61"/>
    <mergeCell ref="P62:Q62"/>
    <mergeCell ref="O69:Q69"/>
    <mergeCell ref="P70:Q70"/>
    <mergeCell ref="O71:Q71"/>
    <mergeCell ref="O73:Q73"/>
    <mergeCell ref="O75:Q75"/>
    <mergeCell ref="O77:Q77"/>
    <mergeCell ref="N78:N109"/>
    <mergeCell ref="O78:Q78"/>
    <mergeCell ref="P79:Q79"/>
    <mergeCell ref="P85:Q85"/>
    <mergeCell ref="P86:Q86"/>
    <mergeCell ref="P87:Q87"/>
    <mergeCell ref="P88:Q88"/>
    <mergeCell ref="O89:Q89"/>
    <mergeCell ref="O90:Q90"/>
    <mergeCell ref="P91:Q91"/>
    <mergeCell ref="P95:Q95"/>
    <mergeCell ref="P96:Q96"/>
    <mergeCell ref="O103:Q103"/>
    <mergeCell ref="O124:Q124"/>
    <mergeCell ref="P125:Q125"/>
    <mergeCell ref="P129:Q129"/>
    <mergeCell ref="P130:Q130"/>
    <mergeCell ref="O137:Q137"/>
    <mergeCell ref="P138:Q138"/>
    <mergeCell ref="O139:Q139"/>
    <mergeCell ref="O141:Q141"/>
    <mergeCell ref="P104:Q104"/>
    <mergeCell ref="O105:Q105"/>
    <mergeCell ref="O107:Q107"/>
    <mergeCell ref="O109:Q109"/>
    <mergeCell ref="O111:Q111"/>
    <mergeCell ref="O143:Q143"/>
    <mergeCell ref="O145:Q145"/>
    <mergeCell ref="N146:N177"/>
    <mergeCell ref="O146:Q146"/>
    <mergeCell ref="P147:Q147"/>
    <mergeCell ref="P153:Q153"/>
    <mergeCell ref="P154:Q154"/>
    <mergeCell ref="P155:Q155"/>
    <mergeCell ref="P156:Q156"/>
    <mergeCell ref="O157:Q157"/>
    <mergeCell ref="O158:Q158"/>
    <mergeCell ref="P159:Q159"/>
    <mergeCell ref="P163:Q163"/>
    <mergeCell ref="P164:Q164"/>
    <mergeCell ref="O171:Q171"/>
    <mergeCell ref="P172:Q172"/>
    <mergeCell ref="N112:N143"/>
    <mergeCell ref="O112:Q112"/>
    <mergeCell ref="P113:Q113"/>
    <mergeCell ref="P119:Q119"/>
    <mergeCell ref="P120:Q120"/>
    <mergeCell ref="P121:Q121"/>
    <mergeCell ref="P122:Q122"/>
    <mergeCell ref="O123:Q123"/>
    <mergeCell ref="N180:N211"/>
    <mergeCell ref="O180:Q180"/>
    <mergeCell ref="P181:Q181"/>
    <mergeCell ref="P187:Q187"/>
    <mergeCell ref="P188:Q188"/>
    <mergeCell ref="P189:Q189"/>
    <mergeCell ref="P190:Q190"/>
    <mergeCell ref="O191:Q191"/>
    <mergeCell ref="O192:Q192"/>
    <mergeCell ref="P193:Q193"/>
    <mergeCell ref="P197:Q197"/>
    <mergeCell ref="P198:Q198"/>
    <mergeCell ref="O205:Q205"/>
    <mergeCell ref="P206:Q206"/>
    <mergeCell ref="O207:Q207"/>
    <mergeCell ref="O209:Q209"/>
    <mergeCell ref="O211:Q211"/>
    <mergeCell ref="O173:Q173"/>
    <mergeCell ref="O175:Q175"/>
    <mergeCell ref="O177:Q177"/>
    <mergeCell ref="O179:Q179"/>
    <mergeCell ref="O213:Q213"/>
    <mergeCell ref="N214:N245"/>
    <mergeCell ref="O214:Q214"/>
    <mergeCell ref="P215:Q215"/>
    <mergeCell ref="P221:Q221"/>
    <mergeCell ref="P222:Q222"/>
    <mergeCell ref="P223:Q223"/>
    <mergeCell ref="P224:Q224"/>
    <mergeCell ref="O225:Q225"/>
    <mergeCell ref="O226:Q226"/>
    <mergeCell ref="P227:Q227"/>
    <mergeCell ref="P231:Q231"/>
    <mergeCell ref="P232:Q232"/>
    <mergeCell ref="O239:Q239"/>
    <mergeCell ref="P240:Q240"/>
    <mergeCell ref="O241:Q241"/>
    <mergeCell ref="P274:Q274"/>
    <mergeCell ref="O275:Q275"/>
    <mergeCell ref="O277:Q277"/>
    <mergeCell ref="O279:Q279"/>
    <mergeCell ref="O243:Q243"/>
    <mergeCell ref="O245:Q245"/>
    <mergeCell ref="O247:Q247"/>
    <mergeCell ref="N248:N279"/>
    <mergeCell ref="O248:Q248"/>
    <mergeCell ref="P249:Q249"/>
    <mergeCell ref="P255:Q255"/>
    <mergeCell ref="P256:Q256"/>
    <mergeCell ref="P257:Q257"/>
    <mergeCell ref="P258:Q258"/>
    <mergeCell ref="O259:Q259"/>
    <mergeCell ref="O260:Q260"/>
    <mergeCell ref="P261:Q261"/>
    <mergeCell ref="P265:Q265"/>
    <mergeCell ref="P266:Q266"/>
    <mergeCell ref="O273:Q273"/>
  </mergeCells>
  <conditionalFormatting sqref="R3:T5">
    <cfRule type="expression" dxfId="430" priority="21">
      <formula>OFFSET(R3,ROW(R$2)-ROW(R3),R$6)="BE"</formula>
    </cfRule>
  </conditionalFormatting>
  <conditionalFormatting sqref="R39">
    <cfRule type="expression" dxfId="429" priority="20">
      <formula>INT(R39)&lt;&gt;R39</formula>
    </cfRule>
  </conditionalFormatting>
  <conditionalFormatting sqref="R73">
    <cfRule type="expression" dxfId="428" priority="7">
      <formula>INT(R73)&lt;&gt;R73</formula>
    </cfRule>
  </conditionalFormatting>
  <conditionalFormatting sqref="R107">
    <cfRule type="expression" dxfId="427" priority="6">
      <formula>INT(R107)&lt;&gt;R107</formula>
    </cfRule>
  </conditionalFormatting>
  <conditionalFormatting sqref="R141">
    <cfRule type="expression" dxfId="426" priority="5">
      <formula>INT(R141)&lt;&gt;R141</formula>
    </cfRule>
  </conditionalFormatting>
  <conditionalFormatting sqref="R175">
    <cfRule type="expression" dxfId="425" priority="4">
      <formula>INT(R175)&lt;&gt;R175</formula>
    </cfRule>
  </conditionalFormatting>
  <conditionalFormatting sqref="R209">
    <cfRule type="expression" dxfId="424" priority="3">
      <formula>INT(R209)&lt;&gt;R209</formula>
    </cfRule>
  </conditionalFormatting>
  <conditionalFormatting sqref="R243">
    <cfRule type="expression" dxfId="423" priority="2">
      <formula>INT(R243)&lt;&gt;R243</formula>
    </cfRule>
  </conditionalFormatting>
  <conditionalFormatting sqref="R277">
    <cfRule type="expression" dxfId="422" priority="1">
      <formula>INT(R277)&lt;&gt;R277</formula>
    </cfRule>
  </conditionalFormatting>
  <pageMargins left="0.23622047244094491" right="0.23622047244094491"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W42"/>
  <sheetViews>
    <sheetView showGridLines="0" zoomScaleNormal="100" workbookViewId="0">
      <pane xSplit="17" ySplit="8" topLeftCell="R32" activePane="bottomRight" state="frozen"/>
      <selection pane="topRight" activeCell="R1" sqref="R1"/>
      <selection pane="bottomLeft" activeCell="A9" sqref="A9"/>
      <selection pane="bottomRight" activeCell="A9" sqref="A9:XFD41"/>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3.25" hidden="1">
      <c r="A1" s="155">
        <v>0</v>
      </c>
      <c r="B1" s="21" t="str">
        <f ca="1">IF(ISERROR(MATCH("STARTWP" &amp; TEXT(A1,"000"),A:A,0)),"N",MATCH("STARTWP" &amp; TEXT(A1,"000"),A:A,0))</f>
        <v>N</v>
      </c>
      <c r="C1" s="21">
        <f>COUNTIF(E:E,"GT")</f>
        <v>1</v>
      </c>
      <c r="D1" s="21" t="str">
        <f ca="1">IF(ISERROR(MATCH("ENDWP" &amp; TEXT(A1,"000"),A:A,0)),"N",MATCH("ENDWP" &amp; TEXT(A1,"000"),A:A,0))</f>
        <v>N</v>
      </c>
      <c r="F1" s="21">
        <f ca="1">COUNTA(A:A)</f>
        <v>42</v>
      </c>
      <c r="H1" s="21" t="s">
        <v>63</v>
      </c>
      <c r="I1" s="21">
        <f ca="1">MATCH(H1,2:2,0)</f>
        <v>21</v>
      </c>
      <c r="J1" s="161">
        <f ca="1">MATCH("BE",2:2,0)</f>
        <v>18</v>
      </c>
      <c r="K1" s="21">
        <f ca="1">COUNTIF(2:2,"TP")</f>
        <v>0</v>
      </c>
      <c r="N1" s="156" t="s">
        <v>136</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0</v>
      </c>
      <c r="T2" s="157" t="str">
        <f ca="1">IF(OFFSET(T2,0,-2)="TT","E","T")</f>
        <v>T</v>
      </c>
      <c r="U2" s="272" t="s">
        <v>63</v>
      </c>
    </row>
    <row r="3" spans="1:23" ht="15">
      <c r="A3" s="21" t="s">
        <v>70</v>
      </c>
      <c r="N3"/>
      <c r="Q3" s="430" t="str">
        <f ca="1">""&amp;IF(OFFSET(Q3,-2,-3)="C","DETAILED",INDIRECT("'Beneficiaries List'!A" &amp; MATCH(OFFSET(Q3,-2,-3),'Beneficiaries List'!$J:$J,0),TRUE))</f>
        <v>DETAILED</v>
      </c>
      <c r="R3" s="431" t="e">
        <f ca="1">""&amp;INDIRECT("'Beneficiaries List'!A" &amp; MATCH(OFFSET(R3,-1,1),'Beneficiaries List'!$K:$K,0),TRUE)</f>
        <v>#N/A</v>
      </c>
      <c r="S3" s="432"/>
      <c r="T3" s="433"/>
      <c r="U3" s="434" t="str">
        <f ca="1">IF(U2="TBE","BE " &amp; TEXT(INDIRECT(ADDRESS(2,MATCH(INT(OFFSET(U3,-1,-2)),2:2,0)),TRUE),"000"),"PROJECT")</f>
        <v>BE 000</v>
      </c>
    </row>
    <row r="4" spans="1:23" ht="15">
      <c r="A4" s="21" t="s">
        <v>70</v>
      </c>
      <c r="N4"/>
      <c r="Q4" s="430"/>
      <c r="R4" s="436" t="e">
        <f ca="1">""&amp;INDIRECT("'Beneficiaries List'!B" &amp; MATCH(OFFSET(R4,-2,1),'Beneficiaries List'!$K:$K,0),TRUE)</f>
        <v>#N/A</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CONSOLIDATION</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6"/>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6"/>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6"/>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6"/>
      <c r="Q32" s="35" t="s">
        <v>119</v>
      </c>
      <c r="R32" s="322"/>
      <c r="S32" s="323"/>
      <c r="T32" s="324">
        <f t="shared" ca="1" si="3"/>
        <v>0</v>
      </c>
      <c r="U32" s="321">
        <f t="shared" ca="1" si="2"/>
        <v>0</v>
      </c>
    </row>
    <row r="33" spans="1:21">
      <c r="A33" s="21" t="str">
        <f t="shared" ca="1" si="0"/>
        <v>WP001</v>
      </c>
      <c r="B33" s="21" t="str">
        <f t="shared" ca="1" si="1"/>
        <v>WP001</v>
      </c>
      <c r="C33" s="21">
        <v>7</v>
      </c>
      <c r="D33" s="21" t="s">
        <v>120</v>
      </c>
      <c r="L33" s="21" t="s">
        <v>110</v>
      </c>
      <c r="M33" s="21" t="s">
        <v>80</v>
      </c>
      <c r="N33" s="425"/>
      <c r="O33" s="36"/>
      <c r="P33" s="386"/>
      <c r="Q33" s="35" t="s">
        <v>121</v>
      </c>
      <c r="R33" s="322"/>
      <c r="S33" s="323"/>
      <c r="T33" s="324">
        <f t="shared" ca="1" si="3"/>
        <v>0</v>
      </c>
      <c r="U33" s="321">
        <f t="shared" ca="1" si="2"/>
        <v>0</v>
      </c>
    </row>
    <row r="34" spans="1:21">
      <c r="A34" s="21" t="str">
        <f t="shared" ca="1" si="0"/>
        <v>WP001</v>
      </c>
      <c r="B34" s="21" t="str">
        <f t="shared" ca="1" si="1"/>
        <v>WP001</v>
      </c>
      <c r="C34" s="21">
        <v>7</v>
      </c>
      <c r="D34" s="21" t="s">
        <v>122</v>
      </c>
      <c r="L34" s="21" t="s">
        <v>110</v>
      </c>
      <c r="M34" s="21" t="s">
        <v>80</v>
      </c>
      <c r="N34" s="425"/>
      <c r="O34" s="37"/>
      <c r="P34" s="386"/>
      <c r="Q34" s="35" t="s">
        <v>123</v>
      </c>
      <c r="R34" s="322"/>
      <c r="S34" s="323"/>
      <c r="T34" s="324">
        <f t="shared" ca="1" si="3"/>
        <v>0</v>
      </c>
      <c r="U34" s="321">
        <f t="shared" ca="1" si="2"/>
        <v>0</v>
      </c>
    </row>
    <row r="35" spans="1:21">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1">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1">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1">
      <c r="A38" s="21" t="str">
        <f t="shared" ca="1" si="0"/>
        <v>WP001</v>
      </c>
      <c r="B38" s="21" t="str">
        <f t="shared" ca="1" si="1"/>
        <v>WP001</v>
      </c>
      <c r="C38" s="21">
        <v>1</v>
      </c>
      <c r="N38" s="425"/>
      <c r="O38" s="39"/>
      <c r="P38" s="30"/>
      <c r="Q38" s="30"/>
      <c r="R38" s="334"/>
      <c r="S38" s="335"/>
      <c r="T38" s="324"/>
      <c r="U38" s="321"/>
    </row>
    <row r="39" spans="1:21">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1">
      <c r="A40" s="21" t="str">
        <f t="shared" ca="1" si="0"/>
        <v>WP001</v>
      </c>
      <c r="B40" s="21" t="str">
        <f t="shared" ca="1" si="1"/>
        <v>WP001</v>
      </c>
      <c r="C40" s="21">
        <v>1</v>
      </c>
      <c r="N40" s="425"/>
      <c r="O40" s="40"/>
      <c r="P40" s="386"/>
      <c r="Q40" s="386"/>
      <c r="R40" s="334"/>
      <c r="S40" s="335"/>
      <c r="T40" s="324"/>
      <c r="U40" s="321"/>
    </row>
    <row r="41" spans="1:21"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1" ht="12.75" thickTop="1">
      <c r="A42" s="21" t="s">
        <v>137</v>
      </c>
    </row>
  </sheetData>
  <sheetProtection algorithmName="SHA-512" hashValue="bFQXoIhvWiTooLwQVh5acdOr/fi+F4iHX77fmWcOWFZex2vWCD22CorscvJIWb6riWT4qKWyGcW2KiodFnqXsQ==" saltValue="j9uiYjp0SNv6FVKbGqgNdg==" spinCount="100000" sheet="1" objects="1" scenarios="1"/>
  <mergeCells count="23">
    <mergeCell ref="U3:U4"/>
    <mergeCell ref="P36:Q36"/>
    <mergeCell ref="R4:T4"/>
    <mergeCell ref="R3:T3"/>
    <mergeCell ref="Q3:Q4"/>
    <mergeCell ref="P23:Q23"/>
    <mergeCell ref="O7:Q7"/>
    <mergeCell ref="O37:Q37"/>
    <mergeCell ref="O9:Q9"/>
    <mergeCell ref="N10:N41"/>
    <mergeCell ref="O10:Q10"/>
    <mergeCell ref="P11:Q11"/>
    <mergeCell ref="P17:Q17"/>
    <mergeCell ref="P18:Q18"/>
    <mergeCell ref="P19:Q19"/>
    <mergeCell ref="P20:Q20"/>
    <mergeCell ref="O21:Q21"/>
    <mergeCell ref="O22:Q22"/>
    <mergeCell ref="O39:Q39"/>
    <mergeCell ref="O41:Q41"/>
    <mergeCell ref="P27:Q27"/>
    <mergeCell ref="P28:Q28"/>
    <mergeCell ref="O35:Q35"/>
  </mergeCells>
  <conditionalFormatting sqref="R3:T5">
    <cfRule type="expression" dxfId="421" priority="3">
      <formula>OFFSET(R3,ROW(R$2)-ROW(R3),R$6)="BE"</formula>
    </cfRule>
  </conditionalFormatting>
  <conditionalFormatting sqref="R39">
    <cfRule type="expression" dxfId="420" priority="1">
      <formula>INT(R39)&lt;&gt;R39</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2</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2</v>
      </c>
      <c r="T2" s="157" t="str">
        <f ca="1">IF(OFFSET(T2,0,-2)="TT","E","T")</f>
        <v>T</v>
      </c>
      <c r="U2" s="272" t="s">
        <v>63</v>
      </c>
    </row>
    <row r="3" spans="1:23" ht="15">
      <c r="A3" s="21" t="s">
        <v>70</v>
      </c>
      <c r="N3"/>
      <c r="Q3" s="430" t="str">
        <f ca="1">""&amp;IF(OFFSET(Q3,-2,-3)="C","DETAILED",INDIRECT("'Beneficiaries List'!A" &amp; MATCH(OFFSET(Q3,-2,-3),'Beneficiaries List'!$J:$J,0),TRUE))</f>
        <v>BE 002</v>
      </c>
      <c r="R3" s="431" t="str">
        <f ca="1">""&amp;INDIRECT("'Beneficiaries List'!A" &amp; MATCH(OFFSET(R3,-1,1),'Beneficiaries List'!$K:$K,0),TRUE)</f>
        <v>BE 002</v>
      </c>
      <c r="S3" s="432"/>
      <c r="T3" s="433"/>
      <c r="U3" s="434" t="str">
        <f ca="1">IF(U2="TBE","BE " &amp; TEXT(INDIRECT(ADDRESS(2,MATCH(INT(OFFSET(U3,-1,-2)),2:2,0)),TRUE),"000"),"PROJECT")</f>
        <v>BE 002</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7"/>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7"/>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7"/>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7"/>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7"/>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7"/>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7"/>
      <c r="Q40" s="387"/>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Cztf6bONzT6haAh+vxnRqfhrmgkejACsSCB29E17aKkALQK+rFR+asIfixI+7tGG0glIDmI+gO2NpZ2VFUzRjw==" saltValue="II7y8XXQ5JnU0j4CTBPCfw==" spinCount="100000" sheet="1" objects="1" scenarios="1"/>
  <mergeCells count="149">
    <mergeCell ref="Q3:Q4"/>
    <mergeCell ref="R3:T3"/>
    <mergeCell ref="U3:U4"/>
    <mergeCell ref="R4:T4"/>
    <mergeCell ref="O7:Q7"/>
    <mergeCell ref="N10:N41"/>
    <mergeCell ref="O10:Q10"/>
    <mergeCell ref="P11:Q11"/>
    <mergeCell ref="P17:Q17"/>
    <mergeCell ref="P18:Q18"/>
    <mergeCell ref="P19:Q19"/>
    <mergeCell ref="P20:Q20"/>
    <mergeCell ref="O21:Q21"/>
    <mergeCell ref="O22:Q22"/>
    <mergeCell ref="P23:Q23"/>
    <mergeCell ref="O41:Q41"/>
    <mergeCell ref="P27:Q27"/>
    <mergeCell ref="P28:Q28"/>
    <mergeCell ref="O35:Q35"/>
    <mergeCell ref="P36:Q36"/>
    <mergeCell ref="O37:Q37"/>
    <mergeCell ref="O39:Q39"/>
    <mergeCell ref="O9:Q9"/>
    <mergeCell ref="O43:Q43"/>
    <mergeCell ref="N44:N75"/>
    <mergeCell ref="O44:Q44"/>
    <mergeCell ref="P45:Q45"/>
    <mergeCell ref="P51:Q51"/>
    <mergeCell ref="P52:Q52"/>
    <mergeCell ref="P53:Q53"/>
    <mergeCell ref="P54:Q54"/>
    <mergeCell ref="O55:Q55"/>
    <mergeCell ref="O56:Q56"/>
    <mergeCell ref="P57:Q57"/>
    <mergeCell ref="P61:Q61"/>
    <mergeCell ref="P62:Q62"/>
    <mergeCell ref="O69:Q69"/>
    <mergeCell ref="P70:Q70"/>
    <mergeCell ref="N78:N109"/>
    <mergeCell ref="O78:Q78"/>
    <mergeCell ref="P79:Q79"/>
    <mergeCell ref="P85:Q85"/>
    <mergeCell ref="P86:Q86"/>
    <mergeCell ref="P87:Q87"/>
    <mergeCell ref="P88:Q88"/>
    <mergeCell ref="O89:Q89"/>
    <mergeCell ref="O90:Q90"/>
    <mergeCell ref="P91:Q91"/>
    <mergeCell ref="P95:Q95"/>
    <mergeCell ref="P96:Q96"/>
    <mergeCell ref="O103:Q103"/>
    <mergeCell ref="P104:Q104"/>
    <mergeCell ref="O105:Q105"/>
    <mergeCell ref="O107:Q107"/>
    <mergeCell ref="O109:Q109"/>
    <mergeCell ref="O71:Q71"/>
    <mergeCell ref="O73:Q73"/>
    <mergeCell ref="O75:Q75"/>
    <mergeCell ref="O77:Q77"/>
    <mergeCell ref="O111:Q111"/>
    <mergeCell ref="N112:N143"/>
    <mergeCell ref="O112:Q112"/>
    <mergeCell ref="P113:Q113"/>
    <mergeCell ref="P119:Q119"/>
    <mergeCell ref="P120:Q120"/>
    <mergeCell ref="P121:Q121"/>
    <mergeCell ref="P122:Q122"/>
    <mergeCell ref="O123:Q123"/>
    <mergeCell ref="O124:Q124"/>
    <mergeCell ref="P125:Q125"/>
    <mergeCell ref="P129:Q129"/>
    <mergeCell ref="P130:Q130"/>
    <mergeCell ref="O137:Q137"/>
    <mergeCell ref="P138:Q138"/>
    <mergeCell ref="O139:Q139"/>
    <mergeCell ref="O141:Q141"/>
    <mergeCell ref="O143:Q143"/>
    <mergeCell ref="O145:Q145"/>
    <mergeCell ref="N146:N177"/>
    <mergeCell ref="O146:Q146"/>
    <mergeCell ref="P147:Q147"/>
    <mergeCell ref="P153:Q153"/>
    <mergeCell ref="P154:Q154"/>
    <mergeCell ref="P155:Q155"/>
    <mergeCell ref="P156:Q156"/>
    <mergeCell ref="O157:Q157"/>
    <mergeCell ref="O158:Q158"/>
    <mergeCell ref="P159:Q159"/>
    <mergeCell ref="P163:Q163"/>
    <mergeCell ref="P164:Q164"/>
    <mergeCell ref="O171:Q171"/>
    <mergeCell ref="O192:Q192"/>
    <mergeCell ref="P193:Q193"/>
    <mergeCell ref="P197:Q197"/>
    <mergeCell ref="P198:Q198"/>
    <mergeCell ref="O205:Q205"/>
    <mergeCell ref="P206:Q206"/>
    <mergeCell ref="O207:Q207"/>
    <mergeCell ref="O209:Q209"/>
    <mergeCell ref="P172:Q172"/>
    <mergeCell ref="O173:Q173"/>
    <mergeCell ref="O175:Q175"/>
    <mergeCell ref="O177:Q177"/>
    <mergeCell ref="O179:Q179"/>
    <mergeCell ref="O211:Q211"/>
    <mergeCell ref="O213:Q213"/>
    <mergeCell ref="N214:N245"/>
    <mergeCell ref="O214:Q214"/>
    <mergeCell ref="P215:Q215"/>
    <mergeCell ref="P221:Q221"/>
    <mergeCell ref="P222:Q222"/>
    <mergeCell ref="P223:Q223"/>
    <mergeCell ref="P224:Q224"/>
    <mergeCell ref="O225:Q225"/>
    <mergeCell ref="O226:Q226"/>
    <mergeCell ref="P227:Q227"/>
    <mergeCell ref="P231:Q231"/>
    <mergeCell ref="P232:Q232"/>
    <mergeCell ref="O239:Q239"/>
    <mergeCell ref="P240:Q240"/>
    <mergeCell ref="N180:N211"/>
    <mergeCell ref="O180:Q180"/>
    <mergeCell ref="P181:Q181"/>
    <mergeCell ref="P187:Q187"/>
    <mergeCell ref="P188:Q188"/>
    <mergeCell ref="P189:Q189"/>
    <mergeCell ref="P190:Q190"/>
    <mergeCell ref="O191:Q191"/>
    <mergeCell ref="N248:N279"/>
    <mergeCell ref="O248:Q248"/>
    <mergeCell ref="P249:Q249"/>
    <mergeCell ref="P255:Q255"/>
    <mergeCell ref="P256:Q256"/>
    <mergeCell ref="P257:Q257"/>
    <mergeCell ref="P258:Q258"/>
    <mergeCell ref="O259:Q259"/>
    <mergeCell ref="O260:Q260"/>
    <mergeCell ref="P261:Q261"/>
    <mergeCell ref="P265:Q265"/>
    <mergeCell ref="P266:Q266"/>
    <mergeCell ref="O273:Q273"/>
    <mergeCell ref="P274:Q274"/>
    <mergeCell ref="O275:Q275"/>
    <mergeCell ref="O277:Q277"/>
    <mergeCell ref="O279:Q279"/>
    <mergeCell ref="O241:Q241"/>
    <mergeCell ref="O243:Q243"/>
    <mergeCell ref="O245:Q245"/>
    <mergeCell ref="O247:Q247"/>
  </mergeCells>
  <conditionalFormatting sqref="R3:T5">
    <cfRule type="expression" dxfId="419" priority="9">
      <formula>OFFSET(R3,ROW(R$2)-ROW(R3),R$6)="BE"</formula>
    </cfRule>
  </conditionalFormatting>
  <conditionalFormatting sqref="R39">
    <cfRule type="expression" dxfId="418" priority="8">
      <formula>INT(R39)&lt;&gt;R39</formula>
    </cfRule>
  </conditionalFormatting>
  <conditionalFormatting sqref="R73">
    <cfRule type="expression" dxfId="417" priority="7">
      <formula>INT(R73)&lt;&gt;R73</formula>
    </cfRule>
  </conditionalFormatting>
  <conditionalFormatting sqref="R107">
    <cfRule type="expression" dxfId="416" priority="6">
      <formula>INT(R107)&lt;&gt;R107</formula>
    </cfRule>
  </conditionalFormatting>
  <conditionalFormatting sqref="R141">
    <cfRule type="expression" dxfId="415" priority="5">
      <formula>INT(R141)&lt;&gt;R141</formula>
    </cfRule>
  </conditionalFormatting>
  <conditionalFormatting sqref="R175">
    <cfRule type="expression" dxfId="414" priority="4">
      <formula>INT(R175)&lt;&gt;R175</formula>
    </cfRule>
  </conditionalFormatting>
  <conditionalFormatting sqref="R209">
    <cfRule type="expression" dxfId="413" priority="3">
      <formula>INT(R209)&lt;&gt;R209</formula>
    </cfRule>
  </conditionalFormatting>
  <conditionalFormatting sqref="R243">
    <cfRule type="expression" dxfId="412" priority="2">
      <formula>INT(R243)&lt;&gt;R243</formula>
    </cfRule>
  </conditionalFormatting>
  <conditionalFormatting sqref="R277">
    <cfRule type="expression" dxfId="411"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3</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3</v>
      </c>
      <c r="T2" s="157" t="str">
        <f ca="1">IF(OFFSET(T2,0,-2)="TT","E","T")</f>
        <v>T</v>
      </c>
      <c r="U2" s="272" t="s">
        <v>63</v>
      </c>
    </row>
    <row r="3" spans="1:23" ht="15">
      <c r="A3" s="21" t="s">
        <v>70</v>
      </c>
      <c r="N3"/>
      <c r="Q3" s="430" t="str">
        <f ca="1">""&amp;IF(OFFSET(Q3,-2,-3)="C","DETAILED",INDIRECT("'Beneficiaries List'!A" &amp; MATCH(OFFSET(Q3,-2,-3),'Beneficiaries List'!$J:$J,0),TRUE))</f>
        <v>BE 003</v>
      </c>
      <c r="R3" s="431" t="str">
        <f ca="1">""&amp;INDIRECT("'Beneficiaries List'!A" &amp; MATCH(OFFSET(R3,-1,1),'Beneficiaries List'!$K:$K,0),TRUE)</f>
        <v>BE 003</v>
      </c>
      <c r="S3" s="432"/>
      <c r="T3" s="433"/>
      <c r="U3" s="434" t="str">
        <f ca="1">IF(U2="TBE","BE " &amp; TEXT(INDIRECT(ADDRESS(2,MATCH(INT(OFFSET(U3,-1,-2)),2:2,0)),TRUE),"000"),"PROJECT")</f>
        <v>BE 003</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rPDI1qRY7LWoMUUqs5oRHYjegoXNaoBqyp0UPyEOMdKA5pxpcmXRMcJXfJJLhYQ8DWrekTf3EdkoiJV8tWdxPg==" saltValue="10yAi257YzpX2lts2+eySA=="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410" priority="9">
      <formula>OFFSET(R3,ROW(R$2)-ROW(R3),R$6)="BE"</formula>
    </cfRule>
  </conditionalFormatting>
  <conditionalFormatting sqref="R39">
    <cfRule type="expression" dxfId="409" priority="8">
      <formula>INT(R39)&lt;&gt;R39</formula>
    </cfRule>
  </conditionalFormatting>
  <conditionalFormatting sqref="R73">
    <cfRule type="expression" dxfId="408" priority="7">
      <formula>INT(R73)&lt;&gt;R73</formula>
    </cfRule>
  </conditionalFormatting>
  <conditionalFormatting sqref="R107">
    <cfRule type="expression" dxfId="407" priority="6">
      <formula>INT(R107)&lt;&gt;R107</formula>
    </cfRule>
  </conditionalFormatting>
  <conditionalFormatting sqref="R141">
    <cfRule type="expression" dxfId="406" priority="5">
      <formula>INT(R141)&lt;&gt;R141</formula>
    </cfRule>
  </conditionalFormatting>
  <conditionalFormatting sqref="R175">
    <cfRule type="expression" dxfId="405" priority="4">
      <formula>INT(R175)&lt;&gt;R175</formula>
    </cfRule>
  </conditionalFormatting>
  <conditionalFormatting sqref="R209">
    <cfRule type="expression" dxfId="404" priority="3">
      <formula>INT(R209)&lt;&gt;R209</formula>
    </cfRule>
  </conditionalFormatting>
  <conditionalFormatting sqref="R243">
    <cfRule type="expression" dxfId="403" priority="2">
      <formula>INT(R243)&lt;&gt;R243</formula>
    </cfRule>
  </conditionalFormatting>
  <conditionalFormatting sqref="R277">
    <cfRule type="expression" dxfId="402"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4</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4</v>
      </c>
      <c r="T2" s="157" t="str">
        <f ca="1">IF(OFFSET(T2,0,-2)="TT","E","T")</f>
        <v>T</v>
      </c>
      <c r="U2" s="272" t="s">
        <v>63</v>
      </c>
    </row>
    <row r="3" spans="1:23" ht="15">
      <c r="A3" s="21" t="s">
        <v>70</v>
      </c>
      <c r="N3"/>
      <c r="Q3" s="430" t="str">
        <f ca="1">""&amp;IF(OFFSET(Q3,-2,-3)="C","DETAILED",INDIRECT("'Beneficiaries List'!A" &amp; MATCH(OFFSET(Q3,-2,-3),'Beneficiaries List'!$J:$J,0),TRUE))</f>
        <v>BE 004</v>
      </c>
      <c r="R3" s="431" t="str">
        <f ca="1">""&amp;INDIRECT("'Beneficiaries List'!A" &amp; MATCH(OFFSET(R3,-1,1),'Beneficiaries List'!$K:$K,0),TRUE)</f>
        <v>BE 004</v>
      </c>
      <c r="S3" s="432"/>
      <c r="T3" s="433"/>
      <c r="U3" s="434" t="str">
        <f ca="1">IF(U2="TBE","BE " &amp; TEXT(INDIRECT(ADDRESS(2,MATCH(INT(OFFSET(U3,-1,-2)),2:2,0)),TRUE),"000"),"PROJECT")</f>
        <v>BE 004</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MrbnzHi5wmetXXAc9haLOs3N5eI9Gy+N2Vgaaj2FKjGoY58F/nyjkd0DL5fr/UjvIuAr4DA7l9c9NVcsGGp7/w==" saltValue="u0AwmBgykoXnxTYU6i0a2A=="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401" priority="9">
      <formula>OFFSET(R3,ROW(R$2)-ROW(R3),R$6)="BE"</formula>
    </cfRule>
  </conditionalFormatting>
  <conditionalFormatting sqref="R39">
    <cfRule type="expression" dxfId="400" priority="8">
      <formula>INT(R39)&lt;&gt;R39</formula>
    </cfRule>
  </conditionalFormatting>
  <conditionalFormatting sqref="R73">
    <cfRule type="expression" dxfId="399" priority="7">
      <formula>INT(R73)&lt;&gt;R73</formula>
    </cfRule>
  </conditionalFormatting>
  <conditionalFormatting sqref="R107">
    <cfRule type="expression" dxfId="398" priority="6">
      <formula>INT(R107)&lt;&gt;R107</formula>
    </cfRule>
  </conditionalFormatting>
  <conditionalFormatting sqref="R141">
    <cfRule type="expression" dxfId="397" priority="5">
      <formula>INT(R141)&lt;&gt;R141</formula>
    </cfRule>
  </conditionalFormatting>
  <conditionalFormatting sqref="R175">
    <cfRule type="expression" dxfId="396" priority="4">
      <formula>INT(R175)&lt;&gt;R175</formula>
    </cfRule>
  </conditionalFormatting>
  <conditionalFormatting sqref="R209">
    <cfRule type="expression" dxfId="395" priority="3">
      <formula>INT(R209)&lt;&gt;R209</formula>
    </cfRule>
  </conditionalFormatting>
  <conditionalFormatting sqref="R243">
    <cfRule type="expression" dxfId="394" priority="2">
      <formula>INT(R243)&lt;&gt;R243</formula>
    </cfRule>
  </conditionalFormatting>
  <conditionalFormatting sqref="R277">
    <cfRule type="expression" dxfId="393"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5</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5</v>
      </c>
      <c r="T2" s="157" t="str">
        <f ca="1">IF(OFFSET(T2,0,-2)="TT","E","T")</f>
        <v>T</v>
      </c>
      <c r="U2" s="272" t="s">
        <v>63</v>
      </c>
    </row>
    <row r="3" spans="1:23" ht="15">
      <c r="A3" s="21" t="s">
        <v>70</v>
      </c>
      <c r="N3"/>
      <c r="Q3" s="430" t="str">
        <f ca="1">""&amp;IF(OFFSET(Q3,-2,-3)="C","DETAILED",INDIRECT("'Beneficiaries List'!A" &amp; MATCH(OFFSET(Q3,-2,-3),'Beneficiaries List'!$J:$J,0),TRUE))</f>
        <v>BE 005</v>
      </c>
      <c r="R3" s="431" t="str">
        <f ca="1">""&amp;INDIRECT("'Beneficiaries List'!A" &amp; MATCH(OFFSET(R3,-1,1),'Beneficiaries List'!$K:$K,0),TRUE)</f>
        <v>BE 005</v>
      </c>
      <c r="S3" s="432"/>
      <c r="T3" s="433"/>
      <c r="U3" s="434" t="str">
        <f ca="1">IF(U2="TBE","BE " &amp; TEXT(INDIRECT(ADDRESS(2,MATCH(INT(OFFSET(U3,-1,-2)),2:2,0)),TRUE),"000"),"PROJECT")</f>
        <v>BE 005</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F/EWSKTdRIUaiIpKaOc5q8ZbJIkOFU4xYUciXi7E3xCzWC8kus2J0JoHu6xsCdnPJ9eFUReWGcw96zuUUOWK+Q==" saltValue="LszI9r5IBT3QIyaB/Jf0rg=="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392" priority="9">
      <formula>OFFSET(R3,ROW(R$2)-ROW(R3),R$6)="BE"</formula>
    </cfRule>
  </conditionalFormatting>
  <conditionalFormatting sqref="R39">
    <cfRule type="expression" dxfId="391" priority="8">
      <formula>INT(R39)&lt;&gt;R39</formula>
    </cfRule>
  </conditionalFormatting>
  <conditionalFormatting sqref="R73">
    <cfRule type="expression" dxfId="390" priority="7">
      <formula>INT(R73)&lt;&gt;R73</formula>
    </cfRule>
  </conditionalFormatting>
  <conditionalFormatting sqref="R107">
    <cfRule type="expression" dxfId="389" priority="6">
      <formula>INT(R107)&lt;&gt;R107</formula>
    </cfRule>
  </conditionalFormatting>
  <conditionalFormatting sqref="R141">
    <cfRule type="expression" dxfId="388" priority="5">
      <formula>INT(R141)&lt;&gt;R141</formula>
    </cfRule>
  </conditionalFormatting>
  <conditionalFormatting sqref="R175">
    <cfRule type="expression" dxfId="387" priority="4">
      <formula>INT(R175)&lt;&gt;R175</formula>
    </cfRule>
  </conditionalFormatting>
  <conditionalFormatting sqref="R209">
    <cfRule type="expression" dxfId="386" priority="3">
      <formula>INT(R209)&lt;&gt;R209</formula>
    </cfRule>
  </conditionalFormatting>
  <conditionalFormatting sqref="R243">
    <cfRule type="expression" dxfId="385" priority="2">
      <formula>INT(R243)&lt;&gt;R243</formula>
    </cfRule>
  </conditionalFormatting>
  <conditionalFormatting sqref="R277">
    <cfRule type="expression" dxfId="384"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6</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6</v>
      </c>
      <c r="T2" s="157" t="str">
        <f ca="1">IF(OFFSET(T2,0,-2)="TT","E","T")</f>
        <v>T</v>
      </c>
      <c r="U2" s="272" t="s">
        <v>63</v>
      </c>
    </row>
    <row r="3" spans="1:23" ht="15">
      <c r="A3" s="21" t="s">
        <v>70</v>
      </c>
      <c r="N3"/>
      <c r="Q3" s="430" t="str">
        <f ca="1">""&amp;IF(OFFSET(Q3,-2,-3)="C","DETAILED",INDIRECT("'Beneficiaries List'!A" &amp; MATCH(OFFSET(Q3,-2,-3),'Beneficiaries List'!$J:$J,0),TRUE))</f>
        <v>BE 006</v>
      </c>
      <c r="R3" s="431" t="str">
        <f ca="1">""&amp;INDIRECT("'Beneficiaries List'!A" &amp; MATCH(OFFSET(R3,-1,1),'Beneficiaries List'!$K:$K,0),TRUE)</f>
        <v>BE 006</v>
      </c>
      <c r="S3" s="432"/>
      <c r="T3" s="433"/>
      <c r="U3" s="434" t="str">
        <f ca="1">IF(U2="TBE","BE " &amp; TEXT(INDIRECT(ADDRESS(2,MATCH(INT(OFFSET(U3,-1,-2)),2:2,0)),TRUE),"000"),"PROJECT")</f>
        <v>BE 006</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qEHkYBNI2hKT+FaveVk94KSUc61/4sk3+kI9Rc6jTUElqzcOMjkqxXd6j6liiwPw/LB/mfSJGKNsY3j5Qc8HDw==" saltValue="TVAFtcaLwqHkuc01d5HDNQ=="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383" priority="9">
      <formula>OFFSET(R3,ROW(R$2)-ROW(R3),R$6)="BE"</formula>
    </cfRule>
  </conditionalFormatting>
  <conditionalFormatting sqref="R39">
    <cfRule type="expression" dxfId="382" priority="8">
      <formula>INT(R39)&lt;&gt;R39</formula>
    </cfRule>
  </conditionalFormatting>
  <conditionalFormatting sqref="R73">
    <cfRule type="expression" dxfId="381" priority="7">
      <formula>INT(R73)&lt;&gt;R73</formula>
    </cfRule>
  </conditionalFormatting>
  <conditionalFormatting sqref="R107">
    <cfRule type="expression" dxfId="380" priority="6">
      <formula>INT(R107)&lt;&gt;R107</formula>
    </cfRule>
  </conditionalFormatting>
  <conditionalFormatting sqref="R141">
    <cfRule type="expression" dxfId="379" priority="5">
      <formula>INT(R141)&lt;&gt;R141</formula>
    </cfRule>
  </conditionalFormatting>
  <conditionalFormatting sqref="R175">
    <cfRule type="expression" dxfId="378" priority="4">
      <formula>INT(R175)&lt;&gt;R175</formula>
    </cfRule>
  </conditionalFormatting>
  <conditionalFormatting sqref="R209">
    <cfRule type="expression" dxfId="377" priority="3">
      <formula>INT(R209)&lt;&gt;R209</formula>
    </cfRule>
  </conditionalFormatting>
  <conditionalFormatting sqref="R243">
    <cfRule type="expression" dxfId="376" priority="2">
      <formula>INT(R243)&lt;&gt;R243</formula>
    </cfRule>
  </conditionalFormatting>
  <conditionalFormatting sqref="R277">
    <cfRule type="expression" dxfId="375"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7</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7</v>
      </c>
      <c r="T2" s="157" t="str">
        <f ca="1">IF(OFFSET(T2,0,-2)="TT","E","T")</f>
        <v>T</v>
      </c>
      <c r="U2" s="272" t="s">
        <v>63</v>
      </c>
    </row>
    <row r="3" spans="1:23" ht="15">
      <c r="A3" s="21" t="s">
        <v>70</v>
      </c>
      <c r="N3"/>
      <c r="Q3" s="430" t="str">
        <f ca="1">""&amp;IF(OFFSET(Q3,-2,-3)="C","DETAILED",INDIRECT("'Beneficiaries List'!A" &amp; MATCH(OFFSET(Q3,-2,-3),'Beneficiaries List'!$J:$J,0),TRUE))</f>
        <v>BE 007</v>
      </c>
      <c r="R3" s="431" t="str">
        <f ca="1">""&amp;INDIRECT("'Beneficiaries List'!A" &amp; MATCH(OFFSET(R3,-1,1),'Beneficiaries List'!$K:$K,0),TRUE)</f>
        <v>BE 007</v>
      </c>
      <c r="S3" s="432"/>
      <c r="T3" s="433"/>
      <c r="U3" s="434" t="str">
        <f ca="1">IF(U2="TBE","BE " &amp; TEXT(INDIRECT(ADDRESS(2,MATCH(INT(OFFSET(U3,-1,-2)),2:2,0)),TRUE),"000"),"PROJECT")</f>
        <v>BE 007</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2wDBOXWkho0Db3Fqni9zZPWssiXWzulRUrRyXmxoGjjaddg5ZJVZBMg9hxyH4FgXr1CwUOfs4jFtP6/2gu5sEA==" saltValue="Ka77Cm7mi05rBdz8LKtsbw=="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374" priority="9">
      <formula>OFFSET(R3,ROW(R$2)-ROW(R3),R$6)="BE"</formula>
    </cfRule>
  </conditionalFormatting>
  <conditionalFormatting sqref="R39">
    <cfRule type="expression" dxfId="373" priority="8">
      <formula>INT(R39)&lt;&gt;R39</formula>
    </cfRule>
  </conditionalFormatting>
  <conditionalFormatting sqref="R73">
    <cfRule type="expression" dxfId="372" priority="7">
      <formula>INT(R73)&lt;&gt;R73</formula>
    </cfRule>
  </conditionalFormatting>
  <conditionalFormatting sqref="R107">
    <cfRule type="expression" dxfId="371" priority="6">
      <formula>INT(R107)&lt;&gt;R107</formula>
    </cfRule>
  </conditionalFormatting>
  <conditionalFormatting sqref="R141">
    <cfRule type="expression" dxfId="370" priority="5">
      <formula>INT(R141)&lt;&gt;R141</formula>
    </cfRule>
  </conditionalFormatting>
  <conditionalFormatting sqref="R175">
    <cfRule type="expression" dxfId="369" priority="4">
      <formula>INT(R175)&lt;&gt;R175</formula>
    </cfRule>
  </conditionalFormatting>
  <conditionalFormatting sqref="R209">
    <cfRule type="expression" dxfId="368" priority="3">
      <formula>INT(R209)&lt;&gt;R209</formula>
    </cfRule>
  </conditionalFormatting>
  <conditionalFormatting sqref="R243">
    <cfRule type="expression" dxfId="367" priority="2">
      <formula>INT(R243)&lt;&gt;R243</formula>
    </cfRule>
  </conditionalFormatting>
  <conditionalFormatting sqref="R277">
    <cfRule type="expression" dxfId="366"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8</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8</v>
      </c>
      <c r="T2" s="157" t="str">
        <f ca="1">IF(OFFSET(T2,0,-2)="TT","E","T")</f>
        <v>T</v>
      </c>
      <c r="U2" s="272" t="s">
        <v>63</v>
      </c>
    </row>
    <row r="3" spans="1:23" ht="15">
      <c r="A3" s="21" t="s">
        <v>70</v>
      </c>
      <c r="N3"/>
      <c r="Q3" s="430" t="str">
        <f ca="1">""&amp;IF(OFFSET(Q3,-2,-3)="C","DETAILED",INDIRECT("'Beneficiaries List'!A" &amp; MATCH(OFFSET(Q3,-2,-3),'Beneficiaries List'!$J:$J,0),TRUE))</f>
        <v>BE 008</v>
      </c>
      <c r="R3" s="431" t="str">
        <f ca="1">""&amp;INDIRECT("'Beneficiaries List'!A" &amp; MATCH(OFFSET(R3,-1,1),'Beneficiaries List'!$K:$K,0),TRUE)</f>
        <v>BE 008</v>
      </c>
      <c r="S3" s="432"/>
      <c r="T3" s="433"/>
      <c r="U3" s="434" t="str">
        <f ca="1">IF(U2="TBE","BE " &amp; TEXT(INDIRECT(ADDRESS(2,MATCH(INT(OFFSET(U3,-1,-2)),2:2,0)),TRUE),"000"),"PROJECT")</f>
        <v>BE 008</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OUZd3IUXCg2sCRAK8RdpbFlXR5ArLsHFrQbK+x+2+rHTVXnmzKkHK9BTU46LARwDEp2dy3LAxSxidnc2E449xA==" saltValue="ptReSknFnbAEyQVvaywV6Q=="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365" priority="9">
      <formula>OFFSET(R3,ROW(R$2)-ROW(R3),R$6)="BE"</formula>
    </cfRule>
  </conditionalFormatting>
  <conditionalFormatting sqref="R39">
    <cfRule type="expression" dxfId="364" priority="8">
      <formula>INT(R39)&lt;&gt;R39</formula>
    </cfRule>
  </conditionalFormatting>
  <conditionalFormatting sqref="R73">
    <cfRule type="expression" dxfId="363" priority="7">
      <formula>INT(R73)&lt;&gt;R73</formula>
    </cfRule>
  </conditionalFormatting>
  <conditionalFormatting sqref="R107">
    <cfRule type="expression" dxfId="362" priority="6">
      <formula>INT(R107)&lt;&gt;R107</formula>
    </cfRule>
  </conditionalFormatting>
  <conditionalFormatting sqref="R141">
    <cfRule type="expression" dxfId="361" priority="5">
      <formula>INT(R141)&lt;&gt;R141</formula>
    </cfRule>
  </conditionalFormatting>
  <conditionalFormatting sqref="R175">
    <cfRule type="expression" dxfId="360" priority="4">
      <formula>INT(R175)&lt;&gt;R175</formula>
    </cfRule>
  </conditionalFormatting>
  <conditionalFormatting sqref="R209">
    <cfRule type="expression" dxfId="359" priority="3">
      <formula>INT(R209)&lt;&gt;R209</formula>
    </cfRule>
  </conditionalFormatting>
  <conditionalFormatting sqref="R243">
    <cfRule type="expression" dxfId="358" priority="2">
      <formula>INT(R243)&lt;&gt;R243</formula>
    </cfRule>
  </conditionalFormatting>
  <conditionalFormatting sqref="R277">
    <cfRule type="expression" dxfId="357"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9</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9</v>
      </c>
      <c r="T2" s="157" t="str">
        <f ca="1">IF(OFFSET(T2,0,-2)="TT","E","T")</f>
        <v>T</v>
      </c>
      <c r="U2" s="272" t="s">
        <v>63</v>
      </c>
    </row>
    <row r="3" spans="1:23" ht="15">
      <c r="A3" s="21" t="s">
        <v>70</v>
      </c>
      <c r="N3"/>
      <c r="Q3" s="430" t="str">
        <f ca="1">""&amp;IF(OFFSET(Q3,-2,-3)="C","DETAILED",INDIRECT("'Beneficiaries List'!A" &amp; MATCH(OFFSET(Q3,-2,-3),'Beneficiaries List'!$J:$J,0),TRUE))</f>
        <v>BE 009</v>
      </c>
      <c r="R3" s="431" t="str">
        <f ca="1">""&amp;INDIRECT("'Beneficiaries List'!A" &amp; MATCH(OFFSET(R3,-1,1),'Beneficiaries List'!$K:$K,0),TRUE)</f>
        <v>BE 009</v>
      </c>
      <c r="S3" s="432"/>
      <c r="T3" s="433"/>
      <c r="U3" s="434" t="str">
        <f ca="1">IF(U2="TBE","BE " &amp; TEXT(INDIRECT(ADDRESS(2,MATCH(INT(OFFSET(U3,-1,-2)),2:2,0)),TRUE),"000"),"PROJECT")</f>
        <v>BE 009</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W76DihU0C+WrU8xFEnCvhvO2/BYE0GyHrjQp5O2CExVzDfY+r9posktM5IOL4w7uU2kveb5AZzdwHsWXSZErdQ==" saltValue="OWYJ/RXGSNqX6AyAYwlVtg=="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356" priority="9">
      <formula>OFFSET(R3,ROW(R$2)-ROW(R3),R$6)="BE"</formula>
    </cfRule>
  </conditionalFormatting>
  <conditionalFormatting sqref="R39">
    <cfRule type="expression" dxfId="355" priority="8">
      <formula>INT(R39)&lt;&gt;R39</formula>
    </cfRule>
  </conditionalFormatting>
  <conditionalFormatting sqref="R73">
    <cfRule type="expression" dxfId="354" priority="7">
      <formula>INT(R73)&lt;&gt;R73</formula>
    </cfRule>
  </conditionalFormatting>
  <conditionalFormatting sqref="R107">
    <cfRule type="expression" dxfId="353" priority="6">
      <formula>INT(R107)&lt;&gt;R107</formula>
    </cfRule>
  </conditionalFormatting>
  <conditionalFormatting sqref="R141">
    <cfRule type="expression" dxfId="352" priority="5">
      <formula>INT(R141)&lt;&gt;R141</formula>
    </cfRule>
  </conditionalFormatting>
  <conditionalFormatting sqref="R175">
    <cfRule type="expression" dxfId="351" priority="4">
      <formula>INT(R175)&lt;&gt;R175</formula>
    </cfRule>
  </conditionalFormatting>
  <conditionalFormatting sqref="R209">
    <cfRule type="expression" dxfId="350" priority="3">
      <formula>INT(R209)&lt;&gt;R209</formula>
    </cfRule>
  </conditionalFormatting>
  <conditionalFormatting sqref="R243">
    <cfRule type="expression" dxfId="349" priority="2">
      <formula>INT(R243)&lt;&gt;R243</formula>
    </cfRule>
  </conditionalFormatting>
  <conditionalFormatting sqref="R277">
    <cfRule type="expression" dxfId="348"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10</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10</v>
      </c>
      <c r="T2" s="157" t="str">
        <f ca="1">IF(OFFSET(T2,0,-2)="TT","E","T")</f>
        <v>T</v>
      </c>
      <c r="U2" s="272" t="s">
        <v>63</v>
      </c>
    </row>
    <row r="3" spans="1:23" ht="15">
      <c r="A3" s="21" t="s">
        <v>70</v>
      </c>
      <c r="N3"/>
      <c r="Q3" s="430" t="str">
        <f ca="1">""&amp;IF(OFFSET(Q3,-2,-3)="C","DETAILED",INDIRECT("'Beneficiaries List'!A" &amp; MATCH(OFFSET(Q3,-2,-3),'Beneficiaries List'!$J:$J,0),TRUE))</f>
        <v>BE 010</v>
      </c>
      <c r="R3" s="431" t="str">
        <f ca="1">""&amp;INDIRECT("'Beneficiaries List'!A" &amp; MATCH(OFFSET(R3,-1,1),'Beneficiaries List'!$K:$K,0),TRUE)</f>
        <v>BE 010</v>
      </c>
      <c r="S3" s="432"/>
      <c r="T3" s="433"/>
      <c r="U3" s="434" t="str">
        <f ca="1">IF(U2="TBE","BE " &amp; TEXT(INDIRECT(ADDRESS(2,MATCH(INT(OFFSET(U3,-1,-2)),2:2,0)),TRUE),"000"),"PROJECT")</f>
        <v>BE 010</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0T/2X1SgTN8XeiEbogQI2U4fZfn5TiXCBQKD6aCCImqc3+RGotI+sORzj4RupKcH1FXS0z8GRiRgkTIkkuEMWQ==" saltValue="jmL9P6F8/0s9a92P+mhkxQ=="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347" priority="9">
      <formula>OFFSET(R3,ROW(R$2)-ROW(R3),R$6)="BE"</formula>
    </cfRule>
  </conditionalFormatting>
  <conditionalFormatting sqref="R39">
    <cfRule type="expression" dxfId="346" priority="8">
      <formula>INT(R39)&lt;&gt;R39</formula>
    </cfRule>
  </conditionalFormatting>
  <conditionalFormatting sqref="R73">
    <cfRule type="expression" dxfId="345" priority="7">
      <formula>INT(R73)&lt;&gt;R73</formula>
    </cfRule>
  </conditionalFormatting>
  <conditionalFormatting sqref="R107">
    <cfRule type="expression" dxfId="344" priority="6">
      <formula>INT(R107)&lt;&gt;R107</formula>
    </cfRule>
  </conditionalFormatting>
  <conditionalFormatting sqref="R141">
    <cfRule type="expression" dxfId="343" priority="5">
      <formula>INT(R141)&lt;&gt;R141</formula>
    </cfRule>
  </conditionalFormatting>
  <conditionalFormatting sqref="R175">
    <cfRule type="expression" dxfId="342" priority="4">
      <formula>INT(R175)&lt;&gt;R175</formula>
    </cfRule>
  </conditionalFormatting>
  <conditionalFormatting sqref="R209">
    <cfRule type="expression" dxfId="341" priority="3">
      <formula>INT(R209)&lt;&gt;R209</formula>
    </cfRule>
  </conditionalFormatting>
  <conditionalFormatting sqref="R243">
    <cfRule type="expression" dxfId="340" priority="2">
      <formula>INT(R243)&lt;&gt;R243</formula>
    </cfRule>
  </conditionalFormatting>
  <conditionalFormatting sqref="R277">
    <cfRule type="expression" dxfId="339"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11</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11</v>
      </c>
      <c r="T2" s="157" t="str">
        <f ca="1">IF(OFFSET(T2,0,-2)="TT","E","T")</f>
        <v>T</v>
      </c>
      <c r="U2" s="272" t="s">
        <v>63</v>
      </c>
    </row>
    <row r="3" spans="1:23" ht="15">
      <c r="A3" s="21" t="s">
        <v>70</v>
      </c>
      <c r="N3"/>
      <c r="Q3" s="430" t="str">
        <f ca="1">""&amp;IF(OFFSET(Q3,-2,-3)="C","DETAILED",INDIRECT("'Beneficiaries List'!A" &amp; MATCH(OFFSET(Q3,-2,-3),'Beneficiaries List'!$J:$J,0),TRUE))</f>
        <v>BE 011</v>
      </c>
      <c r="R3" s="431" t="str">
        <f ca="1">""&amp;INDIRECT("'Beneficiaries List'!A" &amp; MATCH(OFFSET(R3,-1,1),'Beneficiaries List'!$K:$K,0),TRUE)</f>
        <v>BE 011</v>
      </c>
      <c r="S3" s="432"/>
      <c r="T3" s="433"/>
      <c r="U3" s="434" t="str">
        <f ca="1">IF(U2="TBE","BE " &amp; TEXT(INDIRECT(ADDRESS(2,MATCH(INT(OFFSET(U3,-1,-2)),2:2,0)),TRUE),"000"),"PROJECT")</f>
        <v>BE 011</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zojHV/+p6q0RKoXLNIUChcuA0vlQuGAcjTzdjEHR8dMcUqEvKfXxobLUFSTE+DsldJdxnoAWxY9m18kryUPkJQ==" saltValue="BI4ktt7Ay09v7uaADb3kxA=="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338" priority="9">
      <formula>OFFSET(R3,ROW(R$2)-ROW(R3),R$6)="BE"</formula>
    </cfRule>
  </conditionalFormatting>
  <conditionalFormatting sqref="R39">
    <cfRule type="expression" dxfId="337" priority="8">
      <formula>INT(R39)&lt;&gt;R39</formula>
    </cfRule>
  </conditionalFormatting>
  <conditionalFormatting sqref="R73">
    <cfRule type="expression" dxfId="336" priority="7">
      <formula>INT(R73)&lt;&gt;R73</formula>
    </cfRule>
  </conditionalFormatting>
  <conditionalFormatting sqref="R107">
    <cfRule type="expression" dxfId="335" priority="6">
      <formula>INT(R107)&lt;&gt;R107</formula>
    </cfRule>
  </conditionalFormatting>
  <conditionalFormatting sqref="R141">
    <cfRule type="expression" dxfId="334" priority="5">
      <formula>INT(R141)&lt;&gt;R141</formula>
    </cfRule>
  </conditionalFormatting>
  <conditionalFormatting sqref="R175">
    <cfRule type="expression" dxfId="333" priority="4">
      <formula>INT(R175)&lt;&gt;R175</formula>
    </cfRule>
  </conditionalFormatting>
  <conditionalFormatting sqref="R209">
    <cfRule type="expression" dxfId="332" priority="3">
      <formula>INT(R209)&lt;&gt;R209</formula>
    </cfRule>
  </conditionalFormatting>
  <conditionalFormatting sqref="R243">
    <cfRule type="expression" dxfId="331" priority="2">
      <formula>INT(R243)&lt;&gt;R243</formula>
    </cfRule>
  </conditionalFormatting>
  <conditionalFormatting sqref="R277">
    <cfRule type="expression" dxfId="330"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W280"/>
  <sheetViews>
    <sheetView showGridLines="0" zoomScaleNormal="100" workbookViewId="0">
      <pane xSplit="17" ySplit="8" topLeftCell="R32" activePane="bottomRight" state="frozen"/>
      <selection pane="topRight" activeCell="R1" sqref="R1"/>
      <selection pane="bottomLeft" activeCell="A9" sqref="A9"/>
      <selection pane="bottomRight" activeCell="Q6" sqref="Q6"/>
    </sheetView>
  </sheetViews>
  <sheetFormatPr defaultColWidth="4.5703125" defaultRowHeight="12"/>
  <cols>
    <col min="1" max="1" width="9.5703125" style="21" hidden="1" customWidth="1"/>
    <col min="2" max="2" width="5.42578125" style="21" hidden="1" customWidth="1"/>
    <col min="3" max="3" width="1.5703125" style="21" hidden="1" customWidth="1"/>
    <col min="4" max="4" width="8" style="21" hidden="1" customWidth="1"/>
    <col min="5" max="6" width="2.5703125" style="21" hidden="1" customWidth="1"/>
    <col min="7" max="8" width="3.42578125" style="21" hidden="1" customWidth="1"/>
    <col min="9" max="9" width="2.5703125" style="21" hidden="1" customWidth="1"/>
    <col min="10" max="10" width="2.5703125" style="161" hidden="1" customWidth="1"/>
    <col min="11" max="12" width="2.42578125" style="21" hidden="1" customWidth="1"/>
    <col min="13" max="13" width="2" style="21" hidden="1" customWidth="1"/>
    <col min="14" max="14" width="4.5703125" style="21" bestFit="1" customWidth="1"/>
    <col min="15" max="16" width="2.5703125" style="22" bestFit="1" customWidth="1"/>
    <col min="17" max="17" width="55.140625" style="22" bestFit="1" customWidth="1"/>
    <col min="18" max="18" width="7.85546875" style="113" bestFit="1" customWidth="1"/>
    <col min="19" max="19" width="11" style="116" bestFit="1" customWidth="1"/>
    <col min="20" max="20" width="12.85546875" style="116" bestFit="1" customWidth="1"/>
    <col min="21" max="21" width="15.5703125" style="117" bestFit="1" customWidth="1"/>
    <col min="22" max="23" width="4.5703125" style="21"/>
    <col min="24" max="24" width="17.42578125" style="21" bestFit="1" customWidth="1"/>
    <col min="25" max="16384" width="4.5703125" style="21"/>
  </cols>
  <sheetData>
    <row r="1" spans="1:23" ht="24" hidden="1" thickBot="1">
      <c r="A1" s="155">
        <v>8</v>
      </c>
      <c r="B1" s="21">
        <f ca="1">IF(ISERROR(MATCH("STARTWP" &amp; TEXT(A1,"000"),A:A,0)),"N",MATCH("STARTWP" &amp; TEXT(A1,"000"),A:A,0))</f>
        <v>247</v>
      </c>
      <c r="C1" s="21">
        <f>COUNTIF(E:E,"GT")</f>
        <v>8</v>
      </c>
      <c r="D1" s="21">
        <f ca="1">IF(ISERROR(MATCH("ENDWP" &amp; TEXT(A1,"000"),A:A,0)),"N",MATCH("ENDWP" &amp; TEXT(A1,"000"),A:A,0))</f>
        <v>279</v>
      </c>
      <c r="F1" s="21">
        <f ca="1">COUNTA(A:A)</f>
        <v>273</v>
      </c>
      <c r="H1" s="21" t="s">
        <v>63</v>
      </c>
      <c r="I1" s="21">
        <f ca="1">MATCH(H1,2:2,0)</f>
        <v>21</v>
      </c>
      <c r="J1" s="161">
        <f ca="1">MATCH("BE",2:2,0)</f>
        <v>18</v>
      </c>
      <c r="K1" s="21">
        <f ca="1">COUNTIF(2:2,"TP")</f>
        <v>0</v>
      </c>
      <c r="N1" s="156">
        <v>12</v>
      </c>
      <c r="O1" s="22" t="s">
        <v>64</v>
      </c>
      <c r="P1" s="22" t="s">
        <v>64</v>
      </c>
      <c r="Q1" s="22" t="s">
        <v>65</v>
      </c>
      <c r="R1" s="21" t="s">
        <v>66</v>
      </c>
      <c r="S1" s="157" t="s">
        <v>67</v>
      </c>
      <c r="T1" s="157" t="s">
        <v>68</v>
      </c>
      <c r="U1" s="272" t="s">
        <v>69</v>
      </c>
    </row>
    <row r="2" spans="1:23" ht="24" hidden="1" thickBot="1">
      <c r="A2" s="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156">
        <v>99</v>
      </c>
      <c r="R2" s="21" t="str">
        <f ca="1">IF(OFFSET(R2,0,1)="","TT",IF(INT(OFFSET(R2,0,1))=OFFSET(R2,0,1),"BE","TP"))</f>
        <v>BE</v>
      </c>
      <c r="S2" s="159">
        <v>12</v>
      </c>
      <c r="T2" s="157" t="str">
        <f ca="1">IF(OFFSET(T2,0,-2)="TT","E","T")</f>
        <v>T</v>
      </c>
      <c r="U2" s="272" t="s">
        <v>63</v>
      </c>
    </row>
    <row r="3" spans="1:23" ht="15">
      <c r="A3" s="21" t="s">
        <v>70</v>
      </c>
      <c r="N3"/>
      <c r="Q3" s="430" t="str">
        <f ca="1">""&amp;IF(OFFSET(Q3,-2,-3)="C","DETAILED",INDIRECT("'Beneficiaries List'!A" &amp; MATCH(OFFSET(Q3,-2,-3),'Beneficiaries List'!$J:$J,0),TRUE))</f>
        <v>BE 012</v>
      </c>
      <c r="R3" s="431" t="str">
        <f ca="1">""&amp;INDIRECT("'Beneficiaries List'!A" &amp; MATCH(OFFSET(R3,-1,1),'Beneficiaries List'!$K:$K,0),TRUE)</f>
        <v>BE 012</v>
      </c>
      <c r="S3" s="432"/>
      <c r="T3" s="433"/>
      <c r="U3" s="434" t="str">
        <f ca="1">IF(U2="TBE","BE " &amp; TEXT(INDIRECT(ADDRESS(2,MATCH(INT(OFFSET(U3,-1,-2)),2:2,0)),TRUE),"000"),"PROJECT")</f>
        <v>BE 012</v>
      </c>
    </row>
    <row r="4" spans="1:23" ht="15">
      <c r="A4" s="21" t="s">
        <v>70</v>
      </c>
      <c r="N4"/>
      <c r="Q4" s="430"/>
      <c r="R4" s="436" t="str">
        <f ca="1">""&amp;INDIRECT("'Beneficiaries List'!B" &amp; MATCH(OFFSET(R4,-2,1),'Beneficiaries List'!$K:$K,0),TRUE)</f>
        <v/>
      </c>
      <c r="S4" s="437"/>
      <c r="T4" s="438"/>
      <c r="U4" s="435"/>
    </row>
    <row r="5" spans="1:23" ht="24">
      <c r="A5" s="21" t="s">
        <v>70</v>
      </c>
      <c r="E5" s="21">
        <v>0</v>
      </c>
      <c r="F5" s="21">
        <v>1</v>
      </c>
      <c r="G5" s="21">
        <v>2</v>
      </c>
      <c r="H5" s="21">
        <v>3</v>
      </c>
      <c r="I5" s="21">
        <v>4</v>
      </c>
      <c r="J5" s="161">
        <v>5</v>
      </c>
      <c r="K5" s="21">
        <v>6</v>
      </c>
      <c r="L5" s="21">
        <v>7</v>
      </c>
      <c r="N5"/>
      <c r="Q5" s="44" t="str">
        <f ca="1">""&amp;IF(OFFSET(Q5,-4,-3)="C","CONSOLIDATION",INDIRECT("'Beneficiaries List'!B" &amp; MATCH(OFFSET(Q5,-4,-3),'Beneficiaries List'!$J:$J,0),TRUE))</f>
        <v/>
      </c>
      <c r="R5" s="114" t="str">
        <f ca="1">IF(OFFSET(R5,-3,0)="TT","BE+TP
TOTAL COSTS","UNITS")</f>
        <v>UNITS</v>
      </c>
      <c r="S5" s="118" t="str">
        <f ca="1">IF(OFFSET(S5,0,-1)="UNITS","COST
PER UNIT","")</f>
        <v>COST
PER UNIT</v>
      </c>
      <c r="T5" s="119" t="str">
        <f ca="1">IF(OFFSET(T5,0,-2)="UNITS",IF(OFFSET(T5,-3,-2)="BE","BENEFICIARY","AFFILIATED ENTITY") &amp; "
TOTAL COSTS","")</f>
        <v>BENEFICIARY
TOTAL COSTS</v>
      </c>
      <c r="U5" s="268" t="s">
        <v>71</v>
      </c>
    </row>
    <row r="6" spans="1:23" s="24" customFormat="1" ht="15.75" thickBot="1">
      <c r="A6" s="24" t="s">
        <v>70</v>
      </c>
      <c r="J6" s="162"/>
      <c r="M6" s="160"/>
      <c r="N6" s="25"/>
      <c r="O6" s="26"/>
      <c r="P6" s="26"/>
      <c r="Q6" s="26"/>
      <c r="R6" s="115">
        <v>0</v>
      </c>
      <c r="S6" s="120">
        <v>-1</v>
      </c>
      <c r="T6" s="121">
        <v>-2</v>
      </c>
      <c r="U6" s="269"/>
    </row>
    <row r="7" spans="1:23" customFormat="1" ht="16.5" thickBot="1">
      <c r="A7" s="21" t="s">
        <v>70</v>
      </c>
      <c r="J7" s="163"/>
      <c r="N7" s="21"/>
      <c r="O7" s="439" t="s">
        <v>72</v>
      </c>
      <c r="P7" s="440"/>
      <c r="Q7" s="441"/>
      <c r="R7" s="303">
        <f>SUMIF($E:$E,"GT",R:R)</f>
        <v>0</v>
      </c>
      <c r="S7" s="304"/>
      <c r="T7" s="304">
        <f ca="1">SUMIF($E:$E,"GT",T:T)</f>
        <v>0</v>
      </c>
      <c r="U7" s="305">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row>
    <row r="8" spans="1:23" s="41" customFormat="1" ht="15.75" thickBot="1">
      <c r="A8" s="41" t="s">
        <v>70</v>
      </c>
      <c r="J8" s="161"/>
      <c r="N8" s="42"/>
      <c r="O8" s="43"/>
      <c r="P8" s="43"/>
      <c r="Q8" s="43"/>
      <c r="R8" s="306"/>
      <c r="S8" s="307"/>
      <c r="T8" s="308"/>
      <c r="U8" s="309"/>
    </row>
    <row r="9" spans="1:23" ht="13.5" thickTop="1" thickBot="1">
      <c r="A9" s="21" t="str">
        <f ca="1">IF(ISNUMBER(OFFSET(A9,0,13)),"START",IF(AND(OFFSET(A9,0,2)=0,OFFSET(A9,0,4)="GT"),"END",""))&amp;OFFSET(A9,0,1)</f>
        <v>STARTWP001</v>
      </c>
      <c r="B9" s="21" t="str">
        <f ca="1">IF(ISNUMBER(OFFSET(B9,0,12)),"WP" &amp; TEXT(OFFSET(B9,0,12),"000"),OFFSET(B9,-1,0))</f>
        <v>WP001</v>
      </c>
      <c r="N9" s="62">
        <v>1</v>
      </c>
      <c r="O9" s="423" t="str">
        <f ca="1">""&amp;VLOOKUP(OFFSET(N9,1,0),'Work Packages List'!A:B,2,FALSE)</f>
        <v/>
      </c>
      <c r="P9" s="423"/>
      <c r="Q9" s="424"/>
      <c r="R9" s="310"/>
      <c r="S9" s="311"/>
      <c r="T9" s="312"/>
      <c r="U9" s="313"/>
    </row>
    <row r="10" spans="1:23">
      <c r="A10" s="21" t="str">
        <f t="shared" ref="A10:A41" ca="1" si="0">IF(ISNUMBER(OFFSET(A10,0,12)),"START",IF(AND(OFFSET(A10,0,2)=0,OFFSET(A10,0,4)="GT"),"END",""))&amp;OFFSET(A10,0,1)</f>
        <v>WP001</v>
      </c>
      <c r="B10" s="21" t="str">
        <f t="shared" ref="B10:B41" ca="1" si="1">IF(ISNUMBER(OFFSET(B10,0,11)),"WP" &amp; TEXT(OFFSET(B10,0,11),"000"),OFFSET(B10,-1,0))</f>
        <v>WP001</v>
      </c>
      <c r="C10" s="21">
        <v>4</v>
      </c>
      <c r="D10" s="21" t="s">
        <v>73</v>
      </c>
      <c r="H10" s="21" t="s">
        <v>74</v>
      </c>
      <c r="I10" s="21" t="s">
        <v>75</v>
      </c>
      <c r="M10" s="21" t="s">
        <v>46</v>
      </c>
      <c r="N10" s="425" t="str">
        <f ca="1">"WP " &amp; TEXT(OFFSET(N10,-1,0),"000")</f>
        <v>WP 001</v>
      </c>
      <c r="O10" s="398" t="s">
        <v>37</v>
      </c>
      <c r="P10" s="399"/>
      <c r="Q10" s="427"/>
      <c r="R10" s="314">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15"/>
      <c r="T10" s="316">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17">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row>
    <row r="11" spans="1:23">
      <c r="A11" s="21" t="str">
        <f t="shared" ca="1" si="0"/>
        <v>WP001</v>
      </c>
      <c r="B11" s="21" t="str">
        <f t="shared" ca="1" si="1"/>
        <v>WP001</v>
      </c>
      <c r="C11" s="21">
        <v>6</v>
      </c>
      <c r="D11" s="21" t="s">
        <v>76</v>
      </c>
      <c r="J11" s="161" t="s">
        <v>75</v>
      </c>
      <c r="K11" s="21" t="s">
        <v>77</v>
      </c>
      <c r="M11" s="21" t="s">
        <v>46</v>
      </c>
      <c r="N11" s="425"/>
      <c r="O11" s="27"/>
      <c r="P11" s="396" t="s">
        <v>78</v>
      </c>
      <c r="Q11" s="428"/>
      <c r="R11" s="318">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19"/>
      <c r="T11" s="320">
        <f t="shared" ref="T11:T41" ca="1" si="3">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21">
        <f t="shared" ca="1" si="2"/>
        <v>0</v>
      </c>
      <c r="W11" s="23"/>
    </row>
    <row r="12" spans="1:23">
      <c r="A12" s="21" t="str">
        <f t="shared" ca="1" si="0"/>
        <v>WP001</v>
      </c>
      <c r="B12" s="21" t="str">
        <f t="shared" ca="1" si="1"/>
        <v>WP001</v>
      </c>
      <c r="C12" s="21">
        <v>7</v>
      </c>
      <c r="D12" s="21" t="s">
        <v>79</v>
      </c>
      <c r="L12" s="21" t="s">
        <v>77</v>
      </c>
      <c r="M12" s="21" t="s">
        <v>80</v>
      </c>
      <c r="N12" s="425"/>
      <c r="O12" s="28"/>
      <c r="P12" s="29"/>
      <c r="Q12" s="30" t="str">
        <f>EMP_TYPE1</f>
        <v>Type 1</v>
      </c>
      <c r="R12" s="322"/>
      <c r="S12" s="323"/>
      <c r="T12" s="324">
        <f t="shared" ca="1" si="3"/>
        <v>0</v>
      </c>
      <c r="U12" s="321">
        <f t="shared" ca="1" si="2"/>
        <v>0</v>
      </c>
      <c r="W12" s="23"/>
    </row>
    <row r="13" spans="1:23">
      <c r="A13" s="21" t="str">
        <f t="shared" ca="1" si="0"/>
        <v>WP001</v>
      </c>
      <c r="B13" s="21" t="str">
        <f t="shared" ca="1" si="1"/>
        <v>WP001</v>
      </c>
      <c r="C13" s="21">
        <v>7</v>
      </c>
      <c r="D13" s="21" t="s">
        <v>81</v>
      </c>
      <c r="L13" s="21" t="s">
        <v>77</v>
      </c>
      <c r="M13" s="21" t="s">
        <v>80</v>
      </c>
      <c r="N13" s="425"/>
      <c r="O13" s="28"/>
      <c r="P13" s="29"/>
      <c r="Q13" s="30" t="str">
        <f>EMP_TYPE2</f>
        <v>Type 2</v>
      </c>
      <c r="R13" s="322"/>
      <c r="S13" s="323"/>
      <c r="T13" s="324">
        <f t="shared" ca="1" si="3"/>
        <v>0</v>
      </c>
      <c r="U13" s="321">
        <f t="shared" ca="1" si="2"/>
        <v>0</v>
      </c>
      <c r="W13" s="23"/>
    </row>
    <row r="14" spans="1:23">
      <c r="A14" s="21" t="str">
        <f t="shared" ca="1" si="0"/>
        <v>WP001</v>
      </c>
      <c r="B14" s="21" t="str">
        <f t="shared" ca="1" si="1"/>
        <v>WP001</v>
      </c>
      <c r="C14" s="21">
        <v>7</v>
      </c>
      <c r="D14" s="21" t="s">
        <v>82</v>
      </c>
      <c r="L14" s="21" t="s">
        <v>77</v>
      </c>
      <c r="M14" s="21" t="s">
        <v>80</v>
      </c>
      <c r="N14" s="425"/>
      <c r="O14" s="28"/>
      <c r="P14" s="29"/>
      <c r="Q14" s="30" t="str">
        <f>EMP_TYPE3</f>
        <v>Type 3</v>
      </c>
      <c r="R14" s="322"/>
      <c r="S14" s="323"/>
      <c r="T14" s="324">
        <f t="shared" ca="1" si="3"/>
        <v>0</v>
      </c>
      <c r="U14" s="321">
        <f t="shared" ca="1" si="2"/>
        <v>0</v>
      </c>
      <c r="W14" s="23"/>
    </row>
    <row r="15" spans="1:23">
      <c r="A15" s="21" t="str">
        <f t="shared" ca="1" si="0"/>
        <v>WP001</v>
      </c>
      <c r="B15" s="21" t="str">
        <f t="shared" ca="1" si="1"/>
        <v>WP001</v>
      </c>
      <c r="C15" s="21">
        <v>7</v>
      </c>
      <c r="D15" s="21" t="s">
        <v>83</v>
      </c>
      <c r="L15" s="21" t="s">
        <v>77</v>
      </c>
      <c r="M15" s="21" t="s">
        <v>80</v>
      </c>
      <c r="N15" s="425"/>
      <c r="O15" s="28"/>
      <c r="P15" s="29"/>
      <c r="Q15" s="30" t="str">
        <f>EMP_TYPE4</f>
        <v>Type 4</v>
      </c>
      <c r="R15" s="322"/>
      <c r="S15" s="323"/>
      <c r="T15" s="324">
        <f t="shared" ca="1" si="3"/>
        <v>0</v>
      </c>
      <c r="U15" s="321">
        <f t="shared" ca="1" si="2"/>
        <v>0</v>
      </c>
      <c r="W15" s="23"/>
    </row>
    <row r="16" spans="1:23">
      <c r="A16" s="21" t="str">
        <f t="shared" ca="1" si="0"/>
        <v>WP001</v>
      </c>
      <c r="B16" s="21" t="str">
        <f t="shared" ca="1" si="1"/>
        <v>WP001</v>
      </c>
      <c r="C16" s="21">
        <v>7</v>
      </c>
      <c r="D16" s="21" t="s">
        <v>84</v>
      </c>
      <c r="L16" s="21" t="s">
        <v>77</v>
      </c>
      <c r="M16" s="21" t="s">
        <v>80</v>
      </c>
      <c r="N16" s="425"/>
      <c r="O16" s="28"/>
      <c r="P16" s="29"/>
      <c r="Q16" s="30" t="str">
        <f>EMP_OTHER</f>
        <v>Type 5</v>
      </c>
      <c r="R16" s="322"/>
      <c r="S16" s="323"/>
      <c r="T16" s="324">
        <f t="shared" ca="1" si="3"/>
        <v>0</v>
      </c>
      <c r="U16" s="321">
        <f t="shared" ca="1" si="2"/>
        <v>0</v>
      </c>
      <c r="W16" s="23"/>
    </row>
    <row r="17" spans="1:23">
      <c r="A17" s="21" t="str">
        <f t="shared" ca="1" si="0"/>
        <v>WP001</v>
      </c>
      <c r="B17" s="21" t="str">
        <f t="shared" ca="1" si="1"/>
        <v>WP001</v>
      </c>
      <c r="C17" s="21">
        <v>6</v>
      </c>
      <c r="D17" s="21" t="s">
        <v>85</v>
      </c>
      <c r="J17" s="161" t="s">
        <v>75</v>
      </c>
      <c r="M17" s="21" t="s">
        <v>80</v>
      </c>
      <c r="N17" s="425"/>
      <c r="O17" s="31"/>
      <c r="P17" s="418" t="s">
        <v>86</v>
      </c>
      <c r="Q17" s="429"/>
      <c r="R17" s="325"/>
      <c r="S17" s="326"/>
      <c r="T17" s="320">
        <f t="shared" ca="1" si="3"/>
        <v>0</v>
      </c>
      <c r="U17" s="321">
        <f t="shared" ca="1" si="2"/>
        <v>0</v>
      </c>
      <c r="W17" s="23"/>
    </row>
    <row r="18" spans="1:23">
      <c r="A18" s="21" t="str">
        <f t="shared" ca="1" si="0"/>
        <v>WP001</v>
      </c>
      <c r="B18" s="21" t="str">
        <f t="shared" ca="1" si="1"/>
        <v>WP001</v>
      </c>
      <c r="C18" s="21">
        <v>6</v>
      </c>
      <c r="D18" s="21" t="s">
        <v>87</v>
      </c>
      <c r="J18" s="161" t="s">
        <v>75</v>
      </c>
      <c r="M18" s="21" t="s">
        <v>80</v>
      </c>
      <c r="N18" s="425"/>
      <c r="O18" s="31"/>
      <c r="P18" s="418" t="s">
        <v>88</v>
      </c>
      <c r="Q18" s="429"/>
      <c r="R18" s="325"/>
      <c r="S18" s="326"/>
      <c r="T18" s="320">
        <f t="shared" ca="1" si="3"/>
        <v>0</v>
      </c>
      <c r="U18" s="321">
        <f t="shared" ca="1" si="2"/>
        <v>0</v>
      </c>
      <c r="W18" s="23"/>
    </row>
    <row r="19" spans="1:23">
      <c r="A19" s="21" t="str">
        <f t="shared" ca="1" si="0"/>
        <v>WP001</v>
      </c>
      <c r="B19" s="21" t="str">
        <f t="shared" ca="1" si="1"/>
        <v>WP001</v>
      </c>
      <c r="C19" s="21">
        <v>6</v>
      </c>
      <c r="D19" s="21" t="s">
        <v>89</v>
      </c>
      <c r="J19" s="161" t="s">
        <v>75</v>
      </c>
      <c r="M19" s="21" t="s">
        <v>80</v>
      </c>
      <c r="N19" s="425"/>
      <c r="O19" s="31"/>
      <c r="P19" s="418" t="s">
        <v>90</v>
      </c>
      <c r="Q19" s="429"/>
      <c r="R19" s="325"/>
      <c r="S19" s="326"/>
      <c r="T19" s="320">
        <f t="shared" ca="1" si="3"/>
        <v>0</v>
      </c>
      <c r="U19" s="321">
        <f t="shared" ca="1" si="2"/>
        <v>0</v>
      </c>
      <c r="W19" s="23"/>
    </row>
    <row r="20" spans="1:23">
      <c r="A20" s="21" t="str">
        <f t="shared" ca="1" si="0"/>
        <v>WP001</v>
      </c>
      <c r="B20" s="21" t="str">
        <f t="shared" ca="1" si="1"/>
        <v>WP001</v>
      </c>
      <c r="C20" s="21">
        <v>6</v>
      </c>
      <c r="D20" s="21" t="s">
        <v>91</v>
      </c>
      <c r="J20" s="161" t="s">
        <v>75</v>
      </c>
      <c r="M20" s="21" t="s">
        <v>80</v>
      </c>
      <c r="N20" s="425"/>
      <c r="O20" s="31"/>
      <c r="P20" s="418" t="s">
        <v>92</v>
      </c>
      <c r="Q20" s="429"/>
      <c r="R20" s="325"/>
      <c r="S20" s="326"/>
      <c r="T20" s="320">
        <f t="shared" ca="1" si="3"/>
        <v>0</v>
      </c>
      <c r="U20" s="321">
        <f t="shared" ca="1" si="2"/>
        <v>0</v>
      </c>
    </row>
    <row r="21" spans="1:23">
      <c r="A21" s="21" t="str">
        <f t="shared" ca="1" si="0"/>
        <v>WP001</v>
      </c>
      <c r="B21" s="21" t="str">
        <f t="shared" ca="1" si="1"/>
        <v>WP001</v>
      </c>
      <c r="C21" s="21">
        <v>4</v>
      </c>
      <c r="D21" s="21" t="s">
        <v>93</v>
      </c>
      <c r="H21" s="21" t="s">
        <v>74</v>
      </c>
      <c r="I21" s="21" t="s">
        <v>94</v>
      </c>
      <c r="M21" s="21" t="s">
        <v>80</v>
      </c>
      <c r="N21" s="425"/>
      <c r="O21" s="398" t="s">
        <v>65</v>
      </c>
      <c r="P21" s="399"/>
      <c r="Q21" s="399"/>
      <c r="R21" s="327"/>
      <c r="S21" s="328"/>
      <c r="T21" s="316">
        <f t="shared" ca="1" si="3"/>
        <v>0</v>
      </c>
      <c r="U21" s="317">
        <f t="shared" ca="1" si="2"/>
        <v>0</v>
      </c>
    </row>
    <row r="22" spans="1:23">
      <c r="A22" s="21" t="str">
        <f t="shared" ca="1" si="0"/>
        <v>WP001</v>
      </c>
      <c r="B22" s="21" t="str">
        <f t="shared" ca="1" si="1"/>
        <v>WP001</v>
      </c>
      <c r="C22" s="21">
        <v>4</v>
      </c>
      <c r="D22" s="21" t="s">
        <v>95</v>
      </c>
      <c r="H22" s="21" t="s">
        <v>74</v>
      </c>
      <c r="I22" s="21" t="s">
        <v>96</v>
      </c>
      <c r="M22" s="21" t="s">
        <v>46</v>
      </c>
      <c r="N22" s="425"/>
      <c r="O22" s="398" t="s">
        <v>97</v>
      </c>
      <c r="P22" s="399"/>
      <c r="Q22" s="399"/>
      <c r="R22" s="314"/>
      <c r="S22" s="315"/>
      <c r="T22" s="316">
        <f t="shared" ca="1" si="3"/>
        <v>0</v>
      </c>
      <c r="U22" s="317">
        <f t="shared" ca="1" si="2"/>
        <v>0</v>
      </c>
    </row>
    <row r="23" spans="1:23">
      <c r="A23" s="21" t="str">
        <f t="shared" ca="1" si="0"/>
        <v>WP001</v>
      </c>
      <c r="B23" s="21" t="str">
        <f t="shared" ca="1" si="1"/>
        <v>WP001</v>
      </c>
      <c r="C23" s="21">
        <v>6</v>
      </c>
      <c r="D23" s="21" t="s">
        <v>98</v>
      </c>
      <c r="J23" s="161" t="s">
        <v>96</v>
      </c>
      <c r="K23" s="21" t="s">
        <v>99</v>
      </c>
      <c r="M23" s="21" t="s">
        <v>46</v>
      </c>
      <c r="N23" s="425"/>
      <c r="O23" s="32"/>
      <c r="P23" s="429" t="s">
        <v>100</v>
      </c>
      <c r="Q23" s="429"/>
      <c r="R23" s="318"/>
      <c r="S23" s="319"/>
      <c r="T23" s="320">
        <f t="shared" ca="1" si="3"/>
        <v>0</v>
      </c>
      <c r="U23" s="321">
        <f t="shared" ca="1" si="2"/>
        <v>0</v>
      </c>
    </row>
    <row r="24" spans="1:23">
      <c r="A24" s="21" t="str">
        <f t="shared" ca="1" si="0"/>
        <v>WP001</v>
      </c>
      <c r="B24" s="21" t="str">
        <f t="shared" ca="1" si="1"/>
        <v>WP001</v>
      </c>
      <c r="C24" s="21">
        <v>7</v>
      </c>
      <c r="D24" s="21" t="s">
        <v>101</v>
      </c>
      <c r="L24" s="21" t="s">
        <v>99</v>
      </c>
      <c r="M24" s="21" t="s">
        <v>80</v>
      </c>
      <c r="N24" s="425"/>
      <c r="O24" s="33"/>
      <c r="P24" s="34"/>
      <c r="Q24" s="35" t="s">
        <v>102</v>
      </c>
      <c r="R24" s="322"/>
      <c r="S24" s="323"/>
      <c r="T24" s="324">
        <f t="shared" ca="1" si="3"/>
        <v>0</v>
      </c>
      <c r="U24" s="321">
        <f t="shared" ca="1" si="2"/>
        <v>0</v>
      </c>
    </row>
    <row r="25" spans="1:23">
      <c r="A25" s="21" t="str">
        <f t="shared" ca="1" si="0"/>
        <v>WP001</v>
      </c>
      <c r="B25" s="21" t="str">
        <f t="shared" ca="1" si="1"/>
        <v>WP001</v>
      </c>
      <c r="C25" s="21">
        <v>7</v>
      </c>
      <c r="D25" s="21" t="s">
        <v>103</v>
      </c>
      <c r="L25" s="21" t="s">
        <v>99</v>
      </c>
      <c r="M25" s="21" t="s">
        <v>80</v>
      </c>
      <c r="N25" s="425"/>
      <c r="O25" s="33"/>
      <c r="P25" s="34"/>
      <c r="Q25" s="35" t="s">
        <v>104</v>
      </c>
      <c r="R25" s="322"/>
      <c r="S25" s="323"/>
      <c r="T25" s="324">
        <f t="shared" ca="1" si="3"/>
        <v>0</v>
      </c>
      <c r="U25" s="321">
        <f t="shared" ca="1" si="2"/>
        <v>0</v>
      </c>
    </row>
    <row r="26" spans="1:23">
      <c r="A26" s="21" t="str">
        <f t="shared" ca="1" si="0"/>
        <v>WP001</v>
      </c>
      <c r="B26" s="21" t="str">
        <f t="shared" ca="1" si="1"/>
        <v>WP001</v>
      </c>
      <c r="C26" s="21">
        <v>7</v>
      </c>
      <c r="D26" s="21" t="s">
        <v>105</v>
      </c>
      <c r="L26" s="21" t="s">
        <v>99</v>
      </c>
      <c r="M26" s="21" t="s">
        <v>80</v>
      </c>
      <c r="N26" s="425"/>
      <c r="O26" s="33"/>
      <c r="P26" s="34"/>
      <c r="Q26" s="35" t="s">
        <v>106</v>
      </c>
      <c r="R26" s="322"/>
      <c r="S26" s="323"/>
      <c r="T26" s="324">
        <f t="shared" ca="1" si="3"/>
        <v>0</v>
      </c>
      <c r="U26" s="321">
        <f t="shared" ca="1" si="2"/>
        <v>0</v>
      </c>
    </row>
    <row r="27" spans="1:23">
      <c r="A27" s="21" t="str">
        <f t="shared" ca="1" si="0"/>
        <v>WP001</v>
      </c>
      <c r="B27" s="21" t="str">
        <f t="shared" ca="1" si="1"/>
        <v>WP001</v>
      </c>
      <c r="C27" s="21">
        <v>5</v>
      </c>
      <c r="D27" s="21" t="s">
        <v>107</v>
      </c>
      <c r="J27" s="161" t="s">
        <v>96</v>
      </c>
      <c r="M27" s="21" t="s">
        <v>80</v>
      </c>
      <c r="N27" s="425"/>
      <c r="O27" s="36"/>
      <c r="P27" s="429" t="s">
        <v>108</v>
      </c>
      <c r="Q27" s="429"/>
      <c r="R27" s="325"/>
      <c r="S27" s="326"/>
      <c r="T27" s="320">
        <f t="shared" ca="1" si="3"/>
        <v>0</v>
      </c>
      <c r="U27" s="321">
        <f t="shared" ca="1" si="2"/>
        <v>0</v>
      </c>
    </row>
    <row r="28" spans="1:23">
      <c r="A28" s="21" t="str">
        <f t="shared" ca="1" si="0"/>
        <v>WP001</v>
      </c>
      <c r="B28" s="21" t="str">
        <f t="shared" ca="1" si="1"/>
        <v>WP001</v>
      </c>
      <c r="C28" s="21">
        <v>6</v>
      </c>
      <c r="D28" s="21" t="s">
        <v>109</v>
      </c>
      <c r="J28" s="161" t="s">
        <v>96</v>
      </c>
      <c r="K28" s="21" t="s">
        <v>110</v>
      </c>
      <c r="M28" s="21" t="s">
        <v>46</v>
      </c>
      <c r="N28" s="425"/>
      <c r="O28" s="36"/>
      <c r="P28" s="429" t="s">
        <v>111</v>
      </c>
      <c r="Q28" s="429"/>
      <c r="R28" s="329"/>
      <c r="S28" s="319"/>
      <c r="T28" s="320">
        <f t="shared" ca="1" si="3"/>
        <v>0</v>
      </c>
      <c r="U28" s="321">
        <f t="shared" ca="1" si="2"/>
        <v>0</v>
      </c>
    </row>
    <row r="29" spans="1:23">
      <c r="A29" s="21" t="str">
        <f t="shared" ca="1" si="0"/>
        <v>WP001</v>
      </c>
      <c r="B29" s="21" t="str">
        <f t="shared" ca="1" si="1"/>
        <v>WP001</v>
      </c>
      <c r="C29" s="21">
        <v>7</v>
      </c>
      <c r="D29" s="21" t="s">
        <v>112</v>
      </c>
      <c r="L29" s="21" t="s">
        <v>110</v>
      </c>
      <c r="M29" s="21" t="s">
        <v>80</v>
      </c>
      <c r="N29" s="425"/>
      <c r="O29" s="36"/>
      <c r="P29" s="388"/>
      <c r="Q29" s="35" t="s">
        <v>113</v>
      </c>
      <c r="R29" s="322"/>
      <c r="S29" s="323"/>
      <c r="T29" s="324">
        <f t="shared" ca="1" si="3"/>
        <v>0</v>
      </c>
      <c r="U29" s="321">
        <f t="shared" ca="1" si="2"/>
        <v>0</v>
      </c>
    </row>
    <row r="30" spans="1:23">
      <c r="A30" s="21" t="str">
        <f t="shared" ca="1" si="0"/>
        <v>WP001</v>
      </c>
      <c r="B30" s="21" t="str">
        <f t="shared" ca="1" si="1"/>
        <v>WP001</v>
      </c>
      <c r="C30" s="21">
        <v>7</v>
      </c>
      <c r="D30" s="21" t="s">
        <v>114</v>
      </c>
      <c r="L30" s="21" t="s">
        <v>110</v>
      </c>
      <c r="M30" s="21" t="s">
        <v>80</v>
      </c>
      <c r="N30" s="425"/>
      <c r="O30" s="36"/>
      <c r="P30" s="388"/>
      <c r="Q30" s="35" t="s">
        <v>115</v>
      </c>
      <c r="R30" s="322"/>
      <c r="S30" s="323"/>
      <c r="T30" s="324">
        <f t="shared" ca="1" si="3"/>
        <v>0</v>
      </c>
      <c r="U30" s="321">
        <f t="shared" ca="1" si="2"/>
        <v>0</v>
      </c>
    </row>
    <row r="31" spans="1:23">
      <c r="A31" s="21" t="str">
        <f t="shared" ca="1" si="0"/>
        <v>WP001</v>
      </c>
      <c r="B31" s="21" t="str">
        <f t="shared" ca="1" si="1"/>
        <v>WP001</v>
      </c>
      <c r="C31" s="21">
        <v>7</v>
      </c>
      <c r="D31" s="21" t="s">
        <v>116</v>
      </c>
      <c r="L31" s="21" t="s">
        <v>110</v>
      </c>
      <c r="M31" s="21" t="s">
        <v>80</v>
      </c>
      <c r="N31" s="425"/>
      <c r="O31" s="36"/>
      <c r="P31" s="388"/>
      <c r="Q31" s="35" t="s">
        <v>117</v>
      </c>
      <c r="R31" s="322"/>
      <c r="S31" s="323"/>
      <c r="T31" s="324">
        <f t="shared" ca="1" si="3"/>
        <v>0</v>
      </c>
      <c r="U31" s="321">
        <f t="shared" ca="1" si="2"/>
        <v>0</v>
      </c>
    </row>
    <row r="32" spans="1:23">
      <c r="A32" s="21" t="str">
        <f t="shared" ca="1" si="0"/>
        <v>WP001</v>
      </c>
      <c r="B32" s="21" t="str">
        <f t="shared" ca="1" si="1"/>
        <v>WP001</v>
      </c>
      <c r="C32" s="21">
        <v>7</v>
      </c>
      <c r="D32" s="21" t="s">
        <v>118</v>
      </c>
      <c r="L32" s="21" t="s">
        <v>110</v>
      </c>
      <c r="M32" s="21" t="s">
        <v>80</v>
      </c>
      <c r="N32" s="425"/>
      <c r="O32" s="36"/>
      <c r="P32" s="388"/>
      <c r="Q32" s="35" t="s">
        <v>119</v>
      </c>
      <c r="R32" s="322"/>
      <c r="S32" s="323"/>
      <c r="T32" s="324">
        <f t="shared" ca="1" si="3"/>
        <v>0</v>
      </c>
      <c r="U32" s="321">
        <f t="shared" ca="1" si="2"/>
        <v>0</v>
      </c>
    </row>
    <row r="33" spans="1:23">
      <c r="A33" s="21" t="str">
        <f t="shared" ca="1" si="0"/>
        <v>WP001</v>
      </c>
      <c r="B33" s="21" t="str">
        <f t="shared" ca="1" si="1"/>
        <v>WP001</v>
      </c>
      <c r="C33" s="21">
        <v>7</v>
      </c>
      <c r="D33" s="21" t="s">
        <v>120</v>
      </c>
      <c r="L33" s="21" t="s">
        <v>110</v>
      </c>
      <c r="M33" s="21" t="s">
        <v>80</v>
      </c>
      <c r="N33" s="425"/>
      <c r="O33" s="36"/>
      <c r="P33" s="388"/>
      <c r="Q33" s="35" t="s">
        <v>121</v>
      </c>
      <c r="R33" s="322"/>
      <c r="S33" s="323"/>
      <c r="T33" s="324">
        <f t="shared" ca="1" si="3"/>
        <v>0</v>
      </c>
      <c r="U33" s="321">
        <f t="shared" ca="1" si="2"/>
        <v>0</v>
      </c>
    </row>
    <row r="34" spans="1:23">
      <c r="A34" s="21" t="str">
        <f t="shared" ca="1" si="0"/>
        <v>WP001</v>
      </c>
      <c r="B34" s="21" t="str">
        <f t="shared" ca="1" si="1"/>
        <v>WP001</v>
      </c>
      <c r="C34" s="21">
        <v>7</v>
      </c>
      <c r="D34" s="21" t="s">
        <v>122</v>
      </c>
      <c r="L34" s="21" t="s">
        <v>110</v>
      </c>
      <c r="M34" s="21" t="s">
        <v>80</v>
      </c>
      <c r="N34" s="425"/>
      <c r="O34" s="37"/>
      <c r="P34" s="388"/>
      <c r="Q34" s="35" t="s">
        <v>123</v>
      </c>
      <c r="R34" s="322"/>
      <c r="S34" s="323"/>
      <c r="T34" s="324">
        <f t="shared" ca="1" si="3"/>
        <v>0</v>
      </c>
      <c r="U34" s="321">
        <f t="shared" ca="1" si="2"/>
        <v>0</v>
      </c>
    </row>
    <row r="35" spans="1:23">
      <c r="A35" s="21" t="str">
        <f t="shared" ca="1" si="0"/>
        <v>WP001</v>
      </c>
      <c r="B35" s="21" t="str">
        <f t="shared" ca="1" si="1"/>
        <v>WP001</v>
      </c>
      <c r="C35" s="21">
        <v>4</v>
      </c>
      <c r="D35" s="21" t="s">
        <v>124</v>
      </c>
      <c r="H35" s="21" t="s">
        <v>74</v>
      </c>
      <c r="I35" s="21" t="s">
        <v>125</v>
      </c>
      <c r="M35" s="21" t="s">
        <v>46</v>
      </c>
      <c r="N35" s="425"/>
      <c r="O35" s="398" t="s">
        <v>126</v>
      </c>
      <c r="P35" s="399"/>
      <c r="Q35" s="399"/>
      <c r="R35" s="314"/>
      <c r="S35" s="315"/>
      <c r="T35" s="316">
        <f t="shared" ca="1" si="3"/>
        <v>0</v>
      </c>
      <c r="U35" s="317">
        <f t="shared" ca="1" si="2"/>
        <v>0</v>
      </c>
    </row>
    <row r="36" spans="1:23">
      <c r="A36" s="21" t="str">
        <f t="shared" ca="1" si="0"/>
        <v>WP001</v>
      </c>
      <c r="B36" s="21" t="str">
        <f t="shared" ca="1" si="1"/>
        <v>WP001</v>
      </c>
      <c r="C36" s="21">
        <v>5</v>
      </c>
      <c r="D36" s="21" t="s">
        <v>127</v>
      </c>
      <c r="J36" s="161" t="s">
        <v>125</v>
      </c>
      <c r="M36" s="21" t="s">
        <v>80</v>
      </c>
      <c r="N36" s="425"/>
      <c r="O36" s="38"/>
      <c r="P36" s="417" t="s">
        <v>128</v>
      </c>
      <c r="Q36" s="418"/>
      <c r="R36" s="322"/>
      <c r="S36" s="323"/>
      <c r="T36" s="324">
        <f t="shared" ca="1" si="3"/>
        <v>0</v>
      </c>
      <c r="U36" s="321">
        <f t="shared" ca="1" si="2"/>
        <v>0</v>
      </c>
    </row>
    <row r="37" spans="1:23">
      <c r="A37" s="21" t="str">
        <f t="shared" ca="1" si="0"/>
        <v>WP001</v>
      </c>
      <c r="B37" s="21" t="str">
        <f t="shared" ca="1" si="1"/>
        <v>WP001</v>
      </c>
      <c r="C37" s="21">
        <v>2</v>
      </c>
      <c r="D37" s="21" t="s">
        <v>129</v>
      </c>
      <c r="F37" s="21" t="s">
        <v>130</v>
      </c>
      <c r="G37" s="21" t="s">
        <v>74</v>
      </c>
      <c r="M37" s="21" t="s">
        <v>46</v>
      </c>
      <c r="N37" s="425"/>
      <c r="O37" s="419" t="s">
        <v>131</v>
      </c>
      <c r="P37" s="420"/>
      <c r="Q37" s="420"/>
      <c r="R37" s="330"/>
      <c r="S37" s="331"/>
      <c r="T37" s="332">
        <f t="shared" ca="1" si="3"/>
        <v>0</v>
      </c>
      <c r="U37" s="333">
        <f t="shared" ca="1" si="2"/>
        <v>0</v>
      </c>
    </row>
    <row r="38" spans="1:23">
      <c r="A38" s="21" t="str">
        <f t="shared" ca="1" si="0"/>
        <v>WP001</v>
      </c>
      <c r="B38" s="21" t="str">
        <f t="shared" ca="1" si="1"/>
        <v>WP001</v>
      </c>
      <c r="C38" s="21">
        <v>1</v>
      </c>
      <c r="N38" s="425"/>
      <c r="O38" s="39"/>
      <c r="P38" s="30"/>
      <c r="Q38" s="30"/>
      <c r="R38" s="334"/>
      <c r="S38" s="335"/>
      <c r="T38" s="324"/>
      <c r="U38" s="321"/>
    </row>
    <row r="39" spans="1:23">
      <c r="A39" s="21" t="str">
        <f t="shared" ca="1" si="0"/>
        <v>WP001</v>
      </c>
      <c r="B39" s="21" t="str">
        <f t="shared" ca="1" si="1"/>
        <v>WP001</v>
      </c>
      <c r="C39" s="21">
        <v>2</v>
      </c>
      <c r="D39" s="21" t="s">
        <v>132</v>
      </c>
      <c r="F39" s="21" t="s">
        <v>130</v>
      </c>
      <c r="M39" s="21" t="s">
        <v>133</v>
      </c>
      <c r="N39" s="425"/>
      <c r="O39" s="398" t="s">
        <v>134</v>
      </c>
      <c r="P39" s="399"/>
      <c r="Q39" s="399"/>
      <c r="R39" s="336"/>
      <c r="S39" s="337"/>
      <c r="T39" s="338">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17">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row>
    <row r="40" spans="1:23">
      <c r="A40" s="21" t="str">
        <f t="shared" ca="1" si="0"/>
        <v>WP001</v>
      </c>
      <c r="B40" s="21" t="str">
        <f t="shared" ca="1" si="1"/>
        <v>WP001</v>
      </c>
      <c r="C40" s="21">
        <v>1</v>
      </c>
      <c r="N40" s="425"/>
      <c r="O40" s="40"/>
      <c r="P40" s="388"/>
      <c r="Q40" s="388"/>
      <c r="R40" s="334"/>
      <c r="S40" s="335"/>
      <c r="T40" s="324"/>
      <c r="U40" s="321"/>
    </row>
    <row r="41" spans="1:23" ht="12.75" thickBot="1">
      <c r="A41" s="21" t="str">
        <f t="shared" ca="1" si="0"/>
        <v>ENDWP001</v>
      </c>
      <c r="B41" s="21" t="str">
        <f t="shared" ca="1" si="1"/>
        <v>WP001</v>
      </c>
      <c r="C41" s="21">
        <v>0</v>
      </c>
      <c r="D41" s="21" t="s">
        <v>135</v>
      </c>
      <c r="E41" s="21" t="s">
        <v>130</v>
      </c>
      <c r="M41" s="21" t="s">
        <v>46</v>
      </c>
      <c r="N41" s="426"/>
      <c r="O41" s="421" t="str">
        <f ca="1">"TOTAL COSTS (A+B+C+D+E) - " &amp; OFFSET(O41,-26,0)</f>
        <v xml:space="preserve">TOTAL COSTS (A+B+C+D+E) - </v>
      </c>
      <c r="P41" s="422"/>
      <c r="Q41" s="422"/>
      <c r="R41" s="339"/>
      <c r="S41" s="340"/>
      <c r="T41" s="341">
        <f t="shared" ca="1" si="3"/>
        <v>0</v>
      </c>
      <c r="U41" s="342">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row>
    <row r="42" spans="1:23" ht="13.5" thickTop="1" thickBot="1">
      <c r="A42" s="21" t="s">
        <v>137</v>
      </c>
    </row>
    <row r="43" spans="1:23" ht="13.5" thickTop="1" thickBot="1">
      <c r="A43" s="21" t="str">
        <f ca="1">IF(ISNUMBER(OFFSET(A43,0,13)),"START",IF(AND(OFFSET(A43,0,2)=0,OFFSET(A43,0,4)="GT"),"END",""))&amp;OFFSET(A43,0,1)</f>
        <v>STARTWP002</v>
      </c>
      <c r="B43" s="21" t="str">
        <f ca="1">IF(ISNUMBER(OFFSET(B43,0,12)),"WP" &amp; TEXT(OFFSET(B43,0,12),"000"),OFFSET(B43,-1,0))</f>
        <v>WP002</v>
      </c>
      <c r="N43" s="62">
        <v>2</v>
      </c>
      <c r="O43" s="423" t="str">
        <f ca="1">""&amp;VLOOKUP(OFFSET(N43,1,0),'Work Packages List'!A:B,2,FALSE)</f>
        <v/>
      </c>
      <c r="P43" s="423"/>
      <c r="Q43" s="424"/>
      <c r="R43" s="310"/>
      <c r="S43" s="311"/>
      <c r="T43" s="312"/>
      <c r="U43" s="313"/>
    </row>
    <row r="44" spans="1:23">
      <c r="A44" s="21" t="str">
        <f t="shared" ref="A44:A75" ca="1" si="4">IF(ISNUMBER(OFFSET(A44,0,12)),"START",IF(AND(OFFSET(A44,0,2)=0,OFFSET(A44,0,4)="GT"),"END",""))&amp;OFFSET(A44,0,1)</f>
        <v>WP002</v>
      </c>
      <c r="B44" s="21" t="str">
        <f t="shared" ref="B44:B75" ca="1" si="5">IF(ISNUMBER(OFFSET(B44,0,11)),"WP" &amp; TEXT(OFFSET(B44,0,11),"000"),OFFSET(B44,-1,0))</f>
        <v>WP002</v>
      </c>
      <c r="C44" s="21">
        <v>4</v>
      </c>
      <c r="D44" s="21" t="s">
        <v>73</v>
      </c>
      <c r="H44" s="21" t="s">
        <v>74</v>
      </c>
      <c r="I44" s="21" t="s">
        <v>75</v>
      </c>
      <c r="M44" s="21" t="s">
        <v>46</v>
      </c>
      <c r="N44" s="425" t="str">
        <f ca="1">"WP " &amp; TEXT(OFFSET(N44,-1,0),"000")</f>
        <v>WP 002</v>
      </c>
      <c r="O44" s="398" t="s">
        <v>37</v>
      </c>
      <c r="P44" s="399"/>
      <c r="Q44" s="427"/>
      <c r="R44" s="314">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15"/>
      <c r="T44" s="316">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17">
        <f t="shared" ref="U44:U71" ca="1" si="6">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row>
    <row r="45" spans="1:23">
      <c r="A45" s="21" t="str">
        <f t="shared" ca="1" si="4"/>
        <v>WP002</v>
      </c>
      <c r="B45" s="21" t="str">
        <f t="shared" ca="1" si="5"/>
        <v>WP002</v>
      </c>
      <c r="C45" s="21">
        <v>6</v>
      </c>
      <c r="D45" s="21" t="s">
        <v>76</v>
      </c>
      <c r="J45" s="161" t="s">
        <v>75</v>
      </c>
      <c r="K45" s="21" t="s">
        <v>77</v>
      </c>
      <c r="M45" s="21" t="s">
        <v>46</v>
      </c>
      <c r="N45" s="425"/>
      <c r="O45" s="27"/>
      <c r="P45" s="396" t="s">
        <v>78</v>
      </c>
      <c r="Q45" s="428"/>
      <c r="R45" s="318">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19"/>
      <c r="T45" s="320">
        <f t="shared" ref="T45:T75" ca="1" si="7">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21">
        <f t="shared" ca="1" si="6"/>
        <v>0</v>
      </c>
      <c r="W45" s="23"/>
    </row>
    <row r="46" spans="1:23">
      <c r="A46" s="21" t="str">
        <f t="shared" ca="1" si="4"/>
        <v>WP002</v>
      </c>
      <c r="B46" s="21" t="str">
        <f t="shared" ca="1" si="5"/>
        <v>WP002</v>
      </c>
      <c r="C46" s="21">
        <v>7</v>
      </c>
      <c r="D46" s="21" t="s">
        <v>79</v>
      </c>
      <c r="L46" s="21" t="s">
        <v>77</v>
      </c>
      <c r="M46" s="21" t="s">
        <v>80</v>
      </c>
      <c r="N46" s="425"/>
      <c r="O46" s="28"/>
      <c r="P46" s="29"/>
      <c r="Q46" s="30" t="str">
        <f>EMP_TYPE1</f>
        <v>Type 1</v>
      </c>
      <c r="R46" s="322"/>
      <c r="S46" s="323"/>
      <c r="T46" s="324">
        <f t="shared" ca="1" si="7"/>
        <v>0</v>
      </c>
      <c r="U46" s="321">
        <f t="shared" ca="1" si="6"/>
        <v>0</v>
      </c>
      <c r="W46" s="23"/>
    </row>
    <row r="47" spans="1:23">
      <c r="A47" s="21" t="str">
        <f t="shared" ca="1" si="4"/>
        <v>WP002</v>
      </c>
      <c r="B47" s="21" t="str">
        <f t="shared" ca="1" si="5"/>
        <v>WP002</v>
      </c>
      <c r="C47" s="21">
        <v>7</v>
      </c>
      <c r="D47" s="21" t="s">
        <v>81</v>
      </c>
      <c r="L47" s="21" t="s">
        <v>77</v>
      </c>
      <c r="M47" s="21" t="s">
        <v>80</v>
      </c>
      <c r="N47" s="425"/>
      <c r="O47" s="28"/>
      <c r="P47" s="29"/>
      <c r="Q47" s="30" t="str">
        <f>EMP_TYPE2</f>
        <v>Type 2</v>
      </c>
      <c r="R47" s="322"/>
      <c r="S47" s="323"/>
      <c r="T47" s="324">
        <f t="shared" ca="1" si="7"/>
        <v>0</v>
      </c>
      <c r="U47" s="321">
        <f t="shared" ca="1" si="6"/>
        <v>0</v>
      </c>
      <c r="W47" s="23"/>
    </row>
    <row r="48" spans="1:23">
      <c r="A48" s="21" t="str">
        <f t="shared" ca="1" si="4"/>
        <v>WP002</v>
      </c>
      <c r="B48" s="21" t="str">
        <f t="shared" ca="1" si="5"/>
        <v>WP002</v>
      </c>
      <c r="C48" s="21">
        <v>7</v>
      </c>
      <c r="D48" s="21" t="s">
        <v>82</v>
      </c>
      <c r="L48" s="21" t="s">
        <v>77</v>
      </c>
      <c r="M48" s="21" t="s">
        <v>80</v>
      </c>
      <c r="N48" s="425"/>
      <c r="O48" s="28"/>
      <c r="P48" s="29"/>
      <c r="Q48" s="30" t="str">
        <f>EMP_TYPE3</f>
        <v>Type 3</v>
      </c>
      <c r="R48" s="322"/>
      <c r="S48" s="323"/>
      <c r="T48" s="324">
        <f t="shared" ca="1" si="7"/>
        <v>0</v>
      </c>
      <c r="U48" s="321">
        <f t="shared" ca="1" si="6"/>
        <v>0</v>
      </c>
      <c r="W48" s="23"/>
    </row>
    <row r="49" spans="1:23">
      <c r="A49" s="21" t="str">
        <f t="shared" ca="1" si="4"/>
        <v>WP002</v>
      </c>
      <c r="B49" s="21" t="str">
        <f t="shared" ca="1" si="5"/>
        <v>WP002</v>
      </c>
      <c r="C49" s="21">
        <v>7</v>
      </c>
      <c r="D49" s="21" t="s">
        <v>83</v>
      </c>
      <c r="L49" s="21" t="s">
        <v>77</v>
      </c>
      <c r="M49" s="21" t="s">
        <v>80</v>
      </c>
      <c r="N49" s="425"/>
      <c r="O49" s="28"/>
      <c r="P49" s="29"/>
      <c r="Q49" s="30" t="str">
        <f>EMP_TYPE4</f>
        <v>Type 4</v>
      </c>
      <c r="R49" s="322"/>
      <c r="S49" s="323"/>
      <c r="T49" s="324">
        <f t="shared" ca="1" si="7"/>
        <v>0</v>
      </c>
      <c r="U49" s="321">
        <f t="shared" ca="1" si="6"/>
        <v>0</v>
      </c>
      <c r="W49" s="23"/>
    </row>
    <row r="50" spans="1:23">
      <c r="A50" s="21" t="str">
        <f t="shared" ca="1" si="4"/>
        <v>WP002</v>
      </c>
      <c r="B50" s="21" t="str">
        <f t="shared" ca="1" si="5"/>
        <v>WP002</v>
      </c>
      <c r="C50" s="21">
        <v>7</v>
      </c>
      <c r="D50" s="21" t="s">
        <v>84</v>
      </c>
      <c r="L50" s="21" t="s">
        <v>77</v>
      </c>
      <c r="M50" s="21" t="s">
        <v>80</v>
      </c>
      <c r="N50" s="425"/>
      <c r="O50" s="28"/>
      <c r="P50" s="29"/>
      <c r="Q50" s="30" t="str">
        <f>EMP_OTHER</f>
        <v>Type 5</v>
      </c>
      <c r="R50" s="322"/>
      <c r="S50" s="323"/>
      <c r="T50" s="324">
        <f t="shared" ca="1" si="7"/>
        <v>0</v>
      </c>
      <c r="U50" s="321">
        <f t="shared" ca="1" si="6"/>
        <v>0</v>
      </c>
      <c r="W50" s="23"/>
    </row>
    <row r="51" spans="1:23">
      <c r="A51" s="21" t="str">
        <f t="shared" ca="1" si="4"/>
        <v>WP002</v>
      </c>
      <c r="B51" s="21" t="str">
        <f t="shared" ca="1" si="5"/>
        <v>WP002</v>
      </c>
      <c r="C51" s="21">
        <v>6</v>
      </c>
      <c r="D51" s="21" t="s">
        <v>85</v>
      </c>
      <c r="J51" s="161" t="s">
        <v>75</v>
      </c>
      <c r="M51" s="21" t="s">
        <v>80</v>
      </c>
      <c r="N51" s="425"/>
      <c r="O51" s="31"/>
      <c r="P51" s="418" t="s">
        <v>86</v>
      </c>
      <c r="Q51" s="429"/>
      <c r="R51" s="325"/>
      <c r="S51" s="326"/>
      <c r="T51" s="320">
        <f t="shared" ca="1" si="7"/>
        <v>0</v>
      </c>
      <c r="U51" s="321">
        <f t="shared" ca="1" si="6"/>
        <v>0</v>
      </c>
      <c r="W51" s="23"/>
    </row>
    <row r="52" spans="1:23">
      <c r="A52" s="21" t="str">
        <f t="shared" ca="1" si="4"/>
        <v>WP002</v>
      </c>
      <c r="B52" s="21" t="str">
        <f t="shared" ca="1" si="5"/>
        <v>WP002</v>
      </c>
      <c r="C52" s="21">
        <v>6</v>
      </c>
      <c r="D52" s="21" t="s">
        <v>87</v>
      </c>
      <c r="J52" s="161" t="s">
        <v>75</v>
      </c>
      <c r="M52" s="21" t="s">
        <v>80</v>
      </c>
      <c r="N52" s="425"/>
      <c r="O52" s="31"/>
      <c r="P52" s="418" t="s">
        <v>88</v>
      </c>
      <c r="Q52" s="429"/>
      <c r="R52" s="325"/>
      <c r="S52" s="326"/>
      <c r="T52" s="320">
        <f t="shared" ca="1" si="7"/>
        <v>0</v>
      </c>
      <c r="U52" s="321">
        <f t="shared" ca="1" si="6"/>
        <v>0</v>
      </c>
      <c r="W52" s="23"/>
    </row>
    <row r="53" spans="1:23">
      <c r="A53" s="21" t="str">
        <f t="shared" ca="1" si="4"/>
        <v>WP002</v>
      </c>
      <c r="B53" s="21" t="str">
        <f t="shared" ca="1" si="5"/>
        <v>WP002</v>
      </c>
      <c r="C53" s="21">
        <v>6</v>
      </c>
      <c r="D53" s="21" t="s">
        <v>89</v>
      </c>
      <c r="J53" s="161" t="s">
        <v>75</v>
      </c>
      <c r="M53" s="21" t="s">
        <v>80</v>
      </c>
      <c r="N53" s="425"/>
      <c r="O53" s="31"/>
      <c r="P53" s="418" t="s">
        <v>90</v>
      </c>
      <c r="Q53" s="429"/>
      <c r="R53" s="325"/>
      <c r="S53" s="326"/>
      <c r="T53" s="320">
        <f t="shared" ca="1" si="7"/>
        <v>0</v>
      </c>
      <c r="U53" s="321">
        <f t="shared" ca="1" si="6"/>
        <v>0</v>
      </c>
      <c r="W53" s="23"/>
    </row>
    <row r="54" spans="1:23">
      <c r="A54" s="21" t="str">
        <f t="shared" ca="1" si="4"/>
        <v>WP002</v>
      </c>
      <c r="B54" s="21" t="str">
        <f t="shared" ca="1" si="5"/>
        <v>WP002</v>
      </c>
      <c r="C54" s="21">
        <v>6</v>
      </c>
      <c r="D54" s="21" t="s">
        <v>91</v>
      </c>
      <c r="J54" s="161" t="s">
        <v>75</v>
      </c>
      <c r="M54" s="21" t="s">
        <v>80</v>
      </c>
      <c r="N54" s="425"/>
      <c r="O54" s="31"/>
      <c r="P54" s="418" t="s">
        <v>92</v>
      </c>
      <c r="Q54" s="429"/>
      <c r="R54" s="325"/>
      <c r="S54" s="326"/>
      <c r="T54" s="320">
        <f t="shared" ca="1" si="7"/>
        <v>0</v>
      </c>
      <c r="U54" s="321">
        <f t="shared" ca="1" si="6"/>
        <v>0</v>
      </c>
    </row>
    <row r="55" spans="1:23">
      <c r="A55" s="21" t="str">
        <f t="shared" ca="1" si="4"/>
        <v>WP002</v>
      </c>
      <c r="B55" s="21" t="str">
        <f t="shared" ca="1" si="5"/>
        <v>WP002</v>
      </c>
      <c r="C55" s="21">
        <v>4</v>
      </c>
      <c r="D55" s="21" t="s">
        <v>93</v>
      </c>
      <c r="H55" s="21" t="s">
        <v>74</v>
      </c>
      <c r="I55" s="21" t="s">
        <v>94</v>
      </c>
      <c r="M55" s="21" t="s">
        <v>80</v>
      </c>
      <c r="N55" s="425"/>
      <c r="O55" s="398" t="s">
        <v>65</v>
      </c>
      <c r="P55" s="399"/>
      <c r="Q55" s="399"/>
      <c r="R55" s="327"/>
      <c r="S55" s="328"/>
      <c r="T55" s="316">
        <f t="shared" ca="1" si="7"/>
        <v>0</v>
      </c>
      <c r="U55" s="317">
        <f t="shared" ca="1" si="6"/>
        <v>0</v>
      </c>
    </row>
    <row r="56" spans="1:23">
      <c r="A56" s="21" t="str">
        <f t="shared" ca="1" si="4"/>
        <v>WP002</v>
      </c>
      <c r="B56" s="21" t="str">
        <f t="shared" ca="1" si="5"/>
        <v>WP002</v>
      </c>
      <c r="C56" s="21">
        <v>4</v>
      </c>
      <c r="D56" s="21" t="s">
        <v>95</v>
      </c>
      <c r="H56" s="21" t="s">
        <v>74</v>
      </c>
      <c r="I56" s="21" t="s">
        <v>96</v>
      </c>
      <c r="M56" s="21" t="s">
        <v>46</v>
      </c>
      <c r="N56" s="425"/>
      <c r="O56" s="398" t="s">
        <v>97</v>
      </c>
      <c r="P56" s="399"/>
      <c r="Q56" s="399"/>
      <c r="R56" s="314"/>
      <c r="S56" s="315"/>
      <c r="T56" s="316">
        <f t="shared" ca="1" si="7"/>
        <v>0</v>
      </c>
      <c r="U56" s="317">
        <f t="shared" ca="1" si="6"/>
        <v>0</v>
      </c>
    </row>
    <row r="57" spans="1:23">
      <c r="A57" s="21" t="str">
        <f t="shared" ca="1" si="4"/>
        <v>WP002</v>
      </c>
      <c r="B57" s="21" t="str">
        <f t="shared" ca="1" si="5"/>
        <v>WP002</v>
      </c>
      <c r="C57" s="21">
        <v>6</v>
      </c>
      <c r="D57" s="21" t="s">
        <v>98</v>
      </c>
      <c r="J57" s="161" t="s">
        <v>96</v>
      </c>
      <c r="K57" s="21" t="s">
        <v>99</v>
      </c>
      <c r="M57" s="21" t="s">
        <v>46</v>
      </c>
      <c r="N57" s="425"/>
      <c r="O57" s="32"/>
      <c r="P57" s="429" t="s">
        <v>100</v>
      </c>
      <c r="Q57" s="429"/>
      <c r="R57" s="318"/>
      <c r="S57" s="319"/>
      <c r="T57" s="320">
        <f t="shared" ca="1" si="7"/>
        <v>0</v>
      </c>
      <c r="U57" s="321">
        <f t="shared" ca="1" si="6"/>
        <v>0</v>
      </c>
    </row>
    <row r="58" spans="1:23">
      <c r="A58" s="21" t="str">
        <f t="shared" ca="1" si="4"/>
        <v>WP002</v>
      </c>
      <c r="B58" s="21" t="str">
        <f t="shared" ca="1" si="5"/>
        <v>WP002</v>
      </c>
      <c r="C58" s="21">
        <v>7</v>
      </c>
      <c r="D58" s="21" t="s">
        <v>101</v>
      </c>
      <c r="L58" s="21" t="s">
        <v>99</v>
      </c>
      <c r="M58" s="21" t="s">
        <v>80</v>
      </c>
      <c r="N58" s="425"/>
      <c r="O58" s="33"/>
      <c r="P58" s="34"/>
      <c r="Q58" s="35" t="s">
        <v>102</v>
      </c>
      <c r="R58" s="322"/>
      <c r="S58" s="323"/>
      <c r="T58" s="324">
        <f t="shared" ca="1" si="7"/>
        <v>0</v>
      </c>
      <c r="U58" s="321">
        <f t="shared" ca="1" si="6"/>
        <v>0</v>
      </c>
    </row>
    <row r="59" spans="1:23">
      <c r="A59" s="21" t="str">
        <f t="shared" ca="1" si="4"/>
        <v>WP002</v>
      </c>
      <c r="B59" s="21" t="str">
        <f t="shared" ca="1" si="5"/>
        <v>WP002</v>
      </c>
      <c r="C59" s="21">
        <v>7</v>
      </c>
      <c r="D59" s="21" t="s">
        <v>103</v>
      </c>
      <c r="L59" s="21" t="s">
        <v>99</v>
      </c>
      <c r="M59" s="21" t="s">
        <v>80</v>
      </c>
      <c r="N59" s="425"/>
      <c r="O59" s="33"/>
      <c r="P59" s="34"/>
      <c r="Q59" s="35" t="s">
        <v>104</v>
      </c>
      <c r="R59" s="322"/>
      <c r="S59" s="323"/>
      <c r="T59" s="324">
        <f t="shared" ca="1" si="7"/>
        <v>0</v>
      </c>
      <c r="U59" s="321">
        <f t="shared" ca="1" si="6"/>
        <v>0</v>
      </c>
    </row>
    <row r="60" spans="1:23">
      <c r="A60" s="21" t="str">
        <f t="shared" ca="1" si="4"/>
        <v>WP002</v>
      </c>
      <c r="B60" s="21" t="str">
        <f t="shared" ca="1" si="5"/>
        <v>WP002</v>
      </c>
      <c r="C60" s="21">
        <v>7</v>
      </c>
      <c r="D60" s="21" t="s">
        <v>105</v>
      </c>
      <c r="L60" s="21" t="s">
        <v>99</v>
      </c>
      <c r="M60" s="21" t="s">
        <v>80</v>
      </c>
      <c r="N60" s="425"/>
      <c r="O60" s="33"/>
      <c r="P60" s="34"/>
      <c r="Q60" s="35" t="s">
        <v>106</v>
      </c>
      <c r="R60" s="322"/>
      <c r="S60" s="323"/>
      <c r="T60" s="324">
        <f t="shared" ca="1" si="7"/>
        <v>0</v>
      </c>
      <c r="U60" s="321">
        <f t="shared" ca="1" si="6"/>
        <v>0</v>
      </c>
    </row>
    <row r="61" spans="1:23">
      <c r="A61" s="21" t="str">
        <f t="shared" ca="1" si="4"/>
        <v>WP002</v>
      </c>
      <c r="B61" s="21" t="str">
        <f t="shared" ca="1" si="5"/>
        <v>WP002</v>
      </c>
      <c r="C61" s="21">
        <v>5</v>
      </c>
      <c r="D61" s="21" t="s">
        <v>107</v>
      </c>
      <c r="J61" s="161" t="s">
        <v>96</v>
      </c>
      <c r="M61" s="21" t="s">
        <v>80</v>
      </c>
      <c r="N61" s="425"/>
      <c r="O61" s="36"/>
      <c r="P61" s="429" t="s">
        <v>108</v>
      </c>
      <c r="Q61" s="429"/>
      <c r="R61" s="325"/>
      <c r="S61" s="326"/>
      <c r="T61" s="320">
        <f t="shared" ca="1" si="7"/>
        <v>0</v>
      </c>
      <c r="U61" s="321">
        <f t="shared" ca="1" si="6"/>
        <v>0</v>
      </c>
    </row>
    <row r="62" spans="1:23">
      <c r="A62" s="21" t="str">
        <f t="shared" ca="1" si="4"/>
        <v>WP002</v>
      </c>
      <c r="B62" s="21" t="str">
        <f t="shared" ca="1" si="5"/>
        <v>WP002</v>
      </c>
      <c r="C62" s="21">
        <v>6</v>
      </c>
      <c r="D62" s="21" t="s">
        <v>109</v>
      </c>
      <c r="J62" s="161" t="s">
        <v>96</v>
      </c>
      <c r="K62" s="21" t="s">
        <v>110</v>
      </c>
      <c r="M62" s="21" t="s">
        <v>46</v>
      </c>
      <c r="N62" s="425"/>
      <c r="O62" s="36"/>
      <c r="P62" s="429" t="s">
        <v>111</v>
      </c>
      <c r="Q62" s="429"/>
      <c r="R62" s="329"/>
      <c r="S62" s="319"/>
      <c r="T62" s="320">
        <f t="shared" ca="1" si="7"/>
        <v>0</v>
      </c>
      <c r="U62" s="321">
        <f t="shared" ca="1" si="6"/>
        <v>0</v>
      </c>
    </row>
    <row r="63" spans="1:23">
      <c r="A63" s="21" t="str">
        <f t="shared" ca="1" si="4"/>
        <v>WP002</v>
      </c>
      <c r="B63" s="21" t="str">
        <f t="shared" ca="1" si="5"/>
        <v>WP002</v>
      </c>
      <c r="C63" s="21">
        <v>7</v>
      </c>
      <c r="D63" s="21" t="s">
        <v>112</v>
      </c>
      <c r="L63" s="21" t="s">
        <v>110</v>
      </c>
      <c r="M63" s="21" t="s">
        <v>80</v>
      </c>
      <c r="N63" s="425"/>
      <c r="O63" s="36"/>
      <c r="P63" s="388"/>
      <c r="Q63" s="35" t="s">
        <v>113</v>
      </c>
      <c r="R63" s="322"/>
      <c r="S63" s="323"/>
      <c r="T63" s="324">
        <f t="shared" ca="1" si="7"/>
        <v>0</v>
      </c>
      <c r="U63" s="321">
        <f t="shared" ca="1" si="6"/>
        <v>0</v>
      </c>
    </row>
    <row r="64" spans="1:23">
      <c r="A64" s="21" t="str">
        <f t="shared" ca="1" si="4"/>
        <v>WP002</v>
      </c>
      <c r="B64" s="21" t="str">
        <f t="shared" ca="1" si="5"/>
        <v>WP002</v>
      </c>
      <c r="C64" s="21">
        <v>7</v>
      </c>
      <c r="D64" s="21" t="s">
        <v>114</v>
      </c>
      <c r="L64" s="21" t="s">
        <v>110</v>
      </c>
      <c r="M64" s="21" t="s">
        <v>80</v>
      </c>
      <c r="N64" s="425"/>
      <c r="O64" s="36"/>
      <c r="P64" s="388"/>
      <c r="Q64" s="35" t="s">
        <v>115</v>
      </c>
      <c r="R64" s="322"/>
      <c r="S64" s="323"/>
      <c r="T64" s="324">
        <f t="shared" ca="1" si="7"/>
        <v>0</v>
      </c>
      <c r="U64" s="321">
        <f t="shared" ca="1" si="6"/>
        <v>0</v>
      </c>
    </row>
    <row r="65" spans="1:23">
      <c r="A65" s="21" t="str">
        <f t="shared" ca="1" si="4"/>
        <v>WP002</v>
      </c>
      <c r="B65" s="21" t="str">
        <f t="shared" ca="1" si="5"/>
        <v>WP002</v>
      </c>
      <c r="C65" s="21">
        <v>7</v>
      </c>
      <c r="D65" s="21" t="s">
        <v>116</v>
      </c>
      <c r="L65" s="21" t="s">
        <v>110</v>
      </c>
      <c r="M65" s="21" t="s">
        <v>80</v>
      </c>
      <c r="N65" s="425"/>
      <c r="O65" s="36"/>
      <c r="P65" s="388"/>
      <c r="Q65" s="35" t="s">
        <v>117</v>
      </c>
      <c r="R65" s="322"/>
      <c r="S65" s="323"/>
      <c r="T65" s="324">
        <f t="shared" ca="1" si="7"/>
        <v>0</v>
      </c>
      <c r="U65" s="321">
        <f t="shared" ca="1" si="6"/>
        <v>0</v>
      </c>
    </row>
    <row r="66" spans="1:23">
      <c r="A66" s="21" t="str">
        <f t="shared" ca="1" si="4"/>
        <v>WP002</v>
      </c>
      <c r="B66" s="21" t="str">
        <f t="shared" ca="1" si="5"/>
        <v>WP002</v>
      </c>
      <c r="C66" s="21">
        <v>7</v>
      </c>
      <c r="D66" s="21" t="s">
        <v>118</v>
      </c>
      <c r="L66" s="21" t="s">
        <v>110</v>
      </c>
      <c r="M66" s="21" t="s">
        <v>80</v>
      </c>
      <c r="N66" s="425"/>
      <c r="O66" s="36"/>
      <c r="P66" s="388"/>
      <c r="Q66" s="35" t="s">
        <v>119</v>
      </c>
      <c r="R66" s="322"/>
      <c r="S66" s="323"/>
      <c r="T66" s="324">
        <f t="shared" ca="1" si="7"/>
        <v>0</v>
      </c>
      <c r="U66" s="321">
        <f t="shared" ca="1" si="6"/>
        <v>0</v>
      </c>
    </row>
    <row r="67" spans="1:23">
      <c r="A67" s="21" t="str">
        <f t="shared" ca="1" si="4"/>
        <v>WP002</v>
      </c>
      <c r="B67" s="21" t="str">
        <f t="shared" ca="1" si="5"/>
        <v>WP002</v>
      </c>
      <c r="C67" s="21">
        <v>7</v>
      </c>
      <c r="D67" s="21" t="s">
        <v>120</v>
      </c>
      <c r="L67" s="21" t="s">
        <v>110</v>
      </c>
      <c r="M67" s="21" t="s">
        <v>80</v>
      </c>
      <c r="N67" s="425"/>
      <c r="O67" s="36"/>
      <c r="P67" s="388"/>
      <c r="Q67" s="35" t="s">
        <v>121</v>
      </c>
      <c r="R67" s="322"/>
      <c r="S67" s="323"/>
      <c r="T67" s="324">
        <f t="shared" ca="1" si="7"/>
        <v>0</v>
      </c>
      <c r="U67" s="321">
        <f t="shared" ca="1" si="6"/>
        <v>0</v>
      </c>
    </row>
    <row r="68" spans="1:23">
      <c r="A68" s="21" t="str">
        <f t="shared" ca="1" si="4"/>
        <v>WP002</v>
      </c>
      <c r="B68" s="21" t="str">
        <f t="shared" ca="1" si="5"/>
        <v>WP002</v>
      </c>
      <c r="C68" s="21">
        <v>7</v>
      </c>
      <c r="D68" s="21" t="s">
        <v>122</v>
      </c>
      <c r="L68" s="21" t="s">
        <v>110</v>
      </c>
      <c r="M68" s="21" t="s">
        <v>80</v>
      </c>
      <c r="N68" s="425"/>
      <c r="O68" s="37"/>
      <c r="P68" s="388"/>
      <c r="Q68" s="35" t="s">
        <v>123</v>
      </c>
      <c r="R68" s="322"/>
      <c r="S68" s="323"/>
      <c r="T68" s="324">
        <f t="shared" ca="1" si="7"/>
        <v>0</v>
      </c>
      <c r="U68" s="321">
        <f t="shared" ca="1" si="6"/>
        <v>0</v>
      </c>
    </row>
    <row r="69" spans="1:23">
      <c r="A69" s="21" t="str">
        <f t="shared" ca="1" si="4"/>
        <v>WP002</v>
      </c>
      <c r="B69" s="21" t="str">
        <f t="shared" ca="1" si="5"/>
        <v>WP002</v>
      </c>
      <c r="C69" s="21">
        <v>4</v>
      </c>
      <c r="D69" s="21" t="s">
        <v>124</v>
      </c>
      <c r="H69" s="21" t="s">
        <v>74</v>
      </c>
      <c r="I69" s="21" t="s">
        <v>125</v>
      </c>
      <c r="M69" s="21" t="s">
        <v>46</v>
      </c>
      <c r="N69" s="425"/>
      <c r="O69" s="398" t="s">
        <v>126</v>
      </c>
      <c r="P69" s="399"/>
      <c r="Q69" s="399"/>
      <c r="R69" s="314"/>
      <c r="S69" s="315"/>
      <c r="T69" s="316">
        <f t="shared" ca="1" si="7"/>
        <v>0</v>
      </c>
      <c r="U69" s="317">
        <f t="shared" ca="1" si="6"/>
        <v>0</v>
      </c>
    </row>
    <row r="70" spans="1:23">
      <c r="A70" s="21" t="str">
        <f t="shared" ca="1" si="4"/>
        <v>WP002</v>
      </c>
      <c r="B70" s="21" t="str">
        <f t="shared" ca="1" si="5"/>
        <v>WP002</v>
      </c>
      <c r="C70" s="21">
        <v>5</v>
      </c>
      <c r="D70" s="21" t="s">
        <v>127</v>
      </c>
      <c r="J70" s="161" t="s">
        <v>125</v>
      </c>
      <c r="M70" s="21" t="s">
        <v>80</v>
      </c>
      <c r="N70" s="425"/>
      <c r="O70" s="38"/>
      <c r="P70" s="417" t="s">
        <v>128</v>
      </c>
      <c r="Q70" s="418"/>
      <c r="R70" s="322"/>
      <c r="S70" s="323"/>
      <c r="T70" s="324">
        <f t="shared" ca="1" si="7"/>
        <v>0</v>
      </c>
      <c r="U70" s="321">
        <f t="shared" ca="1" si="6"/>
        <v>0</v>
      </c>
    </row>
    <row r="71" spans="1:23">
      <c r="A71" s="21" t="str">
        <f t="shared" ca="1" si="4"/>
        <v>WP002</v>
      </c>
      <c r="B71" s="21" t="str">
        <f t="shared" ca="1" si="5"/>
        <v>WP002</v>
      </c>
      <c r="C71" s="21">
        <v>2</v>
      </c>
      <c r="D71" s="21" t="s">
        <v>129</v>
      </c>
      <c r="F71" s="21" t="s">
        <v>130</v>
      </c>
      <c r="G71" s="21" t="s">
        <v>74</v>
      </c>
      <c r="M71" s="21" t="s">
        <v>46</v>
      </c>
      <c r="N71" s="425"/>
      <c r="O71" s="419" t="s">
        <v>131</v>
      </c>
      <c r="P71" s="420"/>
      <c r="Q71" s="420"/>
      <c r="R71" s="330"/>
      <c r="S71" s="331"/>
      <c r="T71" s="332">
        <f t="shared" ca="1" si="7"/>
        <v>0</v>
      </c>
      <c r="U71" s="333">
        <f t="shared" ca="1" si="6"/>
        <v>0</v>
      </c>
    </row>
    <row r="72" spans="1:23">
      <c r="A72" s="21" t="str">
        <f t="shared" ca="1" si="4"/>
        <v>WP002</v>
      </c>
      <c r="B72" s="21" t="str">
        <f t="shared" ca="1" si="5"/>
        <v>WP002</v>
      </c>
      <c r="C72" s="21">
        <v>1</v>
      </c>
      <c r="N72" s="425"/>
      <c r="O72" s="39"/>
      <c r="P72" s="30"/>
      <c r="Q72" s="30"/>
      <c r="R72" s="334"/>
      <c r="S72" s="335"/>
      <c r="T72" s="324"/>
      <c r="U72" s="321"/>
    </row>
    <row r="73" spans="1:23">
      <c r="A73" s="21" t="str">
        <f t="shared" ca="1" si="4"/>
        <v>WP002</v>
      </c>
      <c r="B73" s="21" t="str">
        <f t="shared" ca="1" si="5"/>
        <v>WP002</v>
      </c>
      <c r="C73" s="21">
        <v>2</v>
      </c>
      <c r="D73" s="21" t="s">
        <v>132</v>
      </c>
      <c r="F73" s="21" t="s">
        <v>130</v>
      </c>
      <c r="M73" s="21" t="s">
        <v>133</v>
      </c>
      <c r="N73" s="425"/>
      <c r="O73" s="398" t="s">
        <v>134</v>
      </c>
      <c r="P73" s="399"/>
      <c r="Q73" s="399"/>
      <c r="R73" s="336"/>
      <c r="S73" s="337"/>
      <c r="T73" s="338">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17">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row>
    <row r="74" spans="1:23">
      <c r="A74" s="21" t="str">
        <f t="shared" ca="1" si="4"/>
        <v>WP002</v>
      </c>
      <c r="B74" s="21" t="str">
        <f t="shared" ca="1" si="5"/>
        <v>WP002</v>
      </c>
      <c r="C74" s="21">
        <v>1</v>
      </c>
      <c r="N74" s="425"/>
      <c r="O74" s="40"/>
      <c r="P74" s="388"/>
      <c r="Q74" s="388"/>
      <c r="R74" s="334"/>
      <c r="S74" s="335"/>
      <c r="T74" s="324"/>
      <c r="U74" s="321"/>
    </row>
    <row r="75" spans="1:23" ht="12.75" thickBot="1">
      <c r="A75" s="21" t="str">
        <f t="shared" ca="1" si="4"/>
        <v>ENDWP002</v>
      </c>
      <c r="B75" s="21" t="str">
        <f t="shared" ca="1" si="5"/>
        <v>WP002</v>
      </c>
      <c r="C75" s="21">
        <v>0</v>
      </c>
      <c r="D75" s="21" t="s">
        <v>135</v>
      </c>
      <c r="E75" s="21" t="s">
        <v>130</v>
      </c>
      <c r="M75" s="21" t="s">
        <v>46</v>
      </c>
      <c r="N75" s="426"/>
      <c r="O75" s="421" t="str">
        <f ca="1">"TOTAL COSTS (A+B+C+D+E) - " &amp; OFFSET(O75,-26,0)</f>
        <v xml:space="preserve">TOTAL COSTS (A+B+C+D+E) - </v>
      </c>
      <c r="P75" s="422"/>
      <c r="Q75" s="422"/>
      <c r="R75" s="339"/>
      <c r="S75" s="340"/>
      <c r="T75" s="341">
        <f t="shared" ca="1" si="7"/>
        <v>0</v>
      </c>
      <c r="U75" s="342">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row>
    <row r="76" spans="1:23" ht="13.5" thickTop="1" thickBot="1"/>
    <row r="77" spans="1:23" ht="13.5" thickTop="1" thickBot="1">
      <c r="A77" s="21" t="str">
        <f ca="1">IF(ISNUMBER(OFFSET(A77,0,13)),"START",IF(AND(OFFSET(A77,0,2)=0,OFFSET(A77,0,4)="GT"),"END",""))&amp;OFFSET(A77,0,1)</f>
        <v>STARTWP003</v>
      </c>
      <c r="B77" s="21" t="str">
        <f ca="1">IF(ISNUMBER(OFFSET(B77,0,12)),"WP" &amp; TEXT(OFFSET(B77,0,12),"000"),OFFSET(B77,-1,0))</f>
        <v>WP003</v>
      </c>
      <c r="N77" s="62">
        <v>3</v>
      </c>
      <c r="O77" s="423" t="str">
        <f ca="1">""&amp;VLOOKUP(OFFSET(N77,1,0),'Work Packages List'!A:B,2,FALSE)</f>
        <v/>
      </c>
      <c r="P77" s="423"/>
      <c r="Q77" s="424"/>
      <c r="R77" s="310"/>
      <c r="S77" s="311"/>
      <c r="T77" s="312"/>
      <c r="U77" s="313"/>
    </row>
    <row r="78" spans="1:23">
      <c r="A78" s="21" t="str">
        <f t="shared" ref="A78:A109" ca="1" si="8">IF(ISNUMBER(OFFSET(A78,0,12)),"START",IF(AND(OFFSET(A78,0,2)=0,OFFSET(A78,0,4)="GT"),"END",""))&amp;OFFSET(A78,0,1)</f>
        <v>WP003</v>
      </c>
      <c r="B78" s="21" t="str">
        <f t="shared" ref="B78:B109" ca="1" si="9">IF(ISNUMBER(OFFSET(B78,0,11)),"WP" &amp; TEXT(OFFSET(B78,0,11),"000"),OFFSET(B78,-1,0))</f>
        <v>WP003</v>
      </c>
      <c r="C78" s="21">
        <v>4</v>
      </c>
      <c r="D78" s="21" t="s">
        <v>73</v>
      </c>
      <c r="H78" s="21" t="s">
        <v>74</v>
      </c>
      <c r="I78" s="21" t="s">
        <v>75</v>
      </c>
      <c r="M78" s="21" t="s">
        <v>46</v>
      </c>
      <c r="N78" s="425" t="str">
        <f ca="1">"WP " &amp; TEXT(OFFSET(N78,-1,0),"000")</f>
        <v>WP 003</v>
      </c>
      <c r="O78" s="398" t="s">
        <v>37</v>
      </c>
      <c r="P78" s="399"/>
      <c r="Q78" s="427"/>
      <c r="R78" s="314">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15"/>
      <c r="T78" s="316">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17">
        <f t="shared" ref="U78:U105" ca="1" si="10">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row>
    <row r="79" spans="1:23">
      <c r="A79" s="21" t="str">
        <f t="shared" ca="1" si="8"/>
        <v>WP003</v>
      </c>
      <c r="B79" s="21" t="str">
        <f t="shared" ca="1" si="9"/>
        <v>WP003</v>
      </c>
      <c r="C79" s="21">
        <v>6</v>
      </c>
      <c r="D79" s="21" t="s">
        <v>76</v>
      </c>
      <c r="J79" s="161" t="s">
        <v>75</v>
      </c>
      <c r="K79" s="21" t="s">
        <v>77</v>
      </c>
      <c r="M79" s="21" t="s">
        <v>46</v>
      </c>
      <c r="N79" s="425"/>
      <c r="O79" s="27"/>
      <c r="P79" s="396" t="s">
        <v>78</v>
      </c>
      <c r="Q79" s="428"/>
      <c r="R79" s="318">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19"/>
      <c r="T79" s="320">
        <f t="shared" ref="T79:T109" ca="1" si="11">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21">
        <f t="shared" ca="1" si="10"/>
        <v>0</v>
      </c>
      <c r="W79" s="23"/>
    </row>
    <row r="80" spans="1:23">
      <c r="A80" s="21" t="str">
        <f t="shared" ca="1" si="8"/>
        <v>WP003</v>
      </c>
      <c r="B80" s="21" t="str">
        <f t="shared" ca="1" si="9"/>
        <v>WP003</v>
      </c>
      <c r="C80" s="21">
        <v>7</v>
      </c>
      <c r="D80" s="21" t="s">
        <v>79</v>
      </c>
      <c r="L80" s="21" t="s">
        <v>77</v>
      </c>
      <c r="M80" s="21" t="s">
        <v>80</v>
      </c>
      <c r="N80" s="425"/>
      <c r="O80" s="28"/>
      <c r="P80" s="29"/>
      <c r="Q80" s="30" t="str">
        <f>EMP_TYPE1</f>
        <v>Type 1</v>
      </c>
      <c r="R80" s="322"/>
      <c r="S80" s="323"/>
      <c r="T80" s="324">
        <f t="shared" ca="1" si="11"/>
        <v>0</v>
      </c>
      <c r="U80" s="321">
        <f t="shared" ca="1" si="10"/>
        <v>0</v>
      </c>
      <c r="W80" s="23"/>
    </row>
    <row r="81" spans="1:23">
      <c r="A81" s="21" t="str">
        <f t="shared" ca="1" si="8"/>
        <v>WP003</v>
      </c>
      <c r="B81" s="21" t="str">
        <f t="shared" ca="1" si="9"/>
        <v>WP003</v>
      </c>
      <c r="C81" s="21">
        <v>7</v>
      </c>
      <c r="D81" s="21" t="s">
        <v>81</v>
      </c>
      <c r="L81" s="21" t="s">
        <v>77</v>
      </c>
      <c r="M81" s="21" t="s">
        <v>80</v>
      </c>
      <c r="N81" s="425"/>
      <c r="O81" s="28"/>
      <c r="P81" s="29"/>
      <c r="Q81" s="30" t="str">
        <f>EMP_TYPE2</f>
        <v>Type 2</v>
      </c>
      <c r="R81" s="322"/>
      <c r="S81" s="323"/>
      <c r="T81" s="324">
        <f t="shared" ca="1" si="11"/>
        <v>0</v>
      </c>
      <c r="U81" s="321">
        <f t="shared" ca="1" si="10"/>
        <v>0</v>
      </c>
      <c r="W81" s="23"/>
    </row>
    <row r="82" spans="1:23">
      <c r="A82" s="21" t="str">
        <f t="shared" ca="1" si="8"/>
        <v>WP003</v>
      </c>
      <c r="B82" s="21" t="str">
        <f t="shared" ca="1" si="9"/>
        <v>WP003</v>
      </c>
      <c r="C82" s="21">
        <v>7</v>
      </c>
      <c r="D82" s="21" t="s">
        <v>82</v>
      </c>
      <c r="L82" s="21" t="s">
        <v>77</v>
      </c>
      <c r="M82" s="21" t="s">
        <v>80</v>
      </c>
      <c r="N82" s="425"/>
      <c r="O82" s="28"/>
      <c r="P82" s="29"/>
      <c r="Q82" s="30" t="str">
        <f>EMP_TYPE3</f>
        <v>Type 3</v>
      </c>
      <c r="R82" s="322"/>
      <c r="S82" s="323"/>
      <c r="T82" s="324">
        <f t="shared" ca="1" si="11"/>
        <v>0</v>
      </c>
      <c r="U82" s="321">
        <f t="shared" ca="1" si="10"/>
        <v>0</v>
      </c>
      <c r="W82" s="23"/>
    </row>
    <row r="83" spans="1:23">
      <c r="A83" s="21" t="str">
        <f t="shared" ca="1" si="8"/>
        <v>WP003</v>
      </c>
      <c r="B83" s="21" t="str">
        <f t="shared" ca="1" si="9"/>
        <v>WP003</v>
      </c>
      <c r="C83" s="21">
        <v>7</v>
      </c>
      <c r="D83" s="21" t="s">
        <v>83</v>
      </c>
      <c r="L83" s="21" t="s">
        <v>77</v>
      </c>
      <c r="M83" s="21" t="s">
        <v>80</v>
      </c>
      <c r="N83" s="425"/>
      <c r="O83" s="28"/>
      <c r="P83" s="29"/>
      <c r="Q83" s="30" t="str">
        <f>EMP_TYPE4</f>
        <v>Type 4</v>
      </c>
      <c r="R83" s="322"/>
      <c r="S83" s="323"/>
      <c r="T83" s="324">
        <f t="shared" ca="1" si="11"/>
        <v>0</v>
      </c>
      <c r="U83" s="321">
        <f t="shared" ca="1" si="10"/>
        <v>0</v>
      </c>
      <c r="W83" s="23"/>
    </row>
    <row r="84" spans="1:23">
      <c r="A84" s="21" t="str">
        <f t="shared" ca="1" si="8"/>
        <v>WP003</v>
      </c>
      <c r="B84" s="21" t="str">
        <f t="shared" ca="1" si="9"/>
        <v>WP003</v>
      </c>
      <c r="C84" s="21">
        <v>7</v>
      </c>
      <c r="D84" s="21" t="s">
        <v>84</v>
      </c>
      <c r="L84" s="21" t="s">
        <v>77</v>
      </c>
      <c r="M84" s="21" t="s">
        <v>80</v>
      </c>
      <c r="N84" s="425"/>
      <c r="O84" s="28"/>
      <c r="P84" s="29"/>
      <c r="Q84" s="30" t="str">
        <f>EMP_OTHER</f>
        <v>Type 5</v>
      </c>
      <c r="R84" s="322"/>
      <c r="S84" s="323"/>
      <c r="T84" s="324">
        <f t="shared" ca="1" si="11"/>
        <v>0</v>
      </c>
      <c r="U84" s="321">
        <f t="shared" ca="1" si="10"/>
        <v>0</v>
      </c>
      <c r="W84" s="23"/>
    </row>
    <row r="85" spans="1:23">
      <c r="A85" s="21" t="str">
        <f t="shared" ca="1" si="8"/>
        <v>WP003</v>
      </c>
      <c r="B85" s="21" t="str">
        <f t="shared" ca="1" si="9"/>
        <v>WP003</v>
      </c>
      <c r="C85" s="21">
        <v>6</v>
      </c>
      <c r="D85" s="21" t="s">
        <v>85</v>
      </c>
      <c r="J85" s="161" t="s">
        <v>75</v>
      </c>
      <c r="M85" s="21" t="s">
        <v>80</v>
      </c>
      <c r="N85" s="425"/>
      <c r="O85" s="31"/>
      <c r="P85" s="418" t="s">
        <v>86</v>
      </c>
      <c r="Q85" s="429"/>
      <c r="R85" s="325"/>
      <c r="S85" s="326"/>
      <c r="T85" s="320">
        <f t="shared" ca="1" si="11"/>
        <v>0</v>
      </c>
      <c r="U85" s="321">
        <f t="shared" ca="1" si="10"/>
        <v>0</v>
      </c>
      <c r="W85" s="23"/>
    </row>
    <row r="86" spans="1:23">
      <c r="A86" s="21" t="str">
        <f t="shared" ca="1" si="8"/>
        <v>WP003</v>
      </c>
      <c r="B86" s="21" t="str">
        <f t="shared" ca="1" si="9"/>
        <v>WP003</v>
      </c>
      <c r="C86" s="21">
        <v>6</v>
      </c>
      <c r="D86" s="21" t="s">
        <v>87</v>
      </c>
      <c r="J86" s="161" t="s">
        <v>75</v>
      </c>
      <c r="M86" s="21" t="s">
        <v>80</v>
      </c>
      <c r="N86" s="425"/>
      <c r="O86" s="31"/>
      <c r="P86" s="418" t="s">
        <v>88</v>
      </c>
      <c r="Q86" s="429"/>
      <c r="R86" s="325"/>
      <c r="S86" s="326"/>
      <c r="T86" s="320">
        <f t="shared" ca="1" si="11"/>
        <v>0</v>
      </c>
      <c r="U86" s="321">
        <f t="shared" ca="1" si="10"/>
        <v>0</v>
      </c>
      <c r="W86" s="23"/>
    </row>
    <row r="87" spans="1:23">
      <c r="A87" s="21" t="str">
        <f t="shared" ca="1" si="8"/>
        <v>WP003</v>
      </c>
      <c r="B87" s="21" t="str">
        <f t="shared" ca="1" si="9"/>
        <v>WP003</v>
      </c>
      <c r="C87" s="21">
        <v>6</v>
      </c>
      <c r="D87" s="21" t="s">
        <v>89</v>
      </c>
      <c r="J87" s="161" t="s">
        <v>75</v>
      </c>
      <c r="M87" s="21" t="s">
        <v>80</v>
      </c>
      <c r="N87" s="425"/>
      <c r="O87" s="31"/>
      <c r="P87" s="418" t="s">
        <v>90</v>
      </c>
      <c r="Q87" s="429"/>
      <c r="R87" s="325"/>
      <c r="S87" s="326"/>
      <c r="T87" s="320">
        <f t="shared" ca="1" si="11"/>
        <v>0</v>
      </c>
      <c r="U87" s="321">
        <f t="shared" ca="1" si="10"/>
        <v>0</v>
      </c>
      <c r="W87" s="23"/>
    </row>
    <row r="88" spans="1:23">
      <c r="A88" s="21" t="str">
        <f t="shared" ca="1" si="8"/>
        <v>WP003</v>
      </c>
      <c r="B88" s="21" t="str">
        <f t="shared" ca="1" si="9"/>
        <v>WP003</v>
      </c>
      <c r="C88" s="21">
        <v>6</v>
      </c>
      <c r="D88" s="21" t="s">
        <v>91</v>
      </c>
      <c r="J88" s="161" t="s">
        <v>75</v>
      </c>
      <c r="M88" s="21" t="s">
        <v>80</v>
      </c>
      <c r="N88" s="425"/>
      <c r="O88" s="31"/>
      <c r="P88" s="418" t="s">
        <v>92</v>
      </c>
      <c r="Q88" s="429"/>
      <c r="R88" s="325"/>
      <c r="S88" s="326"/>
      <c r="T88" s="320">
        <f t="shared" ca="1" si="11"/>
        <v>0</v>
      </c>
      <c r="U88" s="321">
        <f t="shared" ca="1" si="10"/>
        <v>0</v>
      </c>
    </row>
    <row r="89" spans="1:23">
      <c r="A89" s="21" t="str">
        <f t="shared" ca="1" si="8"/>
        <v>WP003</v>
      </c>
      <c r="B89" s="21" t="str">
        <f t="shared" ca="1" si="9"/>
        <v>WP003</v>
      </c>
      <c r="C89" s="21">
        <v>4</v>
      </c>
      <c r="D89" s="21" t="s">
        <v>93</v>
      </c>
      <c r="H89" s="21" t="s">
        <v>74</v>
      </c>
      <c r="I89" s="21" t="s">
        <v>94</v>
      </c>
      <c r="M89" s="21" t="s">
        <v>80</v>
      </c>
      <c r="N89" s="425"/>
      <c r="O89" s="398" t="s">
        <v>65</v>
      </c>
      <c r="P89" s="399"/>
      <c r="Q89" s="399"/>
      <c r="R89" s="327"/>
      <c r="S89" s="328"/>
      <c r="T89" s="316">
        <f t="shared" ca="1" si="11"/>
        <v>0</v>
      </c>
      <c r="U89" s="317">
        <f t="shared" ca="1" si="10"/>
        <v>0</v>
      </c>
    </row>
    <row r="90" spans="1:23">
      <c r="A90" s="21" t="str">
        <f t="shared" ca="1" si="8"/>
        <v>WP003</v>
      </c>
      <c r="B90" s="21" t="str">
        <f t="shared" ca="1" si="9"/>
        <v>WP003</v>
      </c>
      <c r="C90" s="21">
        <v>4</v>
      </c>
      <c r="D90" s="21" t="s">
        <v>95</v>
      </c>
      <c r="H90" s="21" t="s">
        <v>74</v>
      </c>
      <c r="I90" s="21" t="s">
        <v>96</v>
      </c>
      <c r="M90" s="21" t="s">
        <v>46</v>
      </c>
      <c r="N90" s="425"/>
      <c r="O90" s="398" t="s">
        <v>97</v>
      </c>
      <c r="P90" s="399"/>
      <c r="Q90" s="399"/>
      <c r="R90" s="314"/>
      <c r="S90" s="315"/>
      <c r="T90" s="316">
        <f t="shared" ca="1" si="11"/>
        <v>0</v>
      </c>
      <c r="U90" s="317">
        <f t="shared" ca="1" si="10"/>
        <v>0</v>
      </c>
    </row>
    <row r="91" spans="1:23">
      <c r="A91" s="21" t="str">
        <f t="shared" ca="1" si="8"/>
        <v>WP003</v>
      </c>
      <c r="B91" s="21" t="str">
        <f t="shared" ca="1" si="9"/>
        <v>WP003</v>
      </c>
      <c r="C91" s="21">
        <v>6</v>
      </c>
      <c r="D91" s="21" t="s">
        <v>98</v>
      </c>
      <c r="J91" s="161" t="s">
        <v>96</v>
      </c>
      <c r="K91" s="21" t="s">
        <v>99</v>
      </c>
      <c r="M91" s="21" t="s">
        <v>46</v>
      </c>
      <c r="N91" s="425"/>
      <c r="O91" s="32"/>
      <c r="P91" s="429" t="s">
        <v>100</v>
      </c>
      <c r="Q91" s="429"/>
      <c r="R91" s="318"/>
      <c r="S91" s="319"/>
      <c r="T91" s="320">
        <f t="shared" ca="1" si="11"/>
        <v>0</v>
      </c>
      <c r="U91" s="321">
        <f t="shared" ca="1" si="10"/>
        <v>0</v>
      </c>
    </row>
    <row r="92" spans="1:23">
      <c r="A92" s="21" t="str">
        <f t="shared" ca="1" si="8"/>
        <v>WP003</v>
      </c>
      <c r="B92" s="21" t="str">
        <f t="shared" ca="1" si="9"/>
        <v>WP003</v>
      </c>
      <c r="C92" s="21">
        <v>7</v>
      </c>
      <c r="D92" s="21" t="s">
        <v>101</v>
      </c>
      <c r="L92" s="21" t="s">
        <v>99</v>
      </c>
      <c r="M92" s="21" t="s">
        <v>80</v>
      </c>
      <c r="N92" s="425"/>
      <c r="O92" s="33"/>
      <c r="P92" s="34"/>
      <c r="Q92" s="35" t="s">
        <v>102</v>
      </c>
      <c r="R92" s="322"/>
      <c r="S92" s="323"/>
      <c r="T92" s="324">
        <f t="shared" ca="1" si="11"/>
        <v>0</v>
      </c>
      <c r="U92" s="321">
        <f t="shared" ca="1" si="10"/>
        <v>0</v>
      </c>
    </row>
    <row r="93" spans="1:23">
      <c r="A93" s="21" t="str">
        <f t="shared" ca="1" si="8"/>
        <v>WP003</v>
      </c>
      <c r="B93" s="21" t="str">
        <f t="shared" ca="1" si="9"/>
        <v>WP003</v>
      </c>
      <c r="C93" s="21">
        <v>7</v>
      </c>
      <c r="D93" s="21" t="s">
        <v>103</v>
      </c>
      <c r="L93" s="21" t="s">
        <v>99</v>
      </c>
      <c r="M93" s="21" t="s">
        <v>80</v>
      </c>
      <c r="N93" s="425"/>
      <c r="O93" s="33"/>
      <c r="P93" s="34"/>
      <c r="Q93" s="35" t="s">
        <v>104</v>
      </c>
      <c r="R93" s="322"/>
      <c r="S93" s="323"/>
      <c r="T93" s="324">
        <f t="shared" ca="1" si="11"/>
        <v>0</v>
      </c>
      <c r="U93" s="321">
        <f t="shared" ca="1" si="10"/>
        <v>0</v>
      </c>
    </row>
    <row r="94" spans="1:23">
      <c r="A94" s="21" t="str">
        <f t="shared" ca="1" si="8"/>
        <v>WP003</v>
      </c>
      <c r="B94" s="21" t="str">
        <f t="shared" ca="1" si="9"/>
        <v>WP003</v>
      </c>
      <c r="C94" s="21">
        <v>7</v>
      </c>
      <c r="D94" s="21" t="s">
        <v>105</v>
      </c>
      <c r="L94" s="21" t="s">
        <v>99</v>
      </c>
      <c r="M94" s="21" t="s">
        <v>80</v>
      </c>
      <c r="N94" s="425"/>
      <c r="O94" s="33"/>
      <c r="P94" s="34"/>
      <c r="Q94" s="35" t="s">
        <v>106</v>
      </c>
      <c r="R94" s="322"/>
      <c r="S94" s="323"/>
      <c r="T94" s="324">
        <f t="shared" ca="1" si="11"/>
        <v>0</v>
      </c>
      <c r="U94" s="321">
        <f t="shared" ca="1" si="10"/>
        <v>0</v>
      </c>
    </row>
    <row r="95" spans="1:23">
      <c r="A95" s="21" t="str">
        <f t="shared" ca="1" si="8"/>
        <v>WP003</v>
      </c>
      <c r="B95" s="21" t="str">
        <f t="shared" ca="1" si="9"/>
        <v>WP003</v>
      </c>
      <c r="C95" s="21">
        <v>5</v>
      </c>
      <c r="D95" s="21" t="s">
        <v>107</v>
      </c>
      <c r="J95" s="161" t="s">
        <v>96</v>
      </c>
      <c r="M95" s="21" t="s">
        <v>80</v>
      </c>
      <c r="N95" s="425"/>
      <c r="O95" s="36"/>
      <c r="P95" s="429" t="s">
        <v>108</v>
      </c>
      <c r="Q95" s="429"/>
      <c r="R95" s="325"/>
      <c r="S95" s="326"/>
      <c r="T95" s="320">
        <f t="shared" ca="1" si="11"/>
        <v>0</v>
      </c>
      <c r="U95" s="321">
        <f t="shared" ca="1" si="10"/>
        <v>0</v>
      </c>
    </row>
    <row r="96" spans="1:23">
      <c r="A96" s="21" t="str">
        <f t="shared" ca="1" si="8"/>
        <v>WP003</v>
      </c>
      <c r="B96" s="21" t="str">
        <f t="shared" ca="1" si="9"/>
        <v>WP003</v>
      </c>
      <c r="C96" s="21">
        <v>6</v>
      </c>
      <c r="D96" s="21" t="s">
        <v>109</v>
      </c>
      <c r="J96" s="161" t="s">
        <v>96</v>
      </c>
      <c r="K96" s="21" t="s">
        <v>110</v>
      </c>
      <c r="M96" s="21" t="s">
        <v>46</v>
      </c>
      <c r="N96" s="425"/>
      <c r="O96" s="36"/>
      <c r="P96" s="429" t="s">
        <v>111</v>
      </c>
      <c r="Q96" s="429"/>
      <c r="R96" s="329"/>
      <c r="S96" s="319"/>
      <c r="T96" s="320">
        <f t="shared" ca="1" si="11"/>
        <v>0</v>
      </c>
      <c r="U96" s="321">
        <f t="shared" ca="1" si="10"/>
        <v>0</v>
      </c>
    </row>
    <row r="97" spans="1:21">
      <c r="A97" s="21" t="str">
        <f t="shared" ca="1" si="8"/>
        <v>WP003</v>
      </c>
      <c r="B97" s="21" t="str">
        <f t="shared" ca="1" si="9"/>
        <v>WP003</v>
      </c>
      <c r="C97" s="21">
        <v>7</v>
      </c>
      <c r="D97" s="21" t="s">
        <v>112</v>
      </c>
      <c r="L97" s="21" t="s">
        <v>110</v>
      </c>
      <c r="M97" s="21" t="s">
        <v>80</v>
      </c>
      <c r="N97" s="425"/>
      <c r="O97" s="36"/>
      <c r="P97" s="388"/>
      <c r="Q97" s="35" t="s">
        <v>113</v>
      </c>
      <c r="R97" s="322"/>
      <c r="S97" s="323"/>
      <c r="T97" s="324">
        <f t="shared" ca="1" si="11"/>
        <v>0</v>
      </c>
      <c r="U97" s="321">
        <f t="shared" ca="1" si="10"/>
        <v>0</v>
      </c>
    </row>
    <row r="98" spans="1:21">
      <c r="A98" s="21" t="str">
        <f t="shared" ca="1" si="8"/>
        <v>WP003</v>
      </c>
      <c r="B98" s="21" t="str">
        <f t="shared" ca="1" si="9"/>
        <v>WP003</v>
      </c>
      <c r="C98" s="21">
        <v>7</v>
      </c>
      <c r="D98" s="21" t="s">
        <v>114</v>
      </c>
      <c r="L98" s="21" t="s">
        <v>110</v>
      </c>
      <c r="M98" s="21" t="s">
        <v>80</v>
      </c>
      <c r="N98" s="425"/>
      <c r="O98" s="36"/>
      <c r="P98" s="388"/>
      <c r="Q98" s="35" t="s">
        <v>115</v>
      </c>
      <c r="R98" s="322"/>
      <c r="S98" s="323"/>
      <c r="T98" s="324">
        <f t="shared" ca="1" si="11"/>
        <v>0</v>
      </c>
      <c r="U98" s="321">
        <f t="shared" ca="1" si="10"/>
        <v>0</v>
      </c>
    </row>
    <row r="99" spans="1:21">
      <c r="A99" s="21" t="str">
        <f t="shared" ca="1" si="8"/>
        <v>WP003</v>
      </c>
      <c r="B99" s="21" t="str">
        <f t="shared" ca="1" si="9"/>
        <v>WP003</v>
      </c>
      <c r="C99" s="21">
        <v>7</v>
      </c>
      <c r="D99" s="21" t="s">
        <v>116</v>
      </c>
      <c r="L99" s="21" t="s">
        <v>110</v>
      </c>
      <c r="M99" s="21" t="s">
        <v>80</v>
      </c>
      <c r="N99" s="425"/>
      <c r="O99" s="36"/>
      <c r="P99" s="388"/>
      <c r="Q99" s="35" t="s">
        <v>117</v>
      </c>
      <c r="R99" s="322"/>
      <c r="S99" s="323"/>
      <c r="T99" s="324">
        <f t="shared" ca="1" si="11"/>
        <v>0</v>
      </c>
      <c r="U99" s="321">
        <f t="shared" ca="1" si="10"/>
        <v>0</v>
      </c>
    </row>
    <row r="100" spans="1:21">
      <c r="A100" s="21" t="str">
        <f t="shared" ca="1" si="8"/>
        <v>WP003</v>
      </c>
      <c r="B100" s="21" t="str">
        <f t="shared" ca="1" si="9"/>
        <v>WP003</v>
      </c>
      <c r="C100" s="21">
        <v>7</v>
      </c>
      <c r="D100" s="21" t="s">
        <v>118</v>
      </c>
      <c r="L100" s="21" t="s">
        <v>110</v>
      </c>
      <c r="M100" s="21" t="s">
        <v>80</v>
      </c>
      <c r="N100" s="425"/>
      <c r="O100" s="36"/>
      <c r="P100" s="388"/>
      <c r="Q100" s="35" t="s">
        <v>119</v>
      </c>
      <c r="R100" s="322"/>
      <c r="S100" s="323"/>
      <c r="T100" s="324">
        <f t="shared" ca="1" si="11"/>
        <v>0</v>
      </c>
      <c r="U100" s="321">
        <f t="shared" ca="1" si="10"/>
        <v>0</v>
      </c>
    </row>
    <row r="101" spans="1:21">
      <c r="A101" s="21" t="str">
        <f t="shared" ca="1" si="8"/>
        <v>WP003</v>
      </c>
      <c r="B101" s="21" t="str">
        <f t="shared" ca="1" si="9"/>
        <v>WP003</v>
      </c>
      <c r="C101" s="21">
        <v>7</v>
      </c>
      <c r="D101" s="21" t="s">
        <v>120</v>
      </c>
      <c r="L101" s="21" t="s">
        <v>110</v>
      </c>
      <c r="M101" s="21" t="s">
        <v>80</v>
      </c>
      <c r="N101" s="425"/>
      <c r="O101" s="36"/>
      <c r="P101" s="388"/>
      <c r="Q101" s="35" t="s">
        <v>121</v>
      </c>
      <c r="R101" s="322"/>
      <c r="S101" s="323"/>
      <c r="T101" s="324">
        <f t="shared" ca="1" si="11"/>
        <v>0</v>
      </c>
      <c r="U101" s="321">
        <f t="shared" ca="1" si="10"/>
        <v>0</v>
      </c>
    </row>
    <row r="102" spans="1:21">
      <c r="A102" s="21" t="str">
        <f t="shared" ca="1" si="8"/>
        <v>WP003</v>
      </c>
      <c r="B102" s="21" t="str">
        <f t="shared" ca="1" si="9"/>
        <v>WP003</v>
      </c>
      <c r="C102" s="21">
        <v>7</v>
      </c>
      <c r="D102" s="21" t="s">
        <v>122</v>
      </c>
      <c r="L102" s="21" t="s">
        <v>110</v>
      </c>
      <c r="M102" s="21" t="s">
        <v>80</v>
      </c>
      <c r="N102" s="425"/>
      <c r="O102" s="37"/>
      <c r="P102" s="388"/>
      <c r="Q102" s="35" t="s">
        <v>123</v>
      </c>
      <c r="R102" s="322"/>
      <c r="S102" s="323"/>
      <c r="T102" s="324">
        <f t="shared" ca="1" si="11"/>
        <v>0</v>
      </c>
      <c r="U102" s="321">
        <f t="shared" ca="1" si="10"/>
        <v>0</v>
      </c>
    </row>
    <row r="103" spans="1:21">
      <c r="A103" s="21" t="str">
        <f t="shared" ca="1" si="8"/>
        <v>WP003</v>
      </c>
      <c r="B103" s="21" t="str">
        <f t="shared" ca="1" si="9"/>
        <v>WP003</v>
      </c>
      <c r="C103" s="21">
        <v>4</v>
      </c>
      <c r="D103" s="21" t="s">
        <v>124</v>
      </c>
      <c r="H103" s="21" t="s">
        <v>74</v>
      </c>
      <c r="I103" s="21" t="s">
        <v>125</v>
      </c>
      <c r="M103" s="21" t="s">
        <v>46</v>
      </c>
      <c r="N103" s="425"/>
      <c r="O103" s="398" t="s">
        <v>126</v>
      </c>
      <c r="P103" s="399"/>
      <c r="Q103" s="399"/>
      <c r="R103" s="314"/>
      <c r="S103" s="315"/>
      <c r="T103" s="316">
        <f t="shared" ca="1" si="11"/>
        <v>0</v>
      </c>
      <c r="U103" s="317">
        <f t="shared" ca="1" si="10"/>
        <v>0</v>
      </c>
    </row>
    <row r="104" spans="1:21">
      <c r="A104" s="21" t="str">
        <f t="shared" ca="1" si="8"/>
        <v>WP003</v>
      </c>
      <c r="B104" s="21" t="str">
        <f t="shared" ca="1" si="9"/>
        <v>WP003</v>
      </c>
      <c r="C104" s="21">
        <v>5</v>
      </c>
      <c r="D104" s="21" t="s">
        <v>127</v>
      </c>
      <c r="J104" s="161" t="s">
        <v>125</v>
      </c>
      <c r="M104" s="21" t="s">
        <v>80</v>
      </c>
      <c r="N104" s="425"/>
      <c r="O104" s="38"/>
      <c r="P104" s="417" t="s">
        <v>128</v>
      </c>
      <c r="Q104" s="418"/>
      <c r="R104" s="322"/>
      <c r="S104" s="323"/>
      <c r="T104" s="324">
        <f t="shared" ca="1" si="11"/>
        <v>0</v>
      </c>
      <c r="U104" s="321">
        <f t="shared" ca="1" si="10"/>
        <v>0</v>
      </c>
    </row>
    <row r="105" spans="1:21">
      <c r="A105" s="21" t="str">
        <f t="shared" ca="1" si="8"/>
        <v>WP003</v>
      </c>
      <c r="B105" s="21" t="str">
        <f t="shared" ca="1" si="9"/>
        <v>WP003</v>
      </c>
      <c r="C105" s="21">
        <v>2</v>
      </c>
      <c r="D105" s="21" t="s">
        <v>129</v>
      </c>
      <c r="F105" s="21" t="s">
        <v>130</v>
      </c>
      <c r="G105" s="21" t="s">
        <v>74</v>
      </c>
      <c r="M105" s="21" t="s">
        <v>46</v>
      </c>
      <c r="N105" s="425"/>
      <c r="O105" s="419" t="s">
        <v>131</v>
      </c>
      <c r="P105" s="420"/>
      <c r="Q105" s="420"/>
      <c r="R105" s="330"/>
      <c r="S105" s="331"/>
      <c r="T105" s="332">
        <f t="shared" ca="1" si="11"/>
        <v>0</v>
      </c>
      <c r="U105" s="333">
        <f t="shared" ca="1" si="10"/>
        <v>0</v>
      </c>
    </row>
    <row r="106" spans="1:21">
      <c r="A106" s="21" t="str">
        <f t="shared" ca="1" si="8"/>
        <v>WP003</v>
      </c>
      <c r="B106" s="21" t="str">
        <f t="shared" ca="1" si="9"/>
        <v>WP003</v>
      </c>
      <c r="C106" s="21">
        <v>1</v>
      </c>
      <c r="N106" s="425"/>
      <c r="O106" s="39"/>
      <c r="P106" s="30"/>
      <c r="Q106" s="30"/>
      <c r="R106" s="334"/>
      <c r="S106" s="335"/>
      <c r="T106" s="324"/>
      <c r="U106" s="321"/>
    </row>
    <row r="107" spans="1:21">
      <c r="A107" s="21" t="str">
        <f t="shared" ca="1" si="8"/>
        <v>WP003</v>
      </c>
      <c r="B107" s="21" t="str">
        <f t="shared" ca="1" si="9"/>
        <v>WP003</v>
      </c>
      <c r="C107" s="21">
        <v>2</v>
      </c>
      <c r="D107" s="21" t="s">
        <v>132</v>
      </c>
      <c r="F107" s="21" t="s">
        <v>130</v>
      </c>
      <c r="M107" s="21" t="s">
        <v>133</v>
      </c>
      <c r="N107" s="425"/>
      <c r="O107" s="398" t="s">
        <v>134</v>
      </c>
      <c r="P107" s="399"/>
      <c r="Q107" s="399"/>
      <c r="R107" s="336"/>
      <c r="S107" s="337"/>
      <c r="T107" s="338">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17">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row>
    <row r="108" spans="1:21">
      <c r="A108" s="21" t="str">
        <f t="shared" ca="1" si="8"/>
        <v>WP003</v>
      </c>
      <c r="B108" s="21" t="str">
        <f t="shared" ca="1" si="9"/>
        <v>WP003</v>
      </c>
      <c r="C108" s="21">
        <v>1</v>
      </c>
      <c r="N108" s="425"/>
      <c r="O108" s="40"/>
      <c r="P108" s="388"/>
      <c r="Q108" s="388"/>
      <c r="R108" s="334"/>
      <c r="S108" s="335"/>
      <c r="T108" s="324"/>
      <c r="U108" s="321"/>
    </row>
    <row r="109" spans="1:21" ht="12.75" thickBot="1">
      <c r="A109" s="21" t="str">
        <f t="shared" ca="1" si="8"/>
        <v>ENDWP003</v>
      </c>
      <c r="B109" s="21" t="str">
        <f t="shared" ca="1" si="9"/>
        <v>WP003</v>
      </c>
      <c r="C109" s="21">
        <v>0</v>
      </c>
      <c r="D109" s="21" t="s">
        <v>135</v>
      </c>
      <c r="E109" s="21" t="s">
        <v>130</v>
      </c>
      <c r="M109" s="21" t="s">
        <v>46</v>
      </c>
      <c r="N109" s="426"/>
      <c r="O109" s="421" t="str">
        <f ca="1">"TOTAL COSTS (A+B+C+D+E) - " &amp; OFFSET(O109,-26,0)</f>
        <v xml:space="preserve">TOTAL COSTS (A+B+C+D+E) - </v>
      </c>
      <c r="P109" s="422"/>
      <c r="Q109" s="422"/>
      <c r="R109" s="339"/>
      <c r="S109" s="340"/>
      <c r="T109" s="341">
        <f t="shared" ca="1" si="11"/>
        <v>0</v>
      </c>
      <c r="U109" s="342">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row>
    <row r="110" spans="1:21" ht="13.5" thickTop="1" thickBot="1"/>
    <row r="111" spans="1:21" ht="13.5" thickTop="1" thickBot="1">
      <c r="A111" s="21" t="str">
        <f ca="1">IF(ISNUMBER(OFFSET(A111,0,13)),"START",IF(AND(OFFSET(A111,0,2)=0,OFFSET(A111,0,4)="GT"),"END",""))&amp;OFFSET(A111,0,1)</f>
        <v>STARTWP004</v>
      </c>
      <c r="B111" s="21" t="str">
        <f ca="1">IF(ISNUMBER(OFFSET(B111,0,12)),"WP" &amp; TEXT(OFFSET(B111,0,12),"000"),OFFSET(B111,-1,0))</f>
        <v>WP004</v>
      </c>
      <c r="N111" s="62">
        <v>4</v>
      </c>
      <c r="O111" s="423" t="str">
        <f ca="1">""&amp;VLOOKUP(OFFSET(N111,1,0),'Work Packages List'!A:B,2,FALSE)</f>
        <v/>
      </c>
      <c r="P111" s="423"/>
      <c r="Q111" s="424"/>
      <c r="R111" s="310"/>
      <c r="S111" s="311"/>
      <c r="T111" s="312"/>
      <c r="U111" s="313"/>
    </row>
    <row r="112" spans="1:21">
      <c r="A112" s="21" t="str">
        <f t="shared" ref="A112:A143" ca="1" si="12">IF(ISNUMBER(OFFSET(A112,0,12)),"START",IF(AND(OFFSET(A112,0,2)=0,OFFSET(A112,0,4)="GT"),"END",""))&amp;OFFSET(A112,0,1)</f>
        <v>WP004</v>
      </c>
      <c r="B112" s="21" t="str">
        <f t="shared" ref="B112:B143" ca="1" si="13">IF(ISNUMBER(OFFSET(B112,0,11)),"WP" &amp; TEXT(OFFSET(B112,0,11),"000"),OFFSET(B112,-1,0))</f>
        <v>WP004</v>
      </c>
      <c r="C112" s="21">
        <v>4</v>
      </c>
      <c r="D112" s="21" t="s">
        <v>73</v>
      </c>
      <c r="H112" s="21" t="s">
        <v>74</v>
      </c>
      <c r="I112" s="21" t="s">
        <v>75</v>
      </c>
      <c r="M112" s="21" t="s">
        <v>46</v>
      </c>
      <c r="N112" s="425" t="str">
        <f ca="1">"WP " &amp; TEXT(OFFSET(N112,-1,0),"000")</f>
        <v>WP 004</v>
      </c>
      <c r="O112" s="398" t="s">
        <v>37</v>
      </c>
      <c r="P112" s="399"/>
      <c r="Q112" s="427"/>
      <c r="R112" s="314">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15"/>
      <c r="T112" s="316">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17">
        <f t="shared" ref="U112:U139" ca="1" si="14">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row>
    <row r="113" spans="1:23">
      <c r="A113" s="21" t="str">
        <f t="shared" ca="1" si="12"/>
        <v>WP004</v>
      </c>
      <c r="B113" s="21" t="str">
        <f t="shared" ca="1" si="13"/>
        <v>WP004</v>
      </c>
      <c r="C113" s="21">
        <v>6</v>
      </c>
      <c r="D113" s="21" t="s">
        <v>76</v>
      </c>
      <c r="J113" s="161" t="s">
        <v>75</v>
      </c>
      <c r="K113" s="21" t="s">
        <v>77</v>
      </c>
      <c r="M113" s="21" t="s">
        <v>46</v>
      </c>
      <c r="N113" s="425"/>
      <c r="O113" s="27"/>
      <c r="P113" s="396" t="s">
        <v>78</v>
      </c>
      <c r="Q113" s="428"/>
      <c r="R113" s="318">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19"/>
      <c r="T113" s="320">
        <f t="shared" ref="T113:T143" ca="1" si="15">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21">
        <f t="shared" ca="1" si="14"/>
        <v>0</v>
      </c>
      <c r="W113" s="23"/>
    </row>
    <row r="114" spans="1:23">
      <c r="A114" s="21" t="str">
        <f t="shared" ca="1" si="12"/>
        <v>WP004</v>
      </c>
      <c r="B114" s="21" t="str">
        <f t="shared" ca="1" si="13"/>
        <v>WP004</v>
      </c>
      <c r="C114" s="21">
        <v>7</v>
      </c>
      <c r="D114" s="21" t="s">
        <v>79</v>
      </c>
      <c r="L114" s="21" t="s">
        <v>77</v>
      </c>
      <c r="M114" s="21" t="s">
        <v>80</v>
      </c>
      <c r="N114" s="425"/>
      <c r="O114" s="28"/>
      <c r="P114" s="29"/>
      <c r="Q114" s="30" t="str">
        <f>EMP_TYPE1</f>
        <v>Type 1</v>
      </c>
      <c r="R114" s="322"/>
      <c r="S114" s="323"/>
      <c r="T114" s="324">
        <f t="shared" ca="1" si="15"/>
        <v>0</v>
      </c>
      <c r="U114" s="321">
        <f t="shared" ca="1" si="14"/>
        <v>0</v>
      </c>
      <c r="W114" s="23"/>
    </row>
    <row r="115" spans="1:23">
      <c r="A115" s="21" t="str">
        <f t="shared" ca="1" si="12"/>
        <v>WP004</v>
      </c>
      <c r="B115" s="21" t="str">
        <f t="shared" ca="1" si="13"/>
        <v>WP004</v>
      </c>
      <c r="C115" s="21">
        <v>7</v>
      </c>
      <c r="D115" s="21" t="s">
        <v>81</v>
      </c>
      <c r="L115" s="21" t="s">
        <v>77</v>
      </c>
      <c r="M115" s="21" t="s">
        <v>80</v>
      </c>
      <c r="N115" s="425"/>
      <c r="O115" s="28"/>
      <c r="P115" s="29"/>
      <c r="Q115" s="30" t="str">
        <f>EMP_TYPE2</f>
        <v>Type 2</v>
      </c>
      <c r="R115" s="322"/>
      <c r="S115" s="323"/>
      <c r="T115" s="324">
        <f t="shared" ca="1" si="15"/>
        <v>0</v>
      </c>
      <c r="U115" s="321">
        <f t="shared" ca="1" si="14"/>
        <v>0</v>
      </c>
      <c r="W115" s="23"/>
    </row>
    <row r="116" spans="1:23">
      <c r="A116" s="21" t="str">
        <f t="shared" ca="1" si="12"/>
        <v>WP004</v>
      </c>
      <c r="B116" s="21" t="str">
        <f t="shared" ca="1" si="13"/>
        <v>WP004</v>
      </c>
      <c r="C116" s="21">
        <v>7</v>
      </c>
      <c r="D116" s="21" t="s">
        <v>82</v>
      </c>
      <c r="L116" s="21" t="s">
        <v>77</v>
      </c>
      <c r="M116" s="21" t="s">
        <v>80</v>
      </c>
      <c r="N116" s="425"/>
      <c r="O116" s="28"/>
      <c r="P116" s="29"/>
      <c r="Q116" s="30" t="str">
        <f>EMP_TYPE3</f>
        <v>Type 3</v>
      </c>
      <c r="R116" s="322"/>
      <c r="S116" s="323"/>
      <c r="T116" s="324">
        <f t="shared" ca="1" si="15"/>
        <v>0</v>
      </c>
      <c r="U116" s="321">
        <f t="shared" ca="1" si="14"/>
        <v>0</v>
      </c>
      <c r="W116" s="23"/>
    </row>
    <row r="117" spans="1:23">
      <c r="A117" s="21" t="str">
        <f t="shared" ca="1" si="12"/>
        <v>WP004</v>
      </c>
      <c r="B117" s="21" t="str">
        <f t="shared" ca="1" si="13"/>
        <v>WP004</v>
      </c>
      <c r="C117" s="21">
        <v>7</v>
      </c>
      <c r="D117" s="21" t="s">
        <v>83</v>
      </c>
      <c r="L117" s="21" t="s">
        <v>77</v>
      </c>
      <c r="M117" s="21" t="s">
        <v>80</v>
      </c>
      <c r="N117" s="425"/>
      <c r="O117" s="28"/>
      <c r="P117" s="29"/>
      <c r="Q117" s="30" t="str">
        <f>EMP_TYPE4</f>
        <v>Type 4</v>
      </c>
      <c r="R117" s="322"/>
      <c r="S117" s="323"/>
      <c r="T117" s="324">
        <f t="shared" ca="1" si="15"/>
        <v>0</v>
      </c>
      <c r="U117" s="321">
        <f t="shared" ca="1" si="14"/>
        <v>0</v>
      </c>
      <c r="W117" s="23"/>
    </row>
    <row r="118" spans="1:23">
      <c r="A118" s="21" t="str">
        <f t="shared" ca="1" si="12"/>
        <v>WP004</v>
      </c>
      <c r="B118" s="21" t="str">
        <f t="shared" ca="1" si="13"/>
        <v>WP004</v>
      </c>
      <c r="C118" s="21">
        <v>7</v>
      </c>
      <c r="D118" s="21" t="s">
        <v>84</v>
      </c>
      <c r="L118" s="21" t="s">
        <v>77</v>
      </c>
      <c r="M118" s="21" t="s">
        <v>80</v>
      </c>
      <c r="N118" s="425"/>
      <c r="O118" s="28"/>
      <c r="P118" s="29"/>
      <c r="Q118" s="30" t="str">
        <f>EMP_OTHER</f>
        <v>Type 5</v>
      </c>
      <c r="R118" s="322"/>
      <c r="S118" s="323"/>
      <c r="T118" s="324">
        <f t="shared" ca="1" si="15"/>
        <v>0</v>
      </c>
      <c r="U118" s="321">
        <f t="shared" ca="1" si="14"/>
        <v>0</v>
      </c>
      <c r="W118" s="23"/>
    </row>
    <row r="119" spans="1:23">
      <c r="A119" s="21" t="str">
        <f t="shared" ca="1" si="12"/>
        <v>WP004</v>
      </c>
      <c r="B119" s="21" t="str">
        <f t="shared" ca="1" si="13"/>
        <v>WP004</v>
      </c>
      <c r="C119" s="21">
        <v>6</v>
      </c>
      <c r="D119" s="21" t="s">
        <v>85</v>
      </c>
      <c r="J119" s="161" t="s">
        <v>75</v>
      </c>
      <c r="M119" s="21" t="s">
        <v>80</v>
      </c>
      <c r="N119" s="425"/>
      <c r="O119" s="31"/>
      <c r="P119" s="418" t="s">
        <v>86</v>
      </c>
      <c r="Q119" s="429"/>
      <c r="R119" s="325"/>
      <c r="S119" s="326"/>
      <c r="T119" s="320">
        <f t="shared" ca="1" si="15"/>
        <v>0</v>
      </c>
      <c r="U119" s="321">
        <f t="shared" ca="1" si="14"/>
        <v>0</v>
      </c>
      <c r="W119" s="23"/>
    </row>
    <row r="120" spans="1:23">
      <c r="A120" s="21" t="str">
        <f t="shared" ca="1" si="12"/>
        <v>WP004</v>
      </c>
      <c r="B120" s="21" t="str">
        <f t="shared" ca="1" si="13"/>
        <v>WP004</v>
      </c>
      <c r="C120" s="21">
        <v>6</v>
      </c>
      <c r="D120" s="21" t="s">
        <v>87</v>
      </c>
      <c r="J120" s="161" t="s">
        <v>75</v>
      </c>
      <c r="M120" s="21" t="s">
        <v>80</v>
      </c>
      <c r="N120" s="425"/>
      <c r="O120" s="31"/>
      <c r="P120" s="418" t="s">
        <v>88</v>
      </c>
      <c r="Q120" s="429"/>
      <c r="R120" s="325"/>
      <c r="S120" s="326"/>
      <c r="T120" s="320">
        <f t="shared" ca="1" si="15"/>
        <v>0</v>
      </c>
      <c r="U120" s="321">
        <f t="shared" ca="1" si="14"/>
        <v>0</v>
      </c>
      <c r="W120" s="23"/>
    </row>
    <row r="121" spans="1:23">
      <c r="A121" s="21" t="str">
        <f t="shared" ca="1" si="12"/>
        <v>WP004</v>
      </c>
      <c r="B121" s="21" t="str">
        <f t="shared" ca="1" si="13"/>
        <v>WP004</v>
      </c>
      <c r="C121" s="21">
        <v>6</v>
      </c>
      <c r="D121" s="21" t="s">
        <v>89</v>
      </c>
      <c r="J121" s="161" t="s">
        <v>75</v>
      </c>
      <c r="M121" s="21" t="s">
        <v>80</v>
      </c>
      <c r="N121" s="425"/>
      <c r="O121" s="31"/>
      <c r="P121" s="418" t="s">
        <v>90</v>
      </c>
      <c r="Q121" s="429"/>
      <c r="R121" s="325"/>
      <c r="S121" s="326"/>
      <c r="T121" s="320">
        <f t="shared" ca="1" si="15"/>
        <v>0</v>
      </c>
      <c r="U121" s="321">
        <f t="shared" ca="1" si="14"/>
        <v>0</v>
      </c>
      <c r="W121" s="23"/>
    </row>
    <row r="122" spans="1:23">
      <c r="A122" s="21" t="str">
        <f t="shared" ca="1" si="12"/>
        <v>WP004</v>
      </c>
      <c r="B122" s="21" t="str">
        <f t="shared" ca="1" si="13"/>
        <v>WP004</v>
      </c>
      <c r="C122" s="21">
        <v>6</v>
      </c>
      <c r="D122" s="21" t="s">
        <v>91</v>
      </c>
      <c r="J122" s="161" t="s">
        <v>75</v>
      </c>
      <c r="M122" s="21" t="s">
        <v>80</v>
      </c>
      <c r="N122" s="425"/>
      <c r="O122" s="31"/>
      <c r="P122" s="418" t="s">
        <v>92</v>
      </c>
      <c r="Q122" s="429"/>
      <c r="R122" s="325"/>
      <c r="S122" s="326"/>
      <c r="T122" s="320">
        <f t="shared" ca="1" si="15"/>
        <v>0</v>
      </c>
      <c r="U122" s="321">
        <f t="shared" ca="1" si="14"/>
        <v>0</v>
      </c>
    </row>
    <row r="123" spans="1:23">
      <c r="A123" s="21" t="str">
        <f t="shared" ca="1" si="12"/>
        <v>WP004</v>
      </c>
      <c r="B123" s="21" t="str">
        <f t="shared" ca="1" si="13"/>
        <v>WP004</v>
      </c>
      <c r="C123" s="21">
        <v>4</v>
      </c>
      <c r="D123" s="21" t="s">
        <v>93</v>
      </c>
      <c r="H123" s="21" t="s">
        <v>74</v>
      </c>
      <c r="I123" s="21" t="s">
        <v>94</v>
      </c>
      <c r="M123" s="21" t="s">
        <v>80</v>
      </c>
      <c r="N123" s="425"/>
      <c r="O123" s="398" t="s">
        <v>65</v>
      </c>
      <c r="P123" s="399"/>
      <c r="Q123" s="399"/>
      <c r="R123" s="327"/>
      <c r="S123" s="328"/>
      <c r="T123" s="316">
        <f t="shared" ca="1" si="15"/>
        <v>0</v>
      </c>
      <c r="U123" s="317">
        <f t="shared" ca="1" si="14"/>
        <v>0</v>
      </c>
    </row>
    <row r="124" spans="1:23">
      <c r="A124" s="21" t="str">
        <f t="shared" ca="1" si="12"/>
        <v>WP004</v>
      </c>
      <c r="B124" s="21" t="str">
        <f t="shared" ca="1" si="13"/>
        <v>WP004</v>
      </c>
      <c r="C124" s="21">
        <v>4</v>
      </c>
      <c r="D124" s="21" t="s">
        <v>95</v>
      </c>
      <c r="H124" s="21" t="s">
        <v>74</v>
      </c>
      <c r="I124" s="21" t="s">
        <v>96</v>
      </c>
      <c r="M124" s="21" t="s">
        <v>46</v>
      </c>
      <c r="N124" s="425"/>
      <c r="O124" s="398" t="s">
        <v>97</v>
      </c>
      <c r="P124" s="399"/>
      <c r="Q124" s="399"/>
      <c r="R124" s="314"/>
      <c r="S124" s="315"/>
      <c r="T124" s="316">
        <f t="shared" ca="1" si="15"/>
        <v>0</v>
      </c>
      <c r="U124" s="317">
        <f t="shared" ca="1" si="14"/>
        <v>0</v>
      </c>
    </row>
    <row r="125" spans="1:23">
      <c r="A125" s="21" t="str">
        <f t="shared" ca="1" si="12"/>
        <v>WP004</v>
      </c>
      <c r="B125" s="21" t="str">
        <f t="shared" ca="1" si="13"/>
        <v>WP004</v>
      </c>
      <c r="C125" s="21">
        <v>6</v>
      </c>
      <c r="D125" s="21" t="s">
        <v>98</v>
      </c>
      <c r="J125" s="161" t="s">
        <v>96</v>
      </c>
      <c r="K125" s="21" t="s">
        <v>99</v>
      </c>
      <c r="M125" s="21" t="s">
        <v>46</v>
      </c>
      <c r="N125" s="425"/>
      <c r="O125" s="32"/>
      <c r="P125" s="429" t="s">
        <v>100</v>
      </c>
      <c r="Q125" s="429"/>
      <c r="R125" s="318"/>
      <c r="S125" s="319"/>
      <c r="T125" s="320">
        <f t="shared" ca="1" si="15"/>
        <v>0</v>
      </c>
      <c r="U125" s="321">
        <f t="shared" ca="1" si="14"/>
        <v>0</v>
      </c>
    </row>
    <row r="126" spans="1:23">
      <c r="A126" s="21" t="str">
        <f t="shared" ca="1" si="12"/>
        <v>WP004</v>
      </c>
      <c r="B126" s="21" t="str">
        <f t="shared" ca="1" si="13"/>
        <v>WP004</v>
      </c>
      <c r="C126" s="21">
        <v>7</v>
      </c>
      <c r="D126" s="21" t="s">
        <v>101</v>
      </c>
      <c r="L126" s="21" t="s">
        <v>99</v>
      </c>
      <c r="M126" s="21" t="s">
        <v>80</v>
      </c>
      <c r="N126" s="425"/>
      <c r="O126" s="33"/>
      <c r="P126" s="34"/>
      <c r="Q126" s="35" t="s">
        <v>102</v>
      </c>
      <c r="R126" s="322"/>
      <c r="S126" s="323"/>
      <c r="T126" s="324">
        <f t="shared" ca="1" si="15"/>
        <v>0</v>
      </c>
      <c r="U126" s="321">
        <f t="shared" ca="1" si="14"/>
        <v>0</v>
      </c>
    </row>
    <row r="127" spans="1:23">
      <c r="A127" s="21" t="str">
        <f t="shared" ca="1" si="12"/>
        <v>WP004</v>
      </c>
      <c r="B127" s="21" t="str">
        <f t="shared" ca="1" si="13"/>
        <v>WP004</v>
      </c>
      <c r="C127" s="21">
        <v>7</v>
      </c>
      <c r="D127" s="21" t="s">
        <v>103</v>
      </c>
      <c r="L127" s="21" t="s">
        <v>99</v>
      </c>
      <c r="M127" s="21" t="s">
        <v>80</v>
      </c>
      <c r="N127" s="425"/>
      <c r="O127" s="33"/>
      <c r="P127" s="34"/>
      <c r="Q127" s="35" t="s">
        <v>104</v>
      </c>
      <c r="R127" s="322"/>
      <c r="S127" s="323"/>
      <c r="T127" s="324">
        <f t="shared" ca="1" si="15"/>
        <v>0</v>
      </c>
      <c r="U127" s="321">
        <f t="shared" ca="1" si="14"/>
        <v>0</v>
      </c>
    </row>
    <row r="128" spans="1:23">
      <c r="A128" s="21" t="str">
        <f t="shared" ca="1" si="12"/>
        <v>WP004</v>
      </c>
      <c r="B128" s="21" t="str">
        <f t="shared" ca="1" si="13"/>
        <v>WP004</v>
      </c>
      <c r="C128" s="21">
        <v>7</v>
      </c>
      <c r="D128" s="21" t="s">
        <v>105</v>
      </c>
      <c r="L128" s="21" t="s">
        <v>99</v>
      </c>
      <c r="M128" s="21" t="s">
        <v>80</v>
      </c>
      <c r="N128" s="425"/>
      <c r="O128" s="33"/>
      <c r="P128" s="34"/>
      <c r="Q128" s="35" t="s">
        <v>106</v>
      </c>
      <c r="R128" s="322"/>
      <c r="S128" s="323"/>
      <c r="T128" s="324">
        <f t="shared" ca="1" si="15"/>
        <v>0</v>
      </c>
      <c r="U128" s="321">
        <f t="shared" ca="1" si="14"/>
        <v>0</v>
      </c>
    </row>
    <row r="129" spans="1:21">
      <c r="A129" s="21" t="str">
        <f t="shared" ca="1" si="12"/>
        <v>WP004</v>
      </c>
      <c r="B129" s="21" t="str">
        <f t="shared" ca="1" si="13"/>
        <v>WP004</v>
      </c>
      <c r="C129" s="21">
        <v>5</v>
      </c>
      <c r="D129" s="21" t="s">
        <v>107</v>
      </c>
      <c r="J129" s="161" t="s">
        <v>96</v>
      </c>
      <c r="M129" s="21" t="s">
        <v>80</v>
      </c>
      <c r="N129" s="425"/>
      <c r="O129" s="36"/>
      <c r="P129" s="429" t="s">
        <v>108</v>
      </c>
      <c r="Q129" s="429"/>
      <c r="R129" s="325"/>
      <c r="S129" s="326"/>
      <c r="T129" s="320">
        <f t="shared" ca="1" si="15"/>
        <v>0</v>
      </c>
      <c r="U129" s="321">
        <f t="shared" ca="1" si="14"/>
        <v>0</v>
      </c>
    </row>
    <row r="130" spans="1:21">
      <c r="A130" s="21" t="str">
        <f t="shared" ca="1" si="12"/>
        <v>WP004</v>
      </c>
      <c r="B130" s="21" t="str">
        <f t="shared" ca="1" si="13"/>
        <v>WP004</v>
      </c>
      <c r="C130" s="21">
        <v>6</v>
      </c>
      <c r="D130" s="21" t="s">
        <v>109</v>
      </c>
      <c r="J130" s="161" t="s">
        <v>96</v>
      </c>
      <c r="K130" s="21" t="s">
        <v>110</v>
      </c>
      <c r="M130" s="21" t="s">
        <v>46</v>
      </c>
      <c r="N130" s="425"/>
      <c r="O130" s="36"/>
      <c r="P130" s="429" t="s">
        <v>111</v>
      </c>
      <c r="Q130" s="429"/>
      <c r="R130" s="329"/>
      <c r="S130" s="319"/>
      <c r="T130" s="320">
        <f t="shared" ca="1" si="15"/>
        <v>0</v>
      </c>
      <c r="U130" s="321">
        <f t="shared" ca="1" si="14"/>
        <v>0</v>
      </c>
    </row>
    <row r="131" spans="1:21">
      <c r="A131" s="21" t="str">
        <f t="shared" ca="1" si="12"/>
        <v>WP004</v>
      </c>
      <c r="B131" s="21" t="str">
        <f t="shared" ca="1" si="13"/>
        <v>WP004</v>
      </c>
      <c r="C131" s="21">
        <v>7</v>
      </c>
      <c r="D131" s="21" t="s">
        <v>112</v>
      </c>
      <c r="L131" s="21" t="s">
        <v>110</v>
      </c>
      <c r="M131" s="21" t="s">
        <v>80</v>
      </c>
      <c r="N131" s="425"/>
      <c r="O131" s="36"/>
      <c r="P131" s="388"/>
      <c r="Q131" s="35" t="s">
        <v>113</v>
      </c>
      <c r="R131" s="322"/>
      <c r="S131" s="323"/>
      <c r="T131" s="324">
        <f t="shared" ca="1" si="15"/>
        <v>0</v>
      </c>
      <c r="U131" s="321">
        <f t="shared" ca="1" si="14"/>
        <v>0</v>
      </c>
    </row>
    <row r="132" spans="1:21">
      <c r="A132" s="21" t="str">
        <f t="shared" ca="1" si="12"/>
        <v>WP004</v>
      </c>
      <c r="B132" s="21" t="str">
        <f t="shared" ca="1" si="13"/>
        <v>WP004</v>
      </c>
      <c r="C132" s="21">
        <v>7</v>
      </c>
      <c r="D132" s="21" t="s">
        <v>114</v>
      </c>
      <c r="L132" s="21" t="s">
        <v>110</v>
      </c>
      <c r="M132" s="21" t="s">
        <v>80</v>
      </c>
      <c r="N132" s="425"/>
      <c r="O132" s="36"/>
      <c r="P132" s="388"/>
      <c r="Q132" s="35" t="s">
        <v>115</v>
      </c>
      <c r="R132" s="322"/>
      <c r="S132" s="323"/>
      <c r="T132" s="324">
        <f t="shared" ca="1" si="15"/>
        <v>0</v>
      </c>
      <c r="U132" s="321">
        <f t="shared" ca="1" si="14"/>
        <v>0</v>
      </c>
    </row>
    <row r="133" spans="1:21">
      <c r="A133" s="21" t="str">
        <f t="shared" ca="1" si="12"/>
        <v>WP004</v>
      </c>
      <c r="B133" s="21" t="str">
        <f t="shared" ca="1" si="13"/>
        <v>WP004</v>
      </c>
      <c r="C133" s="21">
        <v>7</v>
      </c>
      <c r="D133" s="21" t="s">
        <v>116</v>
      </c>
      <c r="L133" s="21" t="s">
        <v>110</v>
      </c>
      <c r="M133" s="21" t="s">
        <v>80</v>
      </c>
      <c r="N133" s="425"/>
      <c r="O133" s="36"/>
      <c r="P133" s="388"/>
      <c r="Q133" s="35" t="s">
        <v>117</v>
      </c>
      <c r="R133" s="322"/>
      <c r="S133" s="323"/>
      <c r="T133" s="324">
        <f t="shared" ca="1" si="15"/>
        <v>0</v>
      </c>
      <c r="U133" s="321">
        <f t="shared" ca="1" si="14"/>
        <v>0</v>
      </c>
    </row>
    <row r="134" spans="1:21">
      <c r="A134" s="21" t="str">
        <f t="shared" ca="1" si="12"/>
        <v>WP004</v>
      </c>
      <c r="B134" s="21" t="str">
        <f t="shared" ca="1" si="13"/>
        <v>WP004</v>
      </c>
      <c r="C134" s="21">
        <v>7</v>
      </c>
      <c r="D134" s="21" t="s">
        <v>118</v>
      </c>
      <c r="L134" s="21" t="s">
        <v>110</v>
      </c>
      <c r="M134" s="21" t="s">
        <v>80</v>
      </c>
      <c r="N134" s="425"/>
      <c r="O134" s="36"/>
      <c r="P134" s="388"/>
      <c r="Q134" s="35" t="s">
        <v>119</v>
      </c>
      <c r="R134" s="322"/>
      <c r="S134" s="323"/>
      <c r="T134" s="324">
        <f t="shared" ca="1" si="15"/>
        <v>0</v>
      </c>
      <c r="U134" s="321">
        <f t="shared" ca="1" si="14"/>
        <v>0</v>
      </c>
    </row>
    <row r="135" spans="1:21">
      <c r="A135" s="21" t="str">
        <f t="shared" ca="1" si="12"/>
        <v>WP004</v>
      </c>
      <c r="B135" s="21" t="str">
        <f t="shared" ca="1" si="13"/>
        <v>WP004</v>
      </c>
      <c r="C135" s="21">
        <v>7</v>
      </c>
      <c r="D135" s="21" t="s">
        <v>120</v>
      </c>
      <c r="L135" s="21" t="s">
        <v>110</v>
      </c>
      <c r="M135" s="21" t="s">
        <v>80</v>
      </c>
      <c r="N135" s="425"/>
      <c r="O135" s="36"/>
      <c r="P135" s="388"/>
      <c r="Q135" s="35" t="s">
        <v>121</v>
      </c>
      <c r="R135" s="322"/>
      <c r="S135" s="323"/>
      <c r="T135" s="324">
        <f t="shared" ca="1" si="15"/>
        <v>0</v>
      </c>
      <c r="U135" s="321">
        <f t="shared" ca="1" si="14"/>
        <v>0</v>
      </c>
    </row>
    <row r="136" spans="1:21">
      <c r="A136" s="21" t="str">
        <f t="shared" ca="1" si="12"/>
        <v>WP004</v>
      </c>
      <c r="B136" s="21" t="str">
        <f t="shared" ca="1" si="13"/>
        <v>WP004</v>
      </c>
      <c r="C136" s="21">
        <v>7</v>
      </c>
      <c r="D136" s="21" t="s">
        <v>122</v>
      </c>
      <c r="L136" s="21" t="s">
        <v>110</v>
      </c>
      <c r="M136" s="21" t="s">
        <v>80</v>
      </c>
      <c r="N136" s="425"/>
      <c r="O136" s="37"/>
      <c r="P136" s="388"/>
      <c r="Q136" s="35" t="s">
        <v>123</v>
      </c>
      <c r="R136" s="322"/>
      <c r="S136" s="323"/>
      <c r="T136" s="324">
        <f t="shared" ca="1" si="15"/>
        <v>0</v>
      </c>
      <c r="U136" s="321">
        <f t="shared" ca="1" si="14"/>
        <v>0</v>
      </c>
    </row>
    <row r="137" spans="1:21">
      <c r="A137" s="21" t="str">
        <f t="shared" ca="1" si="12"/>
        <v>WP004</v>
      </c>
      <c r="B137" s="21" t="str">
        <f t="shared" ca="1" si="13"/>
        <v>WP004</v>
      </c>
      <c r="C137" s="21">
        <v>4</v>
      </c>
      <c r="D137" s="21" t="s">
        <v>124</v>
      </c>
      <c r="H137" s="21" t="s">
        <v>74</v>
      </c>
      <c r="I137" s="21" t="s">
        <v>125</v>
      </c>
      <c r="M137" s="21" t="s">
        <v>46</v>
      </c>
      <c r="N137" s="425"/>
      <c r="O137" s="398" t="s">
        <v>126</v>
      </c>
      <c r="P137" s="399"/>
      <c r="Q137" s="399"/>
      <c r="R137" s="314"/>
      <c r="S137" s="315"/>
      <c r="T137" s="316">
        <f t="shared" ca="1" si="15"/>
        <v>0</v>
      </c>
      <c r="U137" s="317">
        <f t="shared" ca="1" si="14"/>
        <v>0</v>
      </c>
    </row>
    <row r="138" spans="1:21">
      <c r="A138" s="21" t="str">
        <f t="shared" ca="1" si="12"/>
        <v>WP004</v>
      </c>
      <c r="B138" s="21" t="str">
        <f t="shared" ca="1" si="13"/>
        <v>WP004</v>
      </c>
      <c r="C138" s="21">
        <v>5</v>
      </c>
      <c r="D138" s="21" t="s">
        <v>127</v>
      </c>
      <c r="J138" s="161" t="s">
        <v>125</v>
      </c>
      <c r="M138" s="21" t="s">
        <v>80</v>
      </c>
      <c r="N138" s="425"/>
      <c r="O138" s="38"/>
      <c r="P138" s="417" t="s">
        <v>128</v>
      </c>
      <c r="Q138" s="418"/>
      <c r="R138" s="322"/>
      <c r="S138" s="323"/>
      <c r="T138" s="324">
        <f t="shared" ca="1" si="15"/>
        <v>0</v>
      </c>
      <c r="U138" s="321">
        <f t="shared" ca="1" si="14"/>
        <v>0</v>
      </c>
    </row>
    <row r="139" spans="1:21">
      <c r="A139" s="21" t="str">
        <f t="shared" ca="1" si="12"/>
        <v>WP004</v>
      </c>
      <c r="B139" s="21" t="str">
        <f t="shared" ca="1" si="13"/>
        <v>WP004</v>
      </c>
      <c r="C139" s="21">
        <v>2</v>
      </c>
      <c r="D139" s="21" t="s">
        <v>129</v>
      </c>
      <c r="F139" s="21" t="s">
        <v>130</v>
      </c>
      <c r="G139" s="21" t="s">
        <v>74</v>
      </c>
      <c r="M139" s="21" t="s">
        <v>46</v>
      </c>
      <c r="N139" s="425"/>
      <c r="O139" s="419" t="s">
        <v>131</v>
      </c>
      <c r="P139" s="420"/>
      <c r="Q139" s="420"/>
      <c r="R139" s="330"/>
      <c r="S139" s="331"/>
      <c r="T139" s="332">
        <f t="shared" ca="1" si="15"/>
        <v>0</v>
      </c>
      <c r="U139" s="333">
        <f t="shared" ca="1" si="14"/>
        <v>0</v>
      </c>
    </row>
    <row r="140" spans="1:21">
      <c r="A140" s="21" t="str">
        <f t="shared" ca="1" si="12"/>
        <v>WP004</v>
      </c>
      <c r="B140" s="21" t="str">
        <f t="shared" ca="1" si="13"/>
        <v>WP004</v>
      </c>
      <c r="C140" s="21">
        <v>1</v>
      </c>
      <c r="N140" s="425"/>
      <c r="O140" s="39"/>
      <c r="P140" s="30"/>
      <c r="Q140" s="30"/>
      <c r="R140" s="334"/>
      <c r="S140" s="335"/>
      <c r="T140" s="324"/>
      <c r="U140" s="321"/>
    </row>
    <row r="141" spans="1:21">
      <c r="A141" s="21" t="str">
        <f t="shared" ca="1" si="12"/>
        <v>WP004</v>
      </c>
      <c r="B141" s="21" t="str">
        <f t="shared" ca="1" si="13"/>
        <v>WP004</v>
      </c>
      <c r="C141" s="21">
        <v>2</v>
      </c>
      <c r="D141" s="21" t="s">
        <v>132</v>
      </c>
      <c r="F141" s="21" t="s">
        <v>130</v>
      </c>
      <c r="M141" s="21" t="s">
        <v>133</v>
      </c>
      <c r="N141" s="425"/>
      <c r="O141" s="398" t="s">
        <v>134</v>
      </c>
      <c r="P141" s="399"/>
      <c r="Q141" s="399"/>
      <c r="R141" s="336"/>
      <c r="S141" s="337"/>
      <c r="T141" s="338">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17">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row>
    <row r="142" spans="1:21">
      <c r="A142" s="21" t="str">
        <f t="shared" ca="1" si="12"/>
        <v>WP004</v>
      </c>
      <c r="B142" s="21" t="str">
        <f t="shared" ca="1" si="13"/>
        <v>WP004</v>
      </c>
      <c r="C142" s="21">
        <v>1</v>
      </c>
      <c r="N142" s="425"/>
      <c r="O142" s="40"/>
      <c r="P142" s="388"/>
      <c r="Q142" s="388"/>
      <c r="R142" s="334"/>
      <c r="S142" s="335"/>
      <c r="T142" s="324"/>
      <c r="U142" s="321"/>
    </row>
    <row r="143" spans="1:21" ht="12.75" thickBot="1">
      <c r="A143" s="21" t="str">
        <f t="shared" ca="1" si="12"/>
        <v>ENDWP004</v>
      </c>
      <c r="B143" s="21" t="str">
        <f t="shared" ca="1" si="13"/>
        <v>WP004</v>
      </c>
      <c r="C143" s="21">
        <v>0</v>
      </c>
      <c r="D143" s="21" t="s">
        <v>135</v>
      </c>
      <c r="E143" s="21" t="s">
        <v>130</v>
      </c>
      <c r="M143" s="21" t="s">
        <v>46</v>
      </c>
      <c r="N143" s="426"/>
      <c r="O143" s="421" t="str">
        <f ca="1">"TOTAL COSTS (A+B+C+D+E) - " &amp; OFFSET(O143,-26,0)</f>
        <v xml:space="preserve">TOTAL COSTS (A+B+C+D+E) - </v>
      </c>
      <c r="P143" s="422"/>
      <c r="Q143" s="422"/>
      <c r="R143" s="339"/>
      <c r="S143" s="340"/>
      <c r="T143" s="341">
        <f t="shared" ca="1" si="15"/>
        <v>0</v>
      </c>
      <c r="U143" s="342">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row>
    <row r="144" spans="1:21" ht="13.5" thickTop="1" thickBot="1"/>
    <row r="145" spans="1:23" ht="13.5" thickTop="1" thickBot="1">
      <c r="A145" s="21" t="str">
        <f ca="1">IF(ISNUMBER(OFFSET(A145,0,13)),"START",IF(AND(OFFSET(A145,0,2)=0,OFFSET(A145,0,4)="GT"),"END",""))&amp;OFFSET(A145,0,1)</f>
        <v>STARTWP005</v>
      </c>
      <c r="B145" s="21" t="str">
        <f ca="1">IF(ISNUMBER(OFFSET(B145,0,12)),"WP" &amp; TEXT(OFFSET(B145,0,12),"000"),OFFSET(B145,-1,0))</f>
        <v>WP005</v>
      </c>
      <c r="N145" s="62">
        <v>5</v>
      </c>
      <c r="O145" s="423" t="str">
        <f ca="1">""&amp;VLOOKUP(OFFSET(N145,1,0),'Work Packages List'!A:B,2,FALSE)</f>
        <v/>
      </c>
      <c r="P145" s="423"/>
      <c r="Q145" s="424"/>
      <c r="R145" s="310"/>
      <c r="S145" s="311"/>
      <c r="T145" s="312"/>
      <c r="U145" s="313"/>
    </row>
    <row r="146" spans="1:23">
      <c r="A146" s="21" t="str">
        <f t="shared" ref="A146:A177" ca="1" si="16">IF(ISNUMBER(OFFSET(A146,0,12)),"START",IF(AND(OFFSET(A146,0,2)=0,OFFSET(A146,0,4)="GT"),"END",""))&amp;OFFSET(A146,0,1)</f>
        <v>WP005</v>
      </c>
      <c r="B146" s="21" t="str">
        <f t="shared" ref="B146:B177" ca="1" si="17">IF(ISNUMBER(OFFSET(B146,0,11)),"WP" &amp; TEXT(OFFSET(B146,0,11),"000"),OFFSET(B146,-1,0))</f>
        <v>WP005</v>
      </c>
      <c r="C146" s="21">
        <v>4</v>
      </c>
      <c r="D146" s="21" t="s">
        <v>73</v>
      </c>
      <c r="H146" s="21" t="s">
        <v>74</v>
      </c>
      <c r="I146" s="21" t="s">
        <v>75</v>
      </c>
      <c r="M146" s="21" t="s">
        <v>46</v>
      </c>
      <c r="N146" s="425" t="str">
        <f ca="1">"WP " &amp; TEXT(OFFSET(N146,-1,0),"000")</f>
        <v>WP 005</v>
      </c>
      <c r="O146" s="398" t="s">
        <v>37</v>
      </c>
      <c r="P146" s="399"/>
      <c r="Q146" s="427"/>
      <c r="R146" s="314">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15"/>
      <c r="T146" s="316">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17">
        <f t="shared" ref="U146:U173" ca="1" si="18">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row>
    <row r="147" spans="1:23">
      <c r="A147" s="21" t="str">
        <f t="shared" ca="1" si="16"/>
        <v>WP005</v>
      </c>
      <c r="B147" s="21" t="str">
        <f t="shared" ca="1" si="17"/>
        <v>WP005</v>
      </c>
      <c r="C147" s="21">
        <v>6</v>
      </c>
      <c r="D147" s="21" t="s">
        <v>76</v>
      </c>
      <c r="J147" s="161" t="s">
        <v>75</v>
      </c>
      <c r="K147" s="21" t="s">
        <v>77</v>
      </c>
      <c r="M147" s="21" t="s">
        <v>46</v>
      </c>
      <c r="N147" s="425"/>
      <c r="O147" s="27"/>
      <c r="P147" s="396" t="s">
        <v>78</v>
      </c>
      <c r="Q147" s="428"/>
      <c r="R147" s="318">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19"/>
      <c r="T147" s="320">
        <f t="shared" ref="T147:T177" ca="1" si="19">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21">
        <f t="shared" ca="1" si="18"/>
        <v>0</v>
      </c>
      <c r="W147" s="23"/>
    </row>
    <row r="148" spans="1:23">
      <c r="A148" s="21" t="str">
        <f t="shared" ca="1" si="16"/>
        <v>WP005</v>
      </c>
      <c r="B148" s="21" t="str">
        <f t="shared" ca="1" si="17"/>
        <v>WP005</v>
      </c>
      <c r="C148" s="21">
        <v>7</v>
      </c>
      <c r="D148" s="21" t="s">
        <v>79</v>
      </c>
      <c r="L148" s="21" t="s">
        <v>77</v>
      </c>
      <c r="M148" s="21" t="s">
        <v>80</v>
      </c>
      <c r="N148" s="425"/>
      <c r="O148" s="28"/>
      <c r="P148" s="29"/>
      <c r="Q148" s="30" t="str">
        <f>EMP_TYPE1</f>
        <v>Type 1</v>
      </c>
      <c r="R148" s="322"/>
      <c r="S148" s="323"/>
      <c r="T148" s="324">
        <f t="shared" ca="1" si="19"/>
        <v>0</v>
      </c>
      <c r="U148" s="321">
        <f t="shared" ca="1" si="18"/>
        <v>0</v>
      </c>
      <c r="W148" s="23"/>
    </row>
    <row r="149" spans="1:23">
      <c r="A149" s="21" t="str">
        <f t="shared" ca="1" si="16"/>
        <v>WP005</v>
      </c>
      <c r="B149" s="21" t="str">
        <f t="shared" ca="1" si="17"/>
        <v>WP005</v>
      </c>
      <c r="C149" s="21">
        <v>7</v>
      </c>
      <c r="D149" s="21" t="s">
        <v>81</v>
      </c>
      <c r="L149" s="21" t="s">
        <v>77</v>
      </c>
      <c r="M149" s="21" t="s">
        <v>80</v>
      </c>
      <c r="N149" s="425"/>
      <c r="O149" s="28"/>
      <c r="P149" s="29"/>
      <c r="Q149" s="30" t="str">
        <f>EMP_TYPE2</f>
        <v>Type 2</v>
      </c>
      <c r="R149" s="322"/>
      <c r="S149" s="323"/>
      <c r="T149" s="324">
        <f t="shared" ca="1" si="19"/>
        <v>0</v>
      </c>
      <c r="U149" s="321">
        <f t="shared" ca="1" si="18"/>
        <v>0</v>
      </c>
      <c r="W149" s="23"/>
    </row>
    <row r="150" spans="1:23">
      <c r="A150" s="21" t="str">
        <f t="shared" ca="1" si="16"/>
        <v>WP005</v>
      </c>
      <c r="B150" s="21" t="str">
        <f t="shared" ca="1" si="17"/>
        <v>WP005</v>
      </c>
      <c r="C150" s="21">
        <v>7</v>
      </c>
      <c r="D150" s="21" t="s">
        <v>82</v>
      </c>
      <c r="L150" s="21" t="s">
        <v>77</v>
      </c>
      <c r="M150" s="21" t="s">
        <v>80</v>
      </c>
      <c r="N150" s="425"/>
      <c r="O150" s="28"/>
      <c r="P150" s="29"/>
      <c r="Q150" s="30" t="str">
        <f>EMP_TYPE3</f>
        <v>Type 3</v>
      </c>
      <c r="R150" s="322"/>
      <c r="S150" s="323"/>
      <c r="T150" s="324">
        <f t="shared" ca="1" si="19"/>
        <v>0</v>
      </c>
      <c r="U150" s="321">
        <f t="shared" ca="1" si="18"/>
        <v>0</v>
      </c>
      <c r="W150" s="23"/>
    </row>
    <row r="151" spans="1:23">
      <c r="A151" s="21" t="str">
        <f t="shared" ca="1" si="16"/>
        <v>WP005</v>
      </c>
      <c r="B151" s="21" t="str">
        <f t="shared" ca="1" si="17"/>
        <v>WP005</v>
      </c>
      <c r="C151" s="21">
        <v>7</v>
      </c>
      <c r="D151" s="21" t="s">
        <v>83</v>
      </c>
      <c r="L151" s="21" t="s">
        <v>77</v>
      </c>
      <c r="M151" s="21" t="s">
        <v>80</v>
      </c>
      <c r="N151" s="425"/>
      <c r="O151" s="28"/>
      <c r="P151" s="29"/>
      <c r="Q151" s="30" t="str">
        <f>EMP_TYPE4</f>
        <v>Type 4</v>
      </c>
      <c r="R151" s="322"/>
      <c r="S151" s="323"/>
      <c r="T151" s="324">
        <f t="shared" ca="1" si="19"/>
        <v>0</v>
      </c>
      <c r="U151" s="321">
        <f t="shared" ca="1" si="18"/>
        <v>0</v>
      </c>
      <c r="W151" s="23"/>
    </row>
    <row r="152" spans="1:23">
      <c r="A152" s="21" t="str">
        <f t="shared" ca="1" si="16"/>
        <v>WP005</v>
      </c>
      <c r="B152" s="21" t="str">
        <f t="shared" ca="1" si="17"/>
        <v>WP005</v>
      </c>
      <c r="C152" s="21">
        <v>7</v>
      </c>
      <c r="D152" s="21" t="s">
        <v>84</v>
      </c>
      <c r="L152" s="21" t="s">
        <v>77</v>
      </c>
      <c r="M152" s="21" t="s">
        <v>80</v>
      </c>
      <c r="N152" s="425"/>
      <c r="O152" s="28"/>
      <c r="P152" s="29"/>
      <c r="Q152" s="30" t="str">
        <f>EMP_OTHER</f>
        <v>Type 5</v>
      </c>
      <c r="R152" s="322"/>
      <c r="S152" s="323"/>
      <c r="T152" s="324">
        <f t="shared" ca="1" si="19"/>
        <v>0</v>
      </c>
      <c r="U152" s="321">
        <f t="shared" ca="1" si="18"/>
        <v>0</v>
      </c>
      <c r="W152" s="23"/>
    </row>
    <row r="153" spans="1:23">
      <c r="A153" s="21" t="str">
        <f t="shared" ca="1" si="16"/>
        <v>WP005</v>
      </c>
      <c r="B153" s="21" t="str">
        <f t="shared" ca="1" si="17"/>
        <v>WP005</v>
      </c>
      <c r="C153" s="21">
        <v>6</v>
      </c>
      <c r="D153" s="21" t="s">
        <v>85</v>
      </c>
      <c r="J153" s="161" t="s">
        <v>75</v>
      </c>
      <c r="M153" s="21" t="s">
        <v>80</v>
      </c>
      <c r="N153" s="425"/>
      <c r="O153" s="31"/>
      <c r="P153" s="418" t="s">
        <v>86</v>
      </c>
      <c r="Q153" s="429"/>
      <c r="R153" s="325"/>
      <c r="S153" s="326"/>
      <c r="T153" s="320">
        <f t="shared" ca="1" si="19"/>
        <v>0</v>
      </c>
      <c r="U153" s="321">
        <f t="shared" ca="1" si="18"/>
        <v>0</v>
      </c>
      <c r="W153" s="23"/>
    </row>
    <row r="154" spans="1:23">
      <c r="A154" s="21" t="str">
        <f t="shared" ca="1" si="16"/>
        <v>WP005</v>
      </c>
      <c r="B154" s="21" t="str">
        <f t="shared" ca="1" si="17"/>
        <v>WP005</v>
      </c>
      <c r="C154" s="21">
        <v>6</v>
      </c>
      <c r="D154" s="21" t="s">
        <v>87</v>
      </c>
      <c r="J154" s="161" t="s">
        <v>75</v>
      </c>
      <c r="M154" s="21" t="s">
        <v>80</v>
      </c>
      <c r="N154" s="425"/>
      <c r="O154" s="31"/>
      <c r="P154" s="418" t="s">
        <v>88</v>
      </c>
      <c r="Q154" s="429"/>
      <c r="R154" s="325"/>
      <c r="S154" s="326"/>
      <c r="T154" s="320">
        <f t="shared" ca="1" si="19"/>
        <v>0</v>
      </c>
      <c r="U154" s="321">
        <f t="shared" ca="1" si="18"/>
        <v>0</v>
      </c>
      <c r="W154" s="23"/>
    </row>
    <row r="155" spans="1:23">
      <c r="A155" s="21" t="str">
        <f t="shared" ca="1" si="16"/>
        <v>WP005</v>
      </c>
      <c r="B155" s="21" t="str">
        <f t="shared" ca="1" si="17"/>
        <v>WP005</v>
      </c>
      <c r="C155" s="21">
        <v>6</v>
      </c>
      <c r="D155" s="21" t="s">
        <v>89</v>
      </c>
      <c r="J155" s="161" t="s">
        <v>75</v>
      </c>
      <c r="M155" s="21" t="s">
        <v>80</v>
      </c>
      <c r="N155" s="425"/>
      <c r="O155" s="31"/>
      <c r="P155" s="418" t="s">
        <v>90</v>
      </c>
      <c r="Q155" s="429"/>
      <c r="R155" s="325"/>
      <c r="S155" s="326"/>
      <c r="T155" s="320">
        <f t="shared" ca="1" si="19"/>
        <v>0</v>
      </c>
      <c r="U155" s="321">
        <f t="shared" ca="1" si="18"/>
        <v>0</v>
      </c>
      <c r="W155" s="23"/>
    </row>
    <row r="156" spans="1:23">
      <c r="A156" s="21" t="str">
        <f t="shared" ca="1" si="16"/>
        <v>WP005</v>
      </c>
      <c r="B156" s="21" t="str">
        <f t="shared" ca="1" si="17"/>
        <v>WP005</v>
      </c>
      <c r="C156" s="21">
        <v>6</v>
      </c>
      <c r="D156" s="21" t="s">
        <v>91</v>
      </c>
      <c r="J156" s="161" t="s">
        <v>75</v>
      </c>
      <c r="M156" s="21" t="s">
        <v>80</v>
      </c>
      <c r="N156" s="425"/>
      <c r="O156" s="31"/>
      <c r="P156" s="418" t="s">
        <v>92</v>
      </c>
      <c r="Q156" s="429"/>
      <c r="R156" s="325"/>
      <c r="S156" s="326"/>
      <c r="T156" s="320">
        <f t="shared" ca="1" si="19"/>
        <v>0</v>
      </c>
      <c r="U156" s="321">
        <f t="shared" ca="1" si="18"/>
        <v>0</v>
      </c>
    </row>
    <row r="157" spans="1:23">
      <c r="A157" s="21" t="str">
        <f t="shared" ca="1" si="16"/>
        <v>WP005</v>
      </c>
      <c r="B157" s="21" t="str">
        <f t="shared" ca="1" si="17"/>
        <v>WP005</v>
      </c>
      <c r="C157" s="21">
        <v>4</v>
      </c>
      <c r="D157" s="21" t="s">
        <v>93</v>
      </c>
      <c r="H157" s="21" t="s">
        <v>74</v>
      </c>
      <c r="I157" s="21" t="s">
        <v>94</v>
      </c>
      <c r="M157" s="21" t="s">
        <v>80</v>
      </c>
      <c r="N157" s="425"/>
      <c r="O157" s="398" t="s">
        <v>65</v>
      </c>
      <c r="P157" s="399"/>
      <c r="Q157" s="399"/>
      <c r="R157" s="327"/>
      <c r="S157" s="328"/>
      <c r="T157" s="316">
        <f t="shared" ca="1" si="19"/>
        <v>0</v>
      </c>
      <c r="U157" s="317">
        <f t="shared" ca="1" si="18"/>
        <v>0</v>
      </c>
    </row>
    <row r="158" spans="1:23">
      <c r="A158" s="21" t="str">
        <f t="shared" ca="1" si="16"/>
        <v>WP005</v>
      </c>
      <c r="B158" s="21" t="str">
        <f t="shared" ca="1" si="17"/>
        <v>WP005</v>
      </c>
      <c r="C158" s="21">
        <v>4</v>
      </c>
      <c r="D158" s="21" t="s">
        <v>95</v>
      </c>
      <c r="H158" s="21" t="s">
        <v>74</v>
      </c>
      <c r="I158" s="21" t="s">
        <v>96</v>
      </c>
      <c r="M158" s="21" t="s">
        <v>46</v>
      </c>
      <c r="N158" s="425"/>
      <c r="O158" s="398" t="s">
        <v>97</v>
      </c>
      <c r="P158" s="399"/>
      <c r="Q158" s="399"/>
      <c r="R158" s="314"/>
      <c r="S158" s="315"/>
      <c r="T158" s="316">
        <f t="shared" ca="1" si="19"/>
        <v>0</v>
      </c>
      <c r="U158" s="317">
        <f t="shared" ca="1" si="18"/>
        <v>0</v>
      </c>
    </row>
    <row r="159" spans="1:23">
      <c r="A159" s="21" t="str">
        <f t="shared" ca="1" si="16"/>
        <v>WP005</v>
      </c>
      <c r="B159" s="21" t="str">
        <f t="shared" ca="1" si="17"/>
        <v>WP005</v>
      </c>
      <c r="C159" s="21">
        <v>6</v>
      </c>
      <c r="D159" s="21" t="s">
        <v>98</v>
      </c>
      <c r="J159" s="161" t="s">
        <v>96</v>
      </c>
      <c r="K159" s="21" t="s">
        <v>99</v>
      </c>
      <c r="M159" s="21" t="s">
        <v>46</v>
      </c>
      <c r="N159" s="425"/>
      <c r="O159" s="32"/>
      <c r="P159" s="429" t="s">
        <v>100</v>
      </c>
      <c r="Q159" s="429"/>
      <c r="R159" s="318"/>
      <c r="S159" s="319"/>
      <c r="T159" s="320">
        <f t="shared" ca="1" si="19"/>
        <v>0</v>
      </c>
      <c r="U159" s="321">
        <f t="shared" ca="1" si="18"/>
        <v>0</v>
      </c>
    </row>
    <row r="160" spans="1:23">
      <c r="A160" s="21" t="str">
        <f t="shared" ca="1" si="16"/>
        <v>WP005</v>
      </c>
      <c r="B160" s="21" t="str">
        <f t="shared" ca="1" si="17"/>
        <v>WP005</v>
      </c>
      <c r="C160" s="21">
        <v>7</v>
      </c>
      <c r="D160" s="21" t="s">
        <v>101</v>
      </c>
      <c r="L160" s="21" t="s">
        <v>99</v>
      </c>
      <c r="M160" s="21" t="s">
        <v>80</v>
      </c>
      <c r="N160" s="425"/>
      <c r="O160" s="33"/>
      <c r="P160" s="34"/>
      <c r="Q160" s="35" t="s">
        <v>102</v>
      </c>
      <c r="R160" s="322"/>
      <c r="S160" s="323"/>
      <c r="T160" s="324">
        <f t="shared" ca="1" si="19"/>
        <v>0</v>
      </c>
      <c r="U160" s="321">
        <f t="shared" ca="1" si="18"/>
        <v>0</v>
      </c>
    </row>
    <row r="161" spans="1:21">
      <c r="A161" s="21" t="str">
        <f t="shared" ca="1" si="16"/>
        <v>WP005</v>
      </c>
      <c r="B161" s="21" t="str">
        <f t="shared" ca="1" si="17"/>
        <v>WP005</v>
      </c>
      <c r="C161" s="21">
        <v>7</v>
      </c>
      <c r="D161" s="21" t="s">
        <v>103</v>
      </c>
      <c r="L161" s="21" t="s">
        <v>99</v>
      </c>
      <c r="M161" s="21" t="s">
        <v>80</v>
      </c>
      <c r="N161" s="425"/>
      <c r="O161" s="33"/>
      <c r="P161" s="34"/>
      <c r="Q161" s="35" t="s">
        <v>104</v>
      </c>
      <c r="R161" s="322"/>
      <c r="S161" s="323"/>
      <c r="T161" s="324">
        <f t="shared" ca="1" si="19"/>
        <v>0</v>
      </c>
      <c r="U161" s="321">
        <f t="shared" ca="1" si="18"/>
        <v>0</v>
      </c>
    </row>
    <row r="162" spans="1:21">
      <c r="A162" s="21" t="str">
        <f t="shared" ca="1" si="16"/>
        <v>WP005</v>
      </c>
      <c r="B162" s="21" t="str">
        <f t="shared" ca="1" si="17"/>
        <v>WP005</v>
      </c>
      <c r="C162" s="21">
        <v>7</v>
      </c>
      <c r="D162" s="21" t="s">
        <v>105</v>
      </c>
      <c r="L162" s="21" t="s">
        <v>99</v>
      </c>
      <c r="M162" s="21" t="s">
        <v>80</v>
      </c>
      <c r="N162" s="425"/>
      <c r="O162" s="33"/>
      <c r="P162" s="34"/>
      <c r="Q162" s="35" t="s">
        <v>106</v>
      </c>
      <c r="R162" s="322"/>
      <c r="S162" s="323"/>
      <c r="T162" s="324">
        <f t="shared" ca="1" si="19"/>
        <v>0</v>
      </c>
      <c r="U162" s="321">
        <f t="shared" ca="1" si="18"/>
        <v>0</v>
      </c>
    </row>
    <row r="163" spans="1:21">
      <c r="A163" s="21" t="str">
        <f t="shared" ca="1" si="16"/>
        <v>WP005</v>
      </c>
      <c r="B163" s="21" t="str">
        <f t="shared" ca="1" si="17"/>
        <v>WP005</v>
      </c>
      <c r="C163" s="21">
        <v>5</v>
      </c>
      <c r="D163" s="21" t="s">
        <v>107</v>
      </c>
      <c r="J163" s="161" t="s">
        <v>96</v>
      </c>
      <c r="M163" s="21" t="s">
        <v>80</v>
      </c>
      <c r="N163" s="425"/>
      <c r="O163" s="36"/>
      <c r="P163" s="429" t="s">
        <v>108</v>
      </c>
      <c r="Q163" s="429"/>
      <c r="R163" s="325"/>
      <c r="S163" s="326"/>
      <c r="T163" s="320">
        <f t="shared" ca="1" si="19"/>
        <v>0</v>
      </c>
      <c r="U163" s="321">
        <f t="shared" ca="1" si="18"/>
        <v>0</v>
      </c>
    </row>
    <row r="164" spans="1:21">
      <c r="A164" s="21" t="str">
        <f t="shared" ca="1" si="16"/>
        <v>WP005</v>
      </c>
      <c r="B164" s="21" t="str">
        <f t="shared" ca="1" si="17"/>
        <v>WP005</v>
      </c>
      <c r="C164" s="21">
        <v>6</v>
      </c>
      <c r="D164" s="21" t="s">
        <v>109</v>
      </c>
      <c r="J164" s="161" t="s">
        <v>96</v>
      </c>
      <c r="K164" s="21" t="s">
        <v>110</v>
      </c>
      <c r="M164" s="21" t="s">
        <v>46</v>
      </c>
      <c r="N164" s="425"/>
      <c r="O164" s="36"/>
      <c r="P164" s="429" t="s">
        <v>111</v>
      </c>
      <c r="Q164" s="429"/>
      <c r="R164" s="329"/>
      <c r="S164" s="319"/>
      <c r="T164" s="320">
        <f t="shared" ca="1" si="19"/>
        <v>0</v>
      </c>
      <c r="U164" s="321">
        <f t="shared" ca="1" si="18"/>
        <v>0</v>
      </c>
    </row>
    <row r="165" spans="1:21">
      <c r="A165" s="21" t="str">
        <f t="shared" ca="1" si="16"/>
        <v>WP005</v>
      </c>
      <c r="B165" s="21" t="str">
        <f t="shared" ca="1" si="17"/>
        <v>WP005</v>
      </c>
      <c r="C165" s="21">
        <v>7</v>
      </c>
      <c r="D165" s="21" t="s">
        <v>112</v>
      </c>
      <c r="L165" s="21" t="s">
        <v>110</v>
      </c>
      <c r="M165" s="21" t="s">
        <v>80</v>
      </c>
      <c r="N165" s="425"/>
      <c r="O165" s="36"/>
      <c r="P165" s="388"/>
      <c r="Q165" s="35" t="s">
        <v>113</v>
      </c>
      <c r="R165" s="322"/>
      <c r="S165" s="323"/>
      <c r="T165" s="324">
        <f t="shared" ca="1" si="19"/>
        <v>0</v>
      </c>
      <c r="U165" s="321">
        <f t="shared" ca="1" si="18"/>
        <v>0</v>
      </c>
    </row>
    <row r="166" spans="1:21">
      <c r="A166" s="21" t="str">
        <f t="shared" ca="1" si="16"/>
        <v>WP005</v>
      </c>
      <c r="B166" s="21" t="str">
        <f t="shared" ca="1" si="17"/>
        <v>WP005</v>
      </c>
      <c r="C166" s="21">
        <v>7</v>
      </c>
      <c r="D166" s="21" t="s">
        <v>114</v>
      </c>
      <c r="L166" s="21" t="s">
        <v>110</v>
      </c>
      <c r="M166" s="21" t="s">
        <v>80</v>
      </c>
      <c r="N166" s="425"/>
      <c r="O166" s="36"/>
      <c r="P166" s="388"/>
      <c r="Q166" s="35" t="s">
        <v>115</v>
      </c>
      <c r="R166" s="322"/>
      <c r="S166" s="323"/>
      <c r="T166" s="324">
        <f t="shared" ca="1" si="19"/>
        <v>0</v>
      </c>
      <c r="U166" s="321">
        <f t="shared" ca="1" si="18"/>
        <v>0</v>
      </c>
    </row>
    <row r="167" spans="1:21">
      <c r="A167" s="21" t="str">
        <f t="shared" ca="1" si="16"/>
        <v>WP005</v>
      </c>
      <c r="B167" s="21" t="str">
        <f t="shared" ca="1" si="17"/>
        <v>WP005</v>
      </c>
      <c r="C167" s="21">
        <v>7</v>
      </c>
      <c r="D167" s="21" t="s">
        <v>116</v>
      </c>
      <c r="L167" s="21" t="s">
        <v>110</v>
      </c>
      <c r="M167" s="21" t="s">
        <v>80</v>
      </c>
      <c r="N167" s="425"/>
      <c r="O167" s="36"/>
      <c r="P167" s="388"/>
      <c r="Q167" s="35" t="s">
        <v>117</v>
      </c>
      <c r="R167" s="322"/>
      <c r="S167" s="323"/>
      <c r="T167" s="324">
        <f t="shared" ca="1" si="19"/>
        <v>0</v>
      </c>
      <c r="U167" s="321">
        <f t="shared" ca="1" si="18"/>
        <v>0</v>
      </c>
    </row>
    <row r="168" spans="1:21">
      <c r="A168" s="21" t="str">
        <f t="shared" ca="1" si="16"/>
        <v>WP005</v>
      </c>
      <c r="B168" s="21" t="str">
        <f t="shared" ca="1" si="17"/>
        <v>WP005</v>
      </c>
      <c r="C168" s="21">
        <v>7</v>
      </c>
      <c r="D168" s="21" t="s">
        <v>118</v>
      </c>
      <c r="L168" s="21" t="s">
        <v>110</v>
      </c>
      <c r="M168" s="21" t="s">
        <v>80</v>
      </c>
      <c r="N168" s="425"/>
      <c r="O168" s="36"/>
      <c r="P168" s="388"/>
      <c r="Q168" s="35" t="s">
        <v>119</v>
      </c>
      <c r="R168" s="322"/>
      <c r="S168" s="323"/>
      <c r="T168" s="324">
        <f t="shared" ca="1" si="19"/>
        <v>0</v>
      </c>
      <c r="U168" s="321">
        <f t="shared" ca="1" si="18"/>
        <v>0</v>
      </c>
    </row>
    <row r="169" spans="1:21">
      <c r="A169" s="21" t="str">
        <f t="shared" ca="1" si="16"/>
        <v>WP005</v>
      </c>
      <c r="B169" s="21" t="str">
        <f t="shared" ca="1" si="17"/>
        <v>WP005</v>
      </c>
      <c r="C169" s="21">
        <v>7</v>
      </c>
      <c r="D169" s="21" t="s">
        <v>120</v>
      </c>
      <c r="L169" s="21" t="s">
        <v>110</v>
      </c>
      <c r="M169" s="21" t="s">
        <v>80</v>
      </c>
      <c r="N169" s="425"/>
      <c r="O169" s="36"/>
      <c r="P169" s="388"/>
      <c r="Q169" s="35" t="s">
        <v>121</v>
      </c>
      <c r="R169" s="322"/>
      <c r="S169" s="323"/>
      <c r="T169" s="324">
        <f t="shared" ca="1" si="19"/>
        <v>0</v>
      </c>
      <c r="U169" s="321">
        <f t="shared" ca="1" si="18"/>
        <v>0</v>
      </c>
    </row>
    <row r="170" spans="1:21">
      <c r="A170" s="21" t="str">
        <f t="shared" ca="1" si="16"/>
        <v>WP005</v>
      </c>
      <c r="B170" s="21" t="str">
        <f t="shared" ca="1" si="17"/>
        <v>WP005</v>
      </c>
      <c r="C170" s="21">
        <v>7</v>
      </c>
      <c r="D170" s="21" t="s">
        <v>122</v>
      </c>
      <c r="L170" s="21" t="s">
        <v>110</v>
      </c>
      <c r="M170" s="21" t="s">
        <v>80</v>
      </c>
      <c r="N170" s="425"/>
      <c r="O170" s="37"/>
      <c r="P170" s="388"/>
      <c r="Q170" s="35" t="s">
        <v>123</v>
      </c>
      <c r="R170" s="322"/>
      <c r="S170" s="323"/>
      <c r="T170" s="324">
        <f t="shared" ca="1" si="19"/>
        <v>0</v>
      </c>
      <c r="U170" s="321">
        <f t="shared" ca="1" si="18"/>
        <v>0</v>
      </c>
    </row>
    <row r="171" spans="1:21">
      <c r="A171" s="21" t="str">
        <f t="shared" ca="1" si="16"/>
        <v>WP005</v>
      </c>
      <c r="B171" s="21" t="str">
        <f t="shared" ca="1" si="17"/>
        <v>WP005</v>
      </c>
      <c r="C171" s="21">
        <v>4</v>
      </c>
      <c r="D171" s="21" t="s">
        <v>124</v>
      </c>
      <c r="H171" s="21" t="s">
        <v>74</v>
      </c>
      <c r="I171" s="21" t="s">
        <v>125</v>
      </c>
      <c r="M171" s="21" t="s">
        <v>46</v>
      </c>
      <c r="N171" s="425"/>
      <c r="O171" s="398" t="s">
        <v>126</v>
      </c>
      <c r="P171" s="399"/>
      <c r="Q171" s="399"/>
      <c r="R171" s="314"/>
      <c r="S171" s="315"/>
      <c r="T171" s="316">
        <f t="shared" ca="1" si="19"/>
        <v>0</v>
      </c>
      <c r="U171" s="317">
        <f t="shared" ca="1" si="18"/>
        <v>0</v>
      </c>
    </row>
    <row r="172" spans="1:21">
      <c r="A172" s="21" t="str">
        <f t="shared" ca="1" si="16"/>
        <v>WP005</v>
      </c>
      <c r="B172" s="21" t="str">
        <f t="shared" ca="1" si="17"/>
        <v>WP005</v>
      </c>
      <c r="C172" s="21">
        <v>5</v>
      </c>
      <c r="D172" s="21" t="s">
        <v>127</v>
      </c>
      <c r="J172" s="161" t="s">
        <v>125</v>
      </c>
      <c r="M172" s="21" t="s">
        <v>80</v>
      </c>
      <c r="N172" s="425"/>
      <c r="O172" s="38"/>
      <c r="P172" s="417" t="s">
        <v>128</v>
      </c>
      <c r="Q172" s="418"/>
      <c r="R172" s="322"/>
      <c r="S172" s="323"/>
      <c r="T172" s="324">
        <f t="shared" ca="1" si="19"/>
        <v>0</v>
      </c>
      <c r="U172" s="321">
        <f t="shared" ca="1" si="18"/>
        <v>0</v>
      </c>
    </row>
    <row r="173" spans="1:21">
      <c r="A173" s="21" t="str">
        <f t="shared" ca="1" si="16"/>
        <v>WP005</v>
      </c>
      <c r="B173" s="21" t="str">
        <f t="shared" ca="1" si="17"/>
        <v>WP005</v>
      </c>
      <c r="C173" s="21">
        <v>2</v>
      </c>
      <c r="D173" s="21" t="s">
        <v>129</v>
      </c>
      <c r="F173" s="21" t="s">
        <v>130</v>
      </c>
      <c r="G173" s="21" t="s">
        <v>74</v>
      </c>
      <c r="M173" s="21" t="s">
        <v>46</v>
      </c>
      <c r="N173" s="425"/>
      <c r="O173" s="419" t="s">
        <v>131</v>
      </c>
      <c r="P173" s="420"/>
      <c r="Q173" s="420"/>
      <c r="R173" s="330"/>
      <c r="S173" s="331"/>
      <c r="T173" s="332">
        <f t="shared" ca="1" si="19"/>
        <v>0</v>
      </c>
      <c r="U173" s="333">
        <f t="shared" ca="1" si="18"/>
        <v>0</v>
      </c>
    </row>
    <row r="174" spans="1:21">
      <c r="A174" s="21" t="str">
        <f t="shared" ca="1" si="16"/>
        <v>WP005</v>
      </c>
      <c r="B174" s="21" t="str">
        <f t="shared" ca="1" si="17"/>
        <v>WP005</v>
      </c>
      <c r="C174" s="21">
        <v>1</v>
      </c>
      <c r="N174" s="425"/>
      <c r="O174" s="39"/>
      <c r="P174" s="30"/>
      <c r="Q174" s="30"/>
      <c r="R174" s="334"/>
      <c r="S174" s="335"/>
      <c r="T174" s="324"/>
      <c r="U174" s="321"/>
    </row>
    <row r="175" spans="1:21">
      <c r="A175" s="21" t="str">
        <f t="shared" ca="1" si="16"/>
        <v>WP005</v>
      </c>
      <c r="B175" s="21" t="str">
        <f t="shared" ca="1" si="17"/>
        <v>WP005</v>
      </c>
      <c r="C175" s="21">
        <v>2</v>
      </c>
      <c r="D175" s="21" t="s">
        <v>132</v>
      </c>
      <c r="F175" s="21" t="s">
        <v>130</v>
      </c>
      <c r="M175" s="21" t="s">
        <v>133</v>
      </c>
      <c r="N175" s="425"/>
      <c r="O175" s="398" t="s">
        <v>134</v>
      </c>
      <c r="P175" s="399"/>
      <c r="Q175" s="399"/>
      <c r="R175" s="336"/>
      <c r="S175" s="337"/>
      <c r="T175" s="338">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17">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row>
    <row r="176" spans="1:21">
      <c r="A176" s="21" t="str">
        <f t="shared" ca="1" si="16"/>
        <v>WP005</v>
      </c>
      <c r="B176" s="21" t="str">
        <f t="shared" ca="1" si="17"/>
        <v>WP005</v>
      </c>
      <c r="C176" s="21">
        <v>1</v>
      </c>
      <c r="N176" s="425"/>
      <c r="O176" s="40"/>
      <c r="P176" s="388"/>
      <c r="Q176" s="388"/>
      <c r="R176" s="334"/>
      <c r="S176" s="335"/>
      <c r="T176" s="324"/>
      <c r="U176" s="321"/>
    </row>
    <row r="177" spans="1:23" ht="12.75" thickBot="1">
      <c r="A177" s="21" t="str">
        <f t="shared" ca="1" si="16"/>
        <v>ENDWP005</v>
      </c>
      <c r="B177" s="21" t="str">
        <f t="shared" ca="1" si="17"/>
        <v>WP005</v>
      </c>
      <c r="C177" s="21">
        <v>0</v>
      </c>
      <c r="D177" s="21" t="s">
        <v>135</v>
      </c>
      <c r="E177" s="21" t="s">
        <v>130</v>
      </c>
      <c r="M177" s="21" t="s">
        <v>46</v>
      </c>
      <c r="N177" s="426"/>
      <c r="O177" s="421" t="str">
        <f ca="1">"TOTAL COSTS (A+B+C+D+E) - " &amp; OFFSET(O177,-26,0)</f>
        <v xml:space="preserve">TOTAL COSTS (A+B+C+D+E) - </v>
      </c>
      <c r="P177" s="422"/>
      <c r="Q177" s="422"/>
      <c r="R177" s="339"/>
      <c r="S177" s="340"/>
      <c r="T177" s="341">
        <f t="shared" ca="1" si="19"/>
        <v>0</v>
      </c>
      <c r="U177" s="342">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row>
    <row r="178" spans="1:23" ht="13.5" thickTop="1" thickBot="1"/>
    <row r="179" spans="1:23" ht="13.5" thickTop="1" thickBot="1">
      <c r="A179" s="21" t="str">
        <f ca="1">IF(ISNUMBER(OFFSET(A179,0,13)),"START",IF(AND(OFFSET(A179,0,2)=0,OFFSET(A179,0,4)="GT"),"END",""))&amp;OFFSET(A179,0,1)</f>
        <v>STARTWP006</v>
      </c>
      <c r="B179" s="21" t="str">
        <f ca="1">IF(ISNUMBER(OFFSET(B179,0,12)),"WP" &amp; TEXT(OFFSET(B179,0,12),"000"),OFFSET(B179,-1,0))</f>
        <v>WP006</v>
      </c>
      <c r="N179" s="62">
        <v>6</v>
      </c>
      <c r="O179" s="423" t="str">
        <f ca="1">""&amp;VLOOKUP(OFFSET(N179,1,0),'Work Packages List'!A:B,2,FALSE)</f>
        <v/>
      </c>
      <c r="P179" s="423"/>
      <c r="Q179" s="424"/>
      <c r="R179" s="310"/>
      <c r="S179" s="311"/>
      <c r="T179" s="312"/>
      <c r="U179" s="313"/>
    </row>
    <row r="180" spans="1:23">
      <c r="A180" s="21" t="str">
        <f t="shared" ref="A180:A211" ca="1" si="20">IF(ISNUMBER(OFFSET(A180,0,12)),"START",IF(AND(OFFSET(A180,0,2)=0,OFFSET(A180,0,4)="GT"),"END",""))&amp;OFFSET(A180,0,1)</f>
        <v>WP006</v>
      </c>
      <c r="B180" s="21" t="str">
        <f t="shared" ref="B180:B211" ca="1" si="21">IF(ISNUMBER(OFFSET(B180,0,11)),"WP" &amp; TEXT(OFFSET(B180,0,11),"000"),OFFSET(B180,-1,0))</f>
        <v>WP006</v>
      </c>
      <c r="C180" s="21">
        <v>4</v>
      </c>
      <c r="D180" s="21" t="s">
        <v>73</v>
      </c>
      <c r="H180" s="21" t="s">
        <v>74</v>
      </c>
      <c r="I180" s="21" t="s">
        <v>75</v>
      </c>
      <c r="M180" s="21" t="s">
        <v>46</v>
      </c>
      <c r="N180" s="425" t="str">
        <f ca="1">"WP " &amp; TEXT(OFFSET(N180,-1,0),"000")</f>
        <v>WP 006</v>
      </c>
      <c r="O180" s="398" t="s">
        <v>37</v>
      </c>
      <c r="P180" s="399"/>
      <c r="Q180" s="427"/>
      <c r="R180" s="314">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15"/>
      <c r="T180" s="316">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17">
        <f t="shared" ref="U180:U207" ca="1" si="2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row>
    <row r="181" spans="1:23">
      <c r="A181" s="21" t="str">
        <f t="shared" ca="1" si="20"/>
        <v>WP006</v>
      </c>
      <c r="B181" s="21" t="str">
        <f t="shared" ca="1" si="21"/>
        <v>WP006</v>
      </c>
      <c r="C181" s="21">
        <v>6</v>
      </c>
      <c r="D181" s="21" t="s">
        <v>76</v>
      </c>
      <c r="J181" s="161" t="s">
        <v>75</v>
      </c>
      <c r="K181" s="21" t="s">
        <v>77</v>
      </c>
      <c r="M181" s="21" t="s">
        <v>46</v>
      </c>
      <c r="N181" s="425"/>
      <c r="O181" s="27"/>
      <c r="P181" s="396" t="s">
        <v>78</v>
      </c>
      <c r="Q181" s="428"/>
      <c r="R181" s="318">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19"/>
      <c r="T181" s="320">
        <f t="shared" ref="T181:T211" ca="1" si="23">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21">
        <f t="shared" ca="1" si="22"/>
        <v>0</v>
      </c>
      <c r="W181" s="23"/>
    </row>
    <row r="182" spans="1:23">
      <c r="A182" s="21" t="str">
        <f t="shared" ca="1" si="20"/>
        <v>WP006</v>
      </c>
      <c r="B182" s="21" t="str">
        <f t="shared" ca="1" si="21"/>
        <v>WP006</v>
      </c>
      <c r="C182" s="21">
        <v>7</v>
      </c>
      <c r="D182" s="21" t="s">
        <v>79</v>
      </c>
      <c r="L182" s="21" t="s">
        <v>77</v>
      </c>
      <c r="M182" s="21" t="s">
        <v>80</v>
      </c>
      <c r="N182" s="425"/>
      <c r="O182" s="28"/>
      <c r="P182" s="29"/>
      <c r="Q182" s="30" t="str">
        <f>EMP_TYPE1</f>
        <v>Type 1</v>
      </c>
      <c r="R182" s="322"/>
      <c r="S182" s="323"/>
      <c r="T182" s="324">
        <f t="shared" ca="1" si="23"/>
        <v>0</v>
      </c>
      <c r="U182" s="321">
        <f t="shared" ca="1" si="22"/>
        <v>0</v>
      </c>
      <c r="W182" s="23"/>
    </row>
    <row r="183" spans="1:23">
      <c r="A183" s="21" t="str">
        <f t="shared" ca="1" si="20"/>
        <v>WP006</v>
      </c>
      <c r="B183" s="21" t="str">
        <f t="shared" ca="1" si="21"/>
        <v>WP006</v>
      </c>
      <c r="C183" s="21">
        <v>7</v>
      </c>
      <c r="D183" s="21" t="s">
        <v>81</v>
      </c>
      <c r="L183" s="21" t="s">
        <v>77</v>
      </c>
      <c r="M183" s="21" t="s">
        <v>80</v>
      </c>
      <c r="N183" s="425"/>
      <c r="O183" s="28"/>
      <c r="P183" s="29"/>
      <c r="Q183" s="30" t="str">
        <f>EMP_TYPE2</f>
        <v>Type 2</v>
      </c>
      <c r="R183" s="322"/>
      <c r="S183" s="323"/>
      <c r="T183" s="324">
        <f t="shared" ca="1" si="23"/>
        <v>0</v>
      </c>
      <c r="U183" s="321">
        <f t="shared" ca="1" si="22"/>
        <v>0</v>
      </c>
      <c r="W183" s="23"/>
    </row>
    <row r="184" spans="1:23">
      <c r="A184" s="21" t="str">
        <f t="shared" ca="1" si="20"/>
        <v>WP006</v>
      </c>
      <c r="B184" s="21" t="str">
        <f t="shared" ca="1" si="21"/>
        <v>WP006</v>
      </c>
      <c r="C184" s="21">
        <v>7</v>
      </c>
      <c r="D184" s="21" t="s">
        <v>82</v>
      </c>
      <c r="L184" s="21" t="s">
        <v>77</v>
      </c>
      <c r="M184" s="21" t="s">
        <v>80</v>
      </c>
      <c r="N184" s="425"/>
      <c r="O184" s="28"/>
      <c r="P184" s="29"/>
      <c r="Q184" s="30" t="str">
        <f>EMP_TYPE3</f>
        <v>Type 3</v>
      </c>
      <c r="R184" s="322"/>
      <c r="S184" s="323"/>
      <c r="T184" s="324">
        <f t="shared" ca="1" si="23"/>
        <v>0</v>
      </c>
      <c r="U184" s="321">
        <f t="shared" ca="1" si="22"/>
        <v>0</v>
      </c>
      <c r="W184" s="23"/>
    </row>
    <row r="185" spans="1:23">
      <c r="A185" s="21" t="str">
        <f t="shared" ca="1" si="20"/>
        <v>WP006</v>
      </c>
      <c r="B185" s="21" t="str">
        <f t="shared" ca="1" si="21"/>
        <v>WP006</v>
      </c>
      <c r="C185" s="21">
        <v>7</v>
      </c>
      <c r="D185" s="21" t="s">
        <v>83</v>
      </c>
      <c r="L185" s="21" t="s">
        <v>77</v>
      </c>
      <c r="M185" s="21" t="s">
        <v>80</v>
      </c>
      <c r="N185" s="425"/>
      <c r="O185" s="28"/>
      <c r="P185" s="29"/>
      <c r="Q185" s="30" t="str">
        <f>EMP_TYPE4</f>
        <v>Type 4</v>
      </c>
      <c r="R185" s="322"/>
      <c r="S185" s="323"/>
      <c r="T185" s="324">
        <f t="shared" ca="1" si="23"/>
        <v>0</v>
      </c>
      <c r="U185" s="321">
        <f t="shared" ca="1" si="22"/>
        <v>0</v>
      </c>
      <c r="W185" s="23"/>
    </row>
    <row r="186" spans="1:23">
      <c r="A186" s="21" t="str">
        <f t="shared" ca="1" si="20"/>
        <v>WP006</v>
      </c>
      <c r="B186" s="21" t="str">
        <f t="shared" ca="1" si="21"/>
        <v>WP006</v>
      </c>
      <c r="C186" s="21">
        <v>7</v>
      </c>
      <c r="D186" s="21" t="s">
        <v>84</v>
      </c>
      <c r="L186" s="21" t="s">
        <v>77</v>
      </c>
      <c r="M186" s="21" t="s">
        <v>80</v>
      </c>
      <c r="N186" s="425"/>
      <c r="O186" s="28"/>
      <c r="P186" s="29"/>
      <c r="Q186" s="30" t="str">
        <f>EMP_OTHER</f>
        <v>Type 5</v>
      </c>
      <c r="R186" s="322"/>
      <c r="S186" s="323"/>
      <c r="T186" s="324">
        <f t="shared" ca="1" si="23"/>
        <v>0</v>
      </c>
      <c r="U186" s="321">
        <f t="shared" ca="1" si="22"/>
        <v>0</v>
      </c>
      <c r="W186" s="23"/>
    </row>
    <row r="187" spans="1:23">
      <c r="A187" s="21" t="str">
        <f t="shared" ca="1" si="20"/>
        <v>WP006</v>
      </c>
      <c r="B187" s="21" t="str">
        <f t="shared" ca="1" si="21"/>
        <v>WP006</v>
      </c>
      <c r="C187" s="21">
        <v>6</v>
      </c>
      <c r="D187" s="21" t="s">
        <v>85</v>
      </c>
      <c r="J187" s="161" t="s">
        <v>75</v>
      </c>
      <c r="M187" s="21" t="s">
        <v>80</v>
      </c>
      <c r="N187" s="425"/>
      <c r="O187" s="31"/>
      <c r="P187" s="418" t="s">
        <v>86</v>
      </c>
      <c r="Q187" s="429"/>
      <c r="R187" s="325"/>
      <c r="S187" s="326"/>
      <c r="T187" s="320">
        <f t="shared" ca="1" si="23"/>
        <v>0</v>
      </c>
      <c r="U187" s="321">
        <f t="shared" ca="1" si="22"/>
        <v>0</v>
      </c>
      <c r="W187" s="23"/>
    </row>
    <row r="188" spans="1:23">
      <c r="A188" s="21" t="str">
        <f t="shared" ca="1" si="20"/>
        <v>WP006</v>
      </c>
      <c r="B188" s="21" t="str">
        <f t="shared" ca="1" si="21"/>
        <v>WP006</v>
      </c>
      <c r="C188" s="21">
        <v>6</v>
      </c>
      <c r="D188" s="21" t="s">
        <v>87</v>
      </c>
      <c r="J188" s="161" t="s">
        <v>75</v>
      </c>
      <c r="M188" s="21" t="s">
        <v>80</v>
      </c>
      <c r="N188" s="425"/>
      <c r="O188" s="31"/>
      <c r="P188" s="418" t="s">
        <v>88</v>
      </c>
      <c r="Q188" s="429"/>
      <c r="R188" s="325"/>
      <c r="S188" s="326"/>
      <c r="T188" s="320">
        <f t="shared" ca="1" si="23"/>
        <v>0</v>
      </c>
      <c r="U188" s="321">
        <f t="shared" ca="1" si="22"/>
        <v>0</v>
      </c>
      <c r="W188" s="23"/>
    </row>
    <row r="189" spans="1:23">
      <c r="A189" s="21" t="str">
        <f t="shared" ca="1" si="20"/>
        <v>WP006</v>
      </c>
      <c r="B189" s="21" t="str">
        <f t="shared" ca="1" si="21"/>
        <v>WP006</v>
      </c>
      <c r="C189" s="21">
        <v>6</v>
      </c>
      <c r="D189" s="21" t="s">
        <v>89</v>
      </c>
      <c r="J189" s="161" t="s">
        <v>75</v>
      </c>
      <c r="M189" s="21" t="s">
        <v>80</v>
      </c>
      <c r="N189" s="425"/>
      <c r="O189" s="31"/>
      <c r="P189" s="418" t="s">
        <v>90</v>
      </c>
      <c r="Q189" s="429"/>
      <c r="R189" s="325"/>
      <c r="S189" s="326"/>
      <c r="T189" s="320">
        <f t="shared" ca="1" si="23"/>
        <v>0</v>
      </c>
      <c r="U189" s="321">
        <f t="shared" ca="1" si="22"/>
        <v>0</v>
      </c>
      <c r="W189" s="23"/>
    </row>
    <row r="190" spans="1:23">
      <c r="A190" s="21" t="str">
        <f t="shared" ca="1" si="20"/>
        <v>WP006</v>
      </c>
      <c r="B190" s="21" t="str">
        <f t="shared" ca="1" si="21"/>
        <v>WP006</v>
      </c>
      <c r="C190" s="21">
        <v>6</v>
      </c>
      <c r="D190" s="21" t="s">
        <v>91</v>
      </c>
      <c r="J190" s="161" t="s">
        <v>75</v>
      </c>
      <c r="M190" s="21" t="s">
        <v>80</v>
      </c>
      <c r="N190" s="425"/>
      <c r="O190" s="31"/>
      <c r="P190" s="418" t="s">
        <v>92</v>
      </c>
      <c r="Q190" s="429"/>
      <c r="R190" s="325"/>
      <c r="S190" s="326"/>
      <c r="T190" s="320">
        <f t="shared" ca="1" si="23"/>
        <v>0</v>
      </c>
      <c r="U190" s="321">
        <f t="shared" ca="1" si="22"/>
        <v>0</v>
      </c>
    </row>
    <row r="191" spans="1:23">
      <c r="A191" s="21" t="str">
        <f t="shared" ca="1" si="20"/>
        <v>WP006</v>
      </c>
      <c r="B191" s="21" t="str">
        <f t="shared" ca="1" si="21"/>
        <v>WP006</v>
      </c>
      <c r="C191" s="21">
        <v>4</v>
      </c>
      <c r="D191" s="21" t="s">
        <v>93</v>
      </c>
      <c r="H191" s="21" t="s">
        <v>74</v>
      </c>
      <c r="I191" s="21" t="s">
        <v>94</v>
      </c>
      <c r="M191" s="21" t="s">
        <v>80</v>
      </c>
      <c r="N191" s="425"/>
      <c r="O191" s="398" t="s">
        <v>65</v>
      </c>
      <c r="P191" s="399"/>
      <c r="Q191" s="399"/>
      <c r="R191" s="327"/>
      <c r="S191" s="328"/>
      <c r="T191" s="316">
        <f t="shared" ca="1" si="23"/>
        <v>0</v>
      </c>
      <c r="U191" s="317">
        <f t="shared" ca="1" si="22"/>
        <v>0</v>
      </c>
    </row>
    <row r="192" spans="1:23">
      <c r="A192" s="21" t="str">
        <f t="shared" ca="1" si="20"/>
        <v>WP006</v>
      </c>
      <c r="B192" s="21" t="str">
        <f t="shared" ca="1" si="21"/>
        <v>WP006</v>
      </c>
      <c r="C192" s="21">
        <v>4</v>
      </c>
      <c r="D192" s="21" t="s">
        <v>95</v>
      </c>
      <c r="H192" s="21" t="s">
        <v>74</v>
      </c>
      <c r="I192" s="21" t="s">
        <v>96</v>
      </c>
      <c r="M192" s="21" t="s">
        <v>46</v>
      </c>
      <c r="N192" s="425"/>
      <c r="O192" s="398" t="s">
        <v>97</v>
      </c>
      <c r="P192" s="399"/>
      <c r="Q192" s="399"/>
      <c r="R192" s="314"/>
      <c r="S192" s="315"/>
      <c r="T192" s="316">
        <f t="shared" ca="1" si="23"/>
        <v>0</v>
      </c>
      <c r="U192" s="317">
        <f t="shared" ca="1" si="22"/>
        <v>0</v>
      </c>
    </row>
    <row r="193" spans="1:21">
      <c r="A193" s="21" t="str">
        <f t="shared" ca="1" si="20"/>
        <v>WP006</v>
      </c>
      <c r="B193" s="21" t="str">
        <f t="shared" ca="1" si="21"/>
        <v>WP006</v>
      </c>
      <c r="C193" s="21">
        <v>6</v>
      </c>
      <c r="D193" s="21" t="s">
        <v>98</v>
      </c>
      <c r="J193" s="161" t="s">
        <v>96</v>
      </c>
      <c r="K193" s="21" t="s">
        <v>99</v>
      </c>
      <c r="M193" s="21" t="s">
        <v>46</v>
      </c>
      <c r="N193" s="425"/>
      <c r="O193" s="32"/>
      <c r="P193" s="429" t="s">
        <v>100</v>
      </c>
      <c r="Q193" s="429"/>
      <c r="R193" s="318"/>
      <c r="S193" s="319"/>
      <c r="T193" s="320">
        <f t="shared" ca="1" si="23"/>
        <v>0</v>
      </c>
      <c r="U193" s="321">
        <f t="shared" ca="1" si="22"/>
        <v>0</v>
      </c>
    </row>
    <row r="194" spans="1:21">
      <c r="A194" s="21" t="str">
        <f t="shared" ca="1" si="20"/>
        <v>WP006</v>
      </c>
      <c r="B194" s="21" t="str">
        <f t="shared" ca="1" si="21"/>
        <v>WP006</v>
      </c>
      <c r="C194" s="21">
        <v>7</v>
      </c>
      <c r="D194" s="21" t="s">
        <v>101</v>
      </c>
      <c r="L194" s="21" t="s">
        <v>99</v>
      </c>
      <c r="M194" s="21" t="s">
        <v>80</v>
      </c>
      <c r="N194" s="425"/>
      <c r="O194" s="33"/>
      <c r="P194" s="34"/>
      <c r="Q194" s="35" t="s">
        <v>102</v>
      </c>
      <c r="R194" s="322"/>
      <c r="S194" s="323"/>
      <c r="T194" s="324">
        <f t="shared" ca="1" si="23"/>
        <v>0</v>
      </c>
      <c r="U194" s="321">
        <f t="shared" ca="1" si="22"/>
        <v>0</v>
      </c>
    </row>
    <row r="195" spans="1:21">
      <c r="A195" s="21" t="str">
        <f t="shared" ca="1" si="20"/>
        <v>WP006</v>
      </c>
      <c r="B195" s="21" t="str">
        <f t="shared" ca="1" si="21"/>
        <v>WP006</v>
      </c>
      <c r="C195" s="21">
        <v>7</v>
      </c>
      <c r="D195" s="21" t="s">
        <v>103</v>
      </c>
      <c r="L195" s="21" t="s">
        <v>99</v>
      </c>
      <c r="M195" s="21" t="s">
        <v>80</v>
      </c>
      <c r="N195" s="425"/>
      <c r="O195" s="33"/>
      <c r="P195" s="34"/>
      <c r="Q195" s="35" t="s">
        <v>104</v>
      </c>
      <c r="R195" s="322"/>
      <c r="S195" s="323"/>
      <c r="T195" s="324">
        <f t="shared" ca="1" si="23"/>
        <v>0</v>
      </c>
      <c r="U195" s="321">
        <f t="shared" ca="1" si="22"/>
        <v>0</v>
      </c>
    </row>
    <row r="196" spans="1:21">
      <c r="A196" s="21" t="str">
        <f t="shared" ca="1" si="20"/>
        <v>WP006</v>
      </c>
      <c r="B196" s="21" t="str">
        <f t="shared" ca="1" si="21"/>
        <v>WP006</v>
      </c>
      <c r="C196" s="21">
        <v>7</v>
      </c>
      <c r="D196" s="21" t="s">
        <v>105</v>
      </c>
      <c r="L196" s="21" t="s">
        <v>99</v>
      </c>
      <c r="M196" s="21" t="s">
        <v>80</v>
      </c>
      <c r="N196" s="425"/>
      <c r="O196" s="33"/>
      <c r="P196" s="34"/>
      <c r="Q196" s="35" t="s">
        <v>106</v>
      </c>
      <c r="R196" s="322"/>
      <c r="S196" s="323"/>
      <c r="T196" s="324">
        <f t="shared" ca="1" si="23"/>
        <v>0</v>
      </c>
      <c r="U196" s="321">
        <f t="shared" ca="1" si="22"/>
        <v>0</v>
      </c>
    </row>
    <row r="197" spans="1:21">
      <c r="A197" s="21" t="str">
        <f t="shared" ca="1" si="20"/>
        <v>WP006</v>
      </c>
      <c r="B197" s="21" t="str">
        <f t="shared" ca="1" si="21"/>
        <v>WP006</v>
      </c>
      <c r="C197" s="21">
        <v>5</v>
      </c>
      <c r="D197" s="21" t="s">
        <v>107</v>
      </c>
      <c r="J197" s="161" t="s">
        <v>96</v>
      </c>
      <c r="M197" s="21" t="s">
        <v>80</v>
      </c>
      <c r="N197" s="425"/>
      <c r="O197" s="36"/>
      <c r="P197" s="429" t="s">
        <v>108</v>
      </c>
      <c r="Q197" s="429"/>
      <c r="R197" s="325"/>
      <c r="S197" s="326"/>
      <c r="T197" s="320">
        <f t="shared" ca="1" si="23"/>
        <v>0</v>
      </c>
      <c r="U197" s="321">
        <f t="shared" ca="1" si="22"/>
        <v>0</v>
      </c>
    </row>
    <row r="198" spans="1:21">
      <c r="A198" s="21" t="str">
        <f t="shared" ca="1" si="20"/>
        <v>WP006</v>
      </c>
      <c r="B198" s="21" t="str">
        <f t="shared" ca="1" si="21"/>
        <v>WP006</v>
      </c>
      <c r="C198" s="21">
        <v>6</v>
      </c>
      <c r="D198" s="21" t="s">
        <v>109</v>
      </c>
      <c r="J198" s="161" t="s">
        <v>96</v>
      </c>
      <c r="K198" s="21" t="s">
        <v>110</v>
      </c>
      <c r="M198" s="21" t="s">
        <v>46</v>
      </c>
      <c r="N198" s="425"/>
      <c r="O198" s="36"/>
      <c r="P198" s="429" t="s">
        <v>111</v>
      </c>
      <c r="Q198" s="429"/>
      <c r="R198" s="329"/>
      <c r="S198" s="319"/>
      <c r="T198" s="320">
        <f t="shared" ca="1" si="23"/>
        <v>0</v>
      </c>
      <c r="U198" s="321">
        <f t="shared" ca="1" si="22"/>
        <v>0</v>
      </c>
    </row>
    <row r="199" spans="1:21">
      <c r="A199" s="21" t="str">
        <f t="shared" ca="1" si="20"/>
        <v>WP006</v>
      </c>
      <c r="B199" s="21" t="str">
        <f t="shared" ca="1" si="21"/>
        <v>WP006</v>
      </c>
      <c r="C199" s="21">
        <v>7</v>
      </c>
      <c r="D199" s="21" t="s">
        <v>112</v>
      </c>
      <c r="L199" s="21" t="s">
        <v>110</v>
      </c>
      <c r="M199" s="21" t="s">
        <v>80</v>
      </c>
      <c r="N199" s="425"/>
      <c r="O199" s="36"/>
      <c r="P199" s="388"/>
      <c r="Q199" s="35" t="s">
        <v>113</v>
      </c>
      <c r="R199" s="322"/>
      <c r="S199" s="323"/>
      <c r="T199" s="324">
        <f t="shared" ca="1" si="23"/>
        <v>0</v>
      </c>
      <c r="U199" s="321">
        <f t="shared" ca="1" si="22"/>
        <v>0</v>
      </c>
    </row>
    <row r="200" spans="1:21">
      <c r="A200" s="21" t="str">
        <f t="shared" ca="1" si="20"/>
        <v>WP006</v>
      </c>
      <c r="B200" s="21" t="str">
        <f t="shared" ca="1" si="21"/>
        <v>WP006</v>
      </c>
      <c r="C200" s="21">
        <v>7</v>
      </c>
      <c r="D200" s="21" t="s">
        <v>114</v>
      </c>
      <c r="L200" s="21" t="s">
        <v>110</v>
      </c>
      <c r="M200" s="21" t="s">
        <v>80</v>
      </c>
      <c r="N200" s="425"/>
      <c r="O200" s="36"/>
      <c r="P200" s="388"/>
      <c r="Q200" s="35" t="s">
        <v>115</v>
      </c>
      <c r="R200" s="322"/>
      <c r="S200" s="323"/>
      <c r="T200" s="324">
        <f t="shared" ca="1" si="23"/>
        <v>0</v>
      </c>
      <c r="U200" s="321">
        <f t="shared" ca="1" si="22"/>
        <v>0</v>
      </c>
    </row>
    <row r="201" spans="1:21">
      <c r="A201" s="21" t="str">
        <f t="shared" ca="1" si="20"/>
        <v>WP006</v>
      </c>
      <c r="B201" s="21" t="str">
        <f t="shared" ca="1" si="21"/>
        <v>WP006</v>
      </c>
      <c r="C201" s="21">
        <v>7</v>
      </c>
      <c r="D201" s="21" t="s">
        <v>116</v>
      </c>
      <c r="L201" s="21" t="s">
        <v>110</v>
      </c>
      <c r="M201" s="21" t="s">
        <v>80</v>
      </c>
      <c r="N201" s="425"/>
      <c r="O201" s="36"/>
      <c r="P201" s="388"/>
      <c r="Q201" s="35" t="s">
        <v>117</v>
      </c>
      <c r="R201" s="322"/>
      <c r="S201" s="323"/>
      <c r="T201" s="324">
        <f t="shared" ca="1" si="23"/>
        <v>0</v>
      </c>
      <c r="U201" s="321">
        <f t="shared" ca="1" si="22"/>
        <v>0</v>
      </c>
    </row>
    <row r="202" spans="1:21">
      <c r="A202" s="21" t="str">
        <f t="shared" ca="1" si="20"/>
        <v>WP006</v>
      </c>
      <c r="B202" s="21" t="str">
        <f t="shared" ca="1" si="21"/>
        <v>WP006</v>
      </c>
      <c r="C202" s="21">
        <v>7</v>
      </c>
      <c r="D202" s="21" t="s">
        <v>118</v>
      </c>
      <c r="L202" s="21" t="s">
        <v>110</v>
      </c>
      <c r="M202" s="21" t="s">
        <v>80</v>
      </c>
      <c r="N202" s="425"/>
      <c r="O202" s="36"/>
      <c r="P202" s="388"/>
      <c r="Q202" s="35" t="s">
        <v>119</v>
      </c>
      <c r="R202" s="322"/>
      <c r="S202" s="323"/>
      <c r="T202" s="324">
        <f t="shared" ca="1" si="23"/>
        <v>0</v>
      </c>
      <c r="U202" s="321">
        <f t="shared" ca="1" si="22"/>
        <v>0</v>
      </c>
    </row>
    <row r="203" spans="1:21">
      <c r="A203" s="21" t="str">
        <f t="shared" ca="1" si="20"/>
        <v>WP006</v>
      </c>
      <c r="B203" s="21" t="str">
        <f t="shared" ca="1" si="21"/>
        <v>WP006</v>
      </c>
      <c r="C203" s="21">
        <v>7</v>
      </c>
      <c r="D203" s="21" t="s">
        <v>120</v>
      </c>
      <c r="L203" s="21" t="s">
        <v>110</v>
      </c>
      <c r="M203" s="21" t="s">
        <v>80</v>
      </c>
      <c r="N203" s="425"/>
      <c r="O203" s="36"/>
      <c r="P203" s="388"/>
      <c r="Q203" s="35" t="s">
        <v>121</v>
      </c>
      <c r="R203" s="322"/>
      <c r="S203" s="323"/>
      <c r="T203" s="324">
        <f t="shared" ca="1" si="23"/>
        <v>0</v>
      </c>
      <c r="U203" s="321">
        <f t="shared" ca="1" si="22"/>
        <v>0</v>
      </c>
    </row>
    <row r="204" spans="1:21">
      <c r="A204" s="21" t="str">
        <f t="shared" ca="1" si="20"/>
        <v>WP006</v>
      </c>
      <c r="B204" s="21" t="str">
        <f t="shared" ca="1" si="21"/>
        <v>WP006</v>
      </c>
      <c r="C204" s="21">
        <v>7</v>
      </c>
      <c r="D204" s="21" t="s">
        <v>122</v>
      </c>
      <c r="L204" s="21" t="s">
        <v>110</v>
      </c>
      <c r="M204" s="21" t="s">
        <v>80</v>
      </c>
      <c r="N204" s="425"/>
      <c r="O204" s="37"/>
      <c r="P204" s="388"/>
      <c r="Q204" s="35" t="s">
        <v>123</v>
      </c>
      <c r="R204" s="322"/>
      <c r="S204" s="323"/>
      <c r="T204" s="324">
        <f t="shared" ca="1" si="23"/>
        <v>0</v>
      </c>
      <c r="U204" s="321">
        <f t="shared" ca="1" si="22"/>
        <v>0</v>
      </c>
    </row>
    <row r="205" spans="1:21">
      <c r="A205" s="21" t="str">
        <f t="shared" ca="1" si="20"/>
        <v>WP006</v>
      </c>
      <c r="B205" s="21" t="str">
        <f t="shared" ca="1" si="21"/>
        <v>WP006</v>
      </c>
      <c r="C205" s="21">
        <v>4</v>
      </c>
      <c r="D205" s="21" t="s">
        <v>124</v>
      </c>
      <c r="H205" s="21" t="s">
        <v>74</v>
      </c>
      <c r="I205" s="21" t="s">
        <v>125</v>
      </c>
      <c r="M205" s="21" t="s">
        <v>46</v>
      </c>
      <c r="N205" s="425"/>
      <c r="O205" s="398" t="s">
        <v>126</v>
      </c>
      <c r="P205" s="399"/>
      <c r="Q205" s="399"/>
      <c r="R205" s="314"/>
      <c r="S205" s="315"/>
      <c r="T205" s="316">
        <f t="shared" ca="1" si="23"/>
        <v>0</v>
      </c>
      <c r="U205" s="317">
        <f t="shared" ca="1" si="22"/>
        <v>0</v>
      </c>
    </row>
    <row r="206" spans="1:21">
      <c r="A206" s="21" t="str">
        <f t="shared" ca="1" si="20"/>
        <v>WP006</v>
      </c>
      <c r="B206" s="21" t="str">
        <f t="shared" ca="1" si="21"/>
        <v>WP006</v>
      </c>
      <c r="C206" s="21">
        <v>5</v>
      </c>
      <c r="D206" s="21" t="s">
        <v>127</v>
      </c>
      <c r="J206" s="161" t="s">
        <v>125</v>
      </c>
      <c r="M206" s="21" t="s">
        <v>80</v>
      </c>
      <c r="N206" s="425"/>
      <c r="O206" s="38"/>
      <c r="P206" s="417" t="s">
        <v>128</v>
      </c>
      <c r="Q206" s="418"/>
      <c r="R206" s="322"/>
      <c r="S206" s="323"/>
      <c r="T206" s="324">
        <f t="shared" ca="1" si="23"/>
        <v>0</v>
      </c>
      <c r="U206" s="321">
        <f t="shared" ca="1" si="22"/>
        <v>0</v>
      </c>
    </row>
    <row r="207" spans="1:21">
      <c r="A207" s="21" t="str">
        <f t="shared" ca="1" si="20"/>
        <v>WP006</v>
      </c>
      <c r="B207" s="21" t="str">
        <f t="shared" ca="1" si="21"/>
        <v>WP006</v>
      </c>
      <c r="C207" s="21">
        <v>2</v>
      </c>
      <c r="D207" s="21" t="s">
        <v>129</v>
      </c>
      <c r="F207" s="21" t="s">
        <v>130</v>
      </c>
      <c r="G207" s="21" t="s">
        <v>74</v>
      </c>
      <c r="M207" s="21" t="s">
        <v>46</v>
      </c>
      <c r="N207" s="425"/>
      <c r="O207" s="419" t="s">
        <v>131</v>
      </c>
      <c r="P207" s="420"/>
      <c r="Q207" s="420"/>
      <c r="R207" s="330"/>
      <c r="S207" s="331"/>
      <c r="T207" s="332">
        <f t="shared" ca="1" si="23"/>
        <v>0</v>
      </c>
      <c r="U207" s="333">
        <f t="shared" ca="1" si="22"/>
        <v>0</v>
      </c>
    </row>
    <row r="208" spans="1:21">
      <c r="A208" s="21" t="str">
        <f t="shared" ca="1" si="20"/>
        <v>WP006</v>
      </c>
      <c r="B208" s="21" t="str">
        <f t="shared" ca="1" si="21"/>
        <v>WP006</v>
      </c>
      <c r="C208" s="21">
        <v>1</v>
      </c>
      <c r="N208" s="425"/>
      <c r="O208" s="39"/>
      <c r="P208" s="30"/>
      <c r="Q208" s="30"/>
      <c r="R208" s="334"/>
      <c r="S208" s="335"/>
      <c r="T208" s="324"/>
      <c r="U208" s="321"/>
    </row>
    <row r="209" spans="1:23">
      <c r="A209" s="21" t="str">
        <f t="shared" ca="1" si="20"/>
        <v>WP006</v>
      </c>
      <c r="B209" s="21" t="str">
        <f t="shared" ca="1" si="21"/>
        <v>WP006</v>
      </c>
      <c r="C209" s="21">
        <v>2</v>
      </c>
      <c r="D209" s="21" t="s">
        <v>132</v>
      </c>
      <c r="F209" s="21" t="s">
        <v>130</v>
      </c>
      <c r="M209" s="21" t="s">
        <v>133</v>
      </c>
      <c r="N209" s="425"/>
      <c r="O209" s="398" t="s">
        <v>134</v>
      </c>
      <c r="P209" s="399"/>
      <c r="Q209" s="399"/>
      <c r="R209" s="336"/>
      <c r="S209" s="337"/>
      <c r="T209" s="338">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17">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row>
    <row r="210" spans="1:23">
      <c r="A210" s="21" t="str">
        <f t="shared" ca="1" si="20"/>
        <v>WP006</v>
      </c>
      <c r="B210" s="21" t="str">
        <f t="shared" ca="1" si="21"/>
        <v>WP006</v>
      </c>
      <c r="C210" s="21">
        <v>1</v>
      </c>
      <c r="N210" s="425"/>
      <c r="O210" s="40"/>
      <c r="P210" s="388"/>
      <c r="Q210" s="388"/>
      <c r="R210" s="334"/>
      <c r="S210" s="335"/>
      <c r="T210" s="324"/>
      <c r="U210" s="321"/>
    </row>
    <row r="211" spans="1:23" ht="12.75" thickBot="1">
      <c r="A211" s="21" t="str">
        <f t="shared" ca="1" si="20"/>
        <v>ENDWP006</v>
      </c>
      <c r="B211" s="21" t="str">
        <f t="shared" ca="1" si="21"/>
        <v>WP006</v>
      </c>
      <c r="C211" s="21">
        <v>0</v>
      </c>
      <c r="D211" s="21" t="s">
        <v>135</v>
      </c>
      <c r="E211" s="21" t="s">
        <v>130</v>
      </c>
      <c r="M211" s="21" t="s">
        <v>46</v>
      </c>
      <c r="N211" s="426"/>
      <c r="O211" s="421" t="str">
        <f ca="1">"TOTAL COSTS (A+B+C+D+E) - " &amp; OFFSET(O211,-26,0)</f>
        <v xml:space="preserve">TOTAL COSTS (A+B+C+D+E) - </v>
      </c>
      <c r="P211" s="422"/>
      <c r="Q211" s="422"/>
      <c r="R211" s="339"/>
      <c r="S211" s="340"/>
      <c r="T211" s="341">
        <f t="shared" ca="1" si="23"/>
        <v>0</v>
      </c>
      <c r="U211" s="342">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row>
    <row r="212" spans="1:23" ht="13.5" thickTop="1" thickBot="1"/>
    <row r="213" spans="1:23" ht="13.5" thickTop="1" thickBot="1">
      <c r="A213" s="21" t="str">
        <f ca="1">IF(ISNUMBER(OFFSET(A213,0,13)),"START",IF(AND(OFFSET(A213,0,2)=0,OFFSET(A213,0,4)="GT"),"END",""))&amp;OFFSET(A213,0,1)</f>
        <v>STARTWP007</v>
      </c>
      <c r="B213" s="21" t="str">
        <f ca="1">IF(ISNUMBER(OFFSET(B213,0,12)),"WP" &amp; TEXT(OFFSET(B213,0,12),"000"),OFFSET(B213,-1,0))</f>
        <v>WP007</v>
      </c>
      <c r="N213" s="62">
        <v>7</v>
      </c>
      <c r="O213" s="423" t="str">
        <f ca="1">""&amp;VLOOKUP(OFFSET(N213,1,0),'Work Packages List'!A:B,2,FALSE)</f>
        <v/>
      </c>
      <c r="P213" s="423"/>
      <c r="Q213" s="424"/>
      <c r="R213" s="310"/>
      <c r="S213" s="311"/>
      <c r="T213" s="312"/>
      <c r="U213" s="313"/>
    </row>
    <row r="214" spans="1:23">
      <c r="A214" s="21" t="str">
        <f t="shared" ref="A214:A245" ca="1" si="24">IF(ISNUMBER(OFFSET(A214,0,12)),"START",IF(AND(OFFSET(A214,0,2)=0,OFFSET(A214,0,4)="GT"),"END",""))&amp;OFFSET(A214,0,1)</f>
        <v>WP007</v>
      </c>
      <c r="B214" s="21" t="str">
        <f t="shared" ref="B214:B245" ca="1" si="25">IF(ISNUMBER(OFFSET(B214,0,11)),"WP" &amp; TEXT(OFFSET(B214,0,11),"000"),OFFSET(B214,-1,0))</f>
        <v>WP007</v>
      </c>
      <c r="C214" s="21">
        <v>4</v>
      </c>
      <c r="D214" s="21" t="s">
        <v>73</v>
      </c>
      <c r="H214" s="21" t="s">
        <v>74</v>
      </c>
      <c r="I214" s="21" t="s">
        <v>75</v>
      </c>
      <c r="M214" s="21" t="s">
        <v>46</v>
      </c>
      <c r="N214" s="425" t="str">
        <f ca="1">"WP " &amp; TEXT(OFFSET(N214,-1,0),"000")</f>
        <v>WP 007</v>
      </c>
      <c r="O214" s="398" t="s">
        <v>37</v>
      </c>
      <c r="P214" s="399"/>
      <c r="Q214" s="427"/>
      <c r="R214" s="314">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15"/>
      <c r="T214" s="316">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17">
        <f t="shared" ref="U214:U241" ca="1" si="26">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row>
    <row r="215" spans="1:23">
      <c r="A215" s="21" t="str">
        <f t="shared" ca="1" si="24"/>
        <v>WP007</v>
      </c>
      <c r="B215" s="21" t="str">
        <f t="shared" ca="1" si="25"/>
        <v>WP007</v>
      </c>
      <c r="C215" s="21">
        <v>6</v>
      </c>
      <c r="D215" s="21" t="s">
        <v>76</v>
      </c>
      <c r="J215" s="161" t="s">
        <v>75</v>
      </c>
      <c r="K215" s="21" t="s">
        <v>77</v>
      </c>
      <c r="M215" s="21" t="s">
        <v>46</v>
      </c>
      <c r="N215" s="425"/>
      <c r="O215" s="27"/>
      <c r="P215" s="396" t="s">
        <v>78</v>
      </c>
      <c r="Q215" s="428"/>
      <c r="R215" s="318">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19"/>
      <c r="T215" s="320">
        <f t="shared" ref="T215:T245" ca="1" si="27">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21">
        <f t="shared" ca="1" si="26"/>
        <v>0</v>
      </c>
      <c r="W215" s="23"/>
    </row>
    <row r="216" spans="1:23">
      <c r="A216" s="21" t="str">
        <f t="shared" ca="1" si="24"/>
        <v>WP007</v>
      </c>
      <c r="B216" s="21" t="str">
        <f t="shared" ca="1" si="25"/>
        <v>WP007</v>
      </c>
      <c r="C216" s="21">
        <v>7</v>
      </c>
      <c r="D216" s="21" t="s">
        <v>79</v>
      </c>
      <c r="L216" s="21" t="s">
        <v>77</v>
      </c>
      <c r="M216" s="21" t="s">
        <v>80</v>
      </c>
      <c r="N216" s="425"/>
      <c r="O216" s="28"/>
      <c r="P216" s="29"/>
      <c r="Q216" s="30" t="str">
        <f>EMP_TYPE1</f>
        <v>Type 1</v>
      </c>
      <c r="R216" s="322"/>
      <c r="S216" s="323"/>
      <c r="T216" s="324">
        <f t="shared" ca="1" si="27"/>
        <v>0</v>
      </c>
      <c r="U216" s="321">
        <f t="shared" ca="1" si="26"/>
        <v>0</v>
      </c>
      <c r="W216" s="23"/>
    </row>
    <row r="217" spans="1:23">
      <c r="A217" s="21" t="str">
        <f t="shared" ca="1" si="24"/>
        <v>WP007</v>
      </c>
      <c r="B217" s="21" t="str">
        <f t="shared" ca="1" si="25"/>
        <v>WP007</v>
      </c>
      <c r="C217" s="21">
        <v>7</v>
      </c>
      <c r="D217" s="21" t="s">
        <v>81</v>
      </c>
      <c r="L217" s="21" t="s">
        <v>77</v>
      </c>
      <c r="M217" s="21" t="s">
        <v>80</v>
      </c>
      <c r="N217" s="425"/>
      <c r="O217" s="28"/>
      <c r="P217" s="29"/>
      <c r="Q217" s="30" t="str">
        <f>EMP_TYPE2</f>
        <v>Type 2</v>
      </c>
      <c r="R217" s="322"/>
      <c r="S217" s="323"/>
      <c r="T217" s="324">
        <f t="shared" ca="1" si="27"/>
        <v>0</v>
      </c>
      <c r="U217" s="321">
        <f t="shared" ca="1" si="26"/>
        <v>0</v>
      </c>
      <c r="W217" s="23"/>
    </row>
    <row r="218" spans="1:23">
      <c r="A218" s="21" t="str">
        <f t="shared" ca="1" si="24"/>
        <v>WP007</v>
      </c>
      <c r="B218" s="21" t="str">
        <f t="shared" ca="1" si="25"/>
        <v>WP007</v>
      </c>
      <c r="C218" s="21">
        <v>7</v>
      </c>
      <c r="D218" s="21" t="s">
        <v>82</v>
      </c>
      <c r="L218" s="21" t="s">
        <v>77</v>
      </c>
      <c r="M218" s="21" t="s">
        <v>80</v>
      </c>
      <c r="N218" s="425"/>
      <c r="O218" s="28"/>
      <c r="P218" s="29"/>
      <c r="Q218" s="30" t="str">
        <f>EMP_TYPE3</f>
        <v>Type 3</v>
      </c>
      <c r="R218" s="322"/>
      <c r="S218" s="323"/>
      <c r="T218" s="324">
        <f t="shared" ca="1" si="27"/>
        <v>0</v>
      </c>
      <c r="U218" s="321">
        <f t="shared" ca="1" si="26"/>
        <v>0</v>
      </c>
      <c r="W218" s="23"/>
    </row>
    <row r="219" spans="1:23">
      <c r="A219" s="21" t="str">
        <f t="shared" ca="1" si="24"/>
        <v>WP007</v>
      </c>
      <c r="B219" s="21" t="str">
        <f t="shared" ca="1" si="25"/>
        <v>WP007</v>
      </c>
      <c r="C219" s="21">
        <v>7</v>
      </c>
      <c r="D219" s="21" t="s">
        <v>83</v>
      </c>
      <c r="L219" s="21" t="s">
        <v>77</v>
      </c>
      <c r="M219" s="21" t="s">
        <v>80</v>
      </c>
      <c r="N219" s="425"/>
      <c r="O219" s="28"/>
      <c r="P219" s="29"/>
      <c r="Q219" s="30" t="str">
        <f>EMP_TYPE4</f>
        <v>Type 4</v>
      </c>
      <c r="R219" s="322"/>
      <c r="S219" s="323"/>
      <c r="T219" s="324">
        <f t="shared" ca="1" si="27"/>
        <v>0</v>
      </c>
      <c r="U219" s="321">
        <f t="shared" ca="1" si="26"/>
        <v>0</v>
      </c>
      <c r="W219" s="23"/>
    </row>
    <row r="220" spans="1:23">
      <c r="A220" s="21" t="str">
        <f t="shared" ca="1" si="24"/>
        <v>WP007</v>
      </c>
      <c r="B220" s="21" t="str">
        <f t="shared" ca="1" si="25"/>
        <v>WP007</v>
      </c>
      <c r="C220" s="21">
        <v>7</v>
      </c>
      <c r="D220" s="21" t="s">
        <v>84</v>
      </c>
      <c r="L220" s="21" t="s">
        <v>77</v>
      </c>
      <c r="M220" s="21" t="s">
        <v>80</v>
      </c>
      <c r="N220" s="425"/>
      <c r="O220" s="28"/>
      <c r="P220" s="29"/>
      <c r="Q220" s="30" t="str">
        <f>EMP_OTHER</f>
        <v>Type 5</v>
      </c>
      <c r="R220" s="322"/>
      <c r="S220" s="323"/>
      <c r="T220" s="324">
        <f t="shared" ca="1" si="27"/>
        <v>0</v>
      </c>
      <c r="U220" s="321">
        <f t="shared" ca="1" si="26"/>
        <v>0</v>
      </c>
      <c r="W220" s="23"/>
    </row>
    <row r="221" spans="1:23">
      <c r="A221" s="21" t="str">
        <f t="shared" ca="1" si="24"/>
        <v>WP007</v>
      </c>
      <c r="B221" s="21" t="str">
        <f t="shared" ca="1" si="25"/>
        <v>WP007</v>
      </c>
      <c r="C221" s="21">
        <v>6</v>
      </c>
      <c r="D221" s="21" t="s">
        <v>85</v>
      </c>
      <c r="J221" s="161" t="s">
        <v>75</v>
      </c>
      <c r="M221" s="21" t="s">
        <v>80</v>
      </c>
      <c r="N221" s="425"/>
      <c r="O221" s="31"/>
      <c r="P221" s="418" t="s">
        <v>86</v>
      </c>
      <c r="Q221" s="429"/>
      <c r="R221" s="325"/>
      <c r="S221" s="326"/>
      <c r="T221" s="320">
        <f t="shared" ca="1" si="27"/>
        <v>0</v>
      </c>
      <c r="U221" s="321">
        <f t="shared" ca="1" si="26"/>
        <v>0</v>
      </c>
      <c r="W221" s="23"/>
    </row>
    <row r="222" spans="1:23">
      <c r="A222" s="21" t="str">
        <f t="shared" ca="1" si="24"/>
        <v>WP007</v>
      </c>
      <c r="B222" s="21" t="str">
        <f t="shared" ca="1" si="25"/>
        <v>WP007</v>
      </c>
      <c r="C222" s="21">
        <v>6</v>
      </c>
      <c r="D222" s="21" t="s">
        <v>87</v>
      </c>
      <c r="J222" s="161" t="s">
        <v>75</v>
      </c>
      <c r="M222" s="21" t="s">
        <v>80</v>
      </c>
      <c r="N222" s="425"/>
      <c r="O222" s="31"/>
      <c r="P222" s="418" t="s">
        <v>88</v>
      </c>
      <c r="Q222" s="429"/>
      <c r="R222" s="325"/>
      <c r="S222" s="326"/>
      <c r="T222" s="320">
        <f t="shared" ca="1" si="27"/>
        <v>0</v>
      </c>
      <c r="U222" s="321">
        <f t="shared" ca="1" si="26"/>
        <v>0</v>
      </c>
      <c r="W222" s="23"/>
    </row>
    <row r="223" spans="1:23">
      <c r="A223" s="21" t="str">
        <f t="shared" ca="1" si="24"/>
        <v>WP007</v>
      </c>
      <c r="B223" s="21" t="str">
        <f t="shared" ca="1" si="25"/>
        <v>WP007</v>
      </c>
      <c r="C223" s="21">
        <v>6</v>
      </c>
      <c r="D223" s="21" t="s">
        <v>89</v>
      </c>
      <c r="J223" s="161" t="s">
        <v>75</v>
      </c>
      <c r="M223" s="21" t="s">
        <v>80</v>
      </c>
      <c r="N223" s="425"/>
      <c r="O223" s="31"/>
      <c r="P223" s="418" t="s">
        <v>90</v>
      </c>
      <c r="Q223" s="429"/>
      <c r="R223" s="325"/>
      <c r="S223" s="326"/>
      <c r="T223" s="320">
        <f t="shared" ca="1" si="27"/>
        <v>0</v>
      </c>
      <c r="U223" s="321">
        <f t="shared" ca="1" si="26"/>
        <v>0</v>
      </c>
      <c r="W223" s="23"/>
    </row>
    <row r="224" spans="1:23">
      <c r="A224" s="21" t="str">
        <f t="shared" ca="1" si="24"/>
        <v>WP007</v>
      </c>
      <c r="B224" s="21" t="str">
        <f t="shared" ca="1" si="25"/>
        <v>WP007</v>
      </c>
      <c r="C224" s="21">
        <v>6</v>
      </c>
      <c r="D224" s="21" t="s">
        <v>91</v>
      </c>
      <c r="J224" s="161" t="s">
        <v>75</v>
      </c>
      <c r="M224" s="21" t="s">
        <v>80</v>
      </c>
      <c r="N224" s="425"/>
      <c r="O224" s="31"/>
      <c r="P224" s="418" t="s">
        <v>92</v>
      </c>
      <c r="Q224" s="429"/>
      <c r="R224" s="325"/>
      <c r="S224" s="326"/>
      <c r="T224" s="320">
        <f t="shared" ca="1" si="27"/>
        <v>0</v>
      </c>
      <c r="U224" s="321">
        <f t="shared" ca="1" si="26"/>
        <v>0</v>
      </c>
    </row>
    <row r="225" spans="1:21">
      <c r="A225" s="21" t="str">
        <f t="shared" ca="1" si="24"/>
        <v>WP007</v>
      </c>
      <c r="B225" s="21" t="str">
        <f t="shared" ca="1" si="25"/>
        <v>WP007</v>
      </c>
      <c r="C225" s="21">
        <v>4</v>
      </c>
      <c r="D225" s="21" t="s">
        <v>93</v>
      </c>
      <c r="H225" s="21" t="s">
        <v>74</v>
      </c>
      <c r="I225" s="21" t="s">
        <v>94</v>
      </c>
      <c r="M225" s="21" t="s">
        <v>80</v>
      </c>
      <c r="N225" s="425"/>
      <c r="O225" s="398" t="s">
        <v>65</v>
      </c>
      <c r="P225" s="399"/>
      <c r="Q225" s="399"/>
      <c r="R225" s="327"/>
      <c r="S225" s="328"/>
      <c r="T225" s="316">
        <f t="shared" ca="1" si="27"/>
        <v>0</v>
      </c>
      <c r="U225" s="317">
        <f t="shared" ca="1" si="26"/>
        <v>0</v>
      </c>
    </row>
    <row r="226" spans="1:21">
      <c r="A226" s="21" t="str">
        <f t="shared" ca="1" si="24"/>
        <v>WP007</v>
      </c>
      <c r="B226" s="21" t="str">
        <f t="shared" ca="1" si="25"/>
        <v>WP007</v>
      </c>
      <c r="C226" s="21">
        <v>4</v>
      </c>
      <c r="D226" s="21" t="s">
        <v>95</v>
      </c>
      <c r="H226" s="21" t="s">
        <v>74</v>
      </c>
      <c r="I226" s="21" t="s">
        <v>96</v>
      </c>
      <c r="M226" s="21" t="s">
        <v>46</v>
      </c>
      <c r="N226" s="425"/>
      <c r="O226" s="398" t="s">
        <v>97</v>
      </c>
      <c r="P226" s="399"/>
      <c r="Q226" s="399"/>
      <c r="R226" s="314"/>
      <c r="S226" s="315"/>
      <c r="T226" s="316">
        <f t="shared" ca="1" si="27"/>
        <v>0</v>
      </c>
      <c r="U226" s="317">
        <f t="shared" ca="1" si="26"/>
        <v>0</v>
      </c>
    </row>
    <row r="227" spans="1:21">
      <c r="A227" s="21" t="str">
        <f t="shared" ca="1" si="24"/>
        <v>WP007</v>
      </c>
      <c r="B227" s="21" t="str">
        <f t="shared" ca="1" si="25"/>
        <v>WP007</v>
      </c>
      <c r="C227" s="21">
        <v>6</v>
      </c>
      <c r="D227" s="21" t="s">
        <v>98</v>
      </c>
      <c r="J227" s="161" t="s">
        <v>96</v>
      </c>
      <c r="K227" s="21" t="s">
        <v>99</v>
      </c>
      <c r="M227" s="21" t="s">
        <v>46</v>
      </c>
      <c r="N227" s="425"/>
      <c r="O227" s="32"/>
      <c r="P227" s="429" t="s">
        <v>100</v>
      </c>
      <c r="Q227" s="429"/>
      <c r="R227" s="318"/>
      <c r="S227" s="319"/>
      <c r="T227" s="320">
        <f t="shared" ca="1" si="27"/>
        <v>0</v>
      </c>
      <c r="U227" s="321">
        <f t="shared" ca="1" si="26"/>
        <v>0</v>
      </c>
    </row>
    <row r="228" spans="1:21">
      <c r="A228" s="21" t="str">
        <f t="shared" ca="1" si="24"/>
        <v>WP007</v>
      </c>
      <c r="B228" s="21" t="str">
        <f t="shared" ca="1" si="25"/>
        <v>WP007</v>
      </c>
      <c r="C228" s="21">
        <v>7</v>
      </c>
      <c r="D228" s="21" t="s">
        <v>101</v>
      </c>
      <c r="L228" s="21" t="s">
        <v>99</v>
      </c>
      <c r="M228" s="21" t="s">
        <v>80</v>
      </c>
      <c r="N228" s="425"/>
      <c r="O228" s="33"/>
      <c r="P228" s="34"/>
      <c r="Q228" s="35" t="s">
        <v>102</v>
      </c>
      <c r="R228" s="322"/>
      <c r="S228" s="323"/>
      <c r="T228" s="324">
        <f t="shared" ca="1" si="27"/>
        <v>0</v>
      </c>
      <c r="U228" s="321">
        <f t="shared" ca="1" si="26"/>
        <v>0</v>
      </c>
    </row>
    <row r="229" spans="1:21">
      <c r="A229" s="21" t="str">
        <f t="shared" ca="1" si="24"/>
        <v>WP007</v>
      </c>
      <c r="B229" s="21" t="str">
        <f t="shared" ca="1" si="25"/>
        <v>WP007</v>
      </c>
      <c r="C229" s="21">
        <v>7</v>
      </c>
      <c r="D229" s="21" t="s">
        <v>103</v>
      </c>
      <c r="L229" s="21" t="s">
        <v>99</v>
      </c>
      <c r="M229" s="21" t="s">
        <v>80</v>
      </c>
      <c r="N229" s="425"/>
      <c r="O229" s="33"/>
      <c r="P229" s="34"/>
      <c r="Q229" s="35" t="s">
        <v>104</v>
      </c>
      <c r="R229" s="322"/>
      <c r="S229" s="323"/>
      <c r="T229" s="324">
        <f t="shared" ca="1" si="27"/>
        <v>0</v>
      </c>
      <c r="U229" s="321">
        <f t="shared" ca="1" si="26"/>
        <v>0</v>
      </c>
    </row>
    <row r="230" spans="1:21">
      <c r="A230" s="21" t="str">
        <f t="shared" ca="1" si="24"/>
        <v>WP007</v>
      </c>
      <c r="B230" s="21" t="str">
        <f t="shared" ca="1" si="25"/>
        <v>WP007</v>
      </c>
      <c r="C230" s="21">
        <v>7</v>
      </c>
      <c r="D230" s="21" t="s">
        <v>105</v>
      </c>
      <c r="L230" s="21" t="s">
        <v>99</v>
      </c>
      <c r="M230" s="21" t="s">
        <v>80</v>
      </c>
      <c r="N230" s="425"/>
      <c r="O230" s="33"/>
      <c r="P230" s="34"/>
      <c r="Q230" s="35" t="s">
        <v>106</v>
      </c>
      <c r="R230" s="322"/>
      <c r="S230" s="323"/>
      <c r="T230" s="324">
        <f t="shared" ca="1" si="27"/>
        <v>0</v>
      </c>
      <c r="U230" s="321">
        <f t="shared" ca="1" si="26"/>
        <v>0</v>
      </c>
    </row>
    <row r="231" spans="1:21">
      <c r="A231" s="21" t="str">
        <f t="shared" ca="1" si="24"/>
        <v>WP007</v>
      </c>
      <c r="B231" s="21" t="str">
        <f t="shared" ca="1" si="25"/>
        <v>WP007</v>
      </c>
      <c r="C231" s="21">
        <v>5</v>
      </c>
      <c r="D231" s="21" t="s">
        <v>107</v>
      </c>
      <c r="J231" s="161" t="s">
        <v>96</v>
      </c>
      <c r="M231" s="21" t="s">
        <v>80</v>
      </c>
      <c r="N231" s="425"/>
      <c r="O231" s="36"/>
      <c r="P231" s="429" t="s">
        <v>108</v>
      </c>
      <c r="Q231" s="429"/>
      <c r="R231" s="325"/>
      <c r="S231" s="326"/>
      <c r="T231" s="320">
        <f t="shared" ca="1" si="27"/>
        <v>0</v>
      </c>
      <c r="U231" s="321">
        <f t="shared" ca="1" si="26"/>
        <v>0</v>
      </c>
    </row>
    <row r="232" spans="1:21">
      <c r="A232" s="21" t="str">
        <f t="shared" ca="1" si="24"/>
        <v>WP007</v>
      </c>
      <c r="B232" s="21" t="str">
        <f t="shared" ca="1" si="25"/>
        <v>WP007</v>
      </c>
      <c r="C232" s="21">
        <v>6</v>
      </c>
      <c r="D232" s="21" t="s">
        <v>109</v>
      </c>
      <c r="J232" s="161" t="s">
        <v>96</v>
      </c>
      <c r="K232" s="21" t="s">
        <v>110</v>
      </c>
      <c r="M232" s="21" t="s">
        <v>46</v>
      </c>
      <c r="N232" s="425"/>
      <c r="O232" s="36"/>
      <c r="P232" s="429" t="s">
        <v>111</v>
      </c>
      <c r="Q232" s="429"/>
      <c r="R232" s="329"/>
      <c r="S232" s="319"/>
      <c r="T232" s="320">
        <f t="shared" ca="1" si="27"/>
        <v>0</v>
      </c>
      <c r="U232" s="321">
        <f t="shared" ca="1" si="26"/>
        <v>0</v>
      </c>
    </row>
    <row r="233" spans="1:21">
      <c r="A233" s="21" t="str">
        <f t="shared" ca="1" si="24"/>
        <v>WP007</v>
      </c>
      <c r="B233" s="21" t="str">
        <f t="shared" ca="1" si="25"/>
        <v>WP007</v>
      </c>
      <c r="C233" s="21">
        <v>7</v>
      </c>
      <c r="D233" s="21" t="s">
        <v>112</v>
      </c>
      <c r="L233" s="21" t="s">
        <v>110</v>
      </c>
      <c r="M233" s="21" t="s">
        <v>80</v>
      </c>
      <c r="N233" s="425"/>
      <c r="O233" s="36"/>
      <c r="P233" s="388"/>
      <c r="Q233" s="35" t="s">
        <v>113</v>
      </c>
      <c r="R233" s="322"/>
      <c r="S233" s="323"/>
      <c r="T233" s="324">
        <f t="shared" ca="1" si="27"/>
        <v>0</v>
      </c>
      <c r="U233" s="321">
        <f t="shared" ca="1" si="26"/>
        <v>0</v>
      </c>
    </row>
    <row r="234" spans="1:21">
      <c r="A234" s="21" t="str">
        <f t="shared" ca="1" si="24"/>
        <v>WP007</v>
      </c>
      <c r="B234" s="21" t="str">
        <f t="shared" ca="1" si="25"/>
        <v>WP007</v>
      </c>
      <c r="C234" s="21">
        <v>7</v>
      </c>
      <c r="D234" s="21" t="s">
        <v>114</v>
      </c>
      <c r="L234" s="21" t="s">
        <v>110</v>
      </c>
      <c r="M234" s="21" t="s">
        <v>80</v>
      </c>
      <c r="N234" s="425"/>
      <c r="O234" s="36"/>
      <c r="P234" s="388"/>
      <c r="Q234" s="35" t="s">
        <v>115</v>
      </c>
      <c r="R234" s="322"/>
      <c r="S234" s="323"/>
      <c r="T234" s="324">
        <f t="shared" ca="1" si="27"/>
        <v>0</v>
      </c>
      <c r="U234" s="321">
        <f t="shared" ca="1" si="26"/>
        <v>0</v>
      </c>
    </row>
    <row r="235" spans="1:21">
      <c r="A235" s="21" t="str">
        <f t="shared" ca="1" si="24"/>
        <v>WP007</v>
      </c>
      <c r="B235" s="21" t="str">
        <f t="shared" ca="1" si="25"/>
        <v>WP007</v>
      </c>
      <c r="C235" s="21">
        <v>7</v>
      </c>
      <c r="D235" s="21" t="s">
        <v>116</v>
      </c>
      <c r="L235" s="21" t="s">
        <v>110</v>
      </c>
      <c r="M235" s="21" t="s">
        <v>80</v>
      </c>
      <c r="N235" s="425"/>
      <c r="O235" s="36"/>
      <c r="P235" s="388"/>
      <c r="Q235" s="35" t="s">
        <v>117</v>
      </c>
      <c r="R235" s="322"/>
      <c r="S235" s="323"/>
      <c r="T235" s="324">
        <f t="shared" ca="1" si="27"/>
        <v>0</v>
      </c>
      <c r="U235" s="321">
        <f t="shared" ca="1" si="26"/>
        <v>0</v>
      </c>
    </row>
    <row r="236" spans="1:21">
      <c r="A236" s="21" t="str">
        <f t="shared" ca="1" si="24"/>
        <v>WP007</v>
      </c>
      <c r="B236" s="21" t="str">
        <f t="shared" ca="1" si="25"/>
        <v>WP007</v>
      </c>
      <c r="C236" s="21">
        <v>7</v>
      </c>
      <c r="D236" s="21" t="s">
        <v>118</v>
      </c>
      <c r="L236" s="21" t="s">
        <v>110</v>
      </c>
      <c r="M236" s="21" t="s">
        <v>80</v>
      </c>
      <c r="N236" s="425"/>
      <c r="O236" s="36"/>
      <c r="P236" s="388"/>
      <c r="Q236" s="35" t="s">
        <v>119</v>
      </c>
      <c r="R236" s="322"/>
      <c r="S236" s="323"/>
      <c r="T236" s="324">
        <f t="shared" ca="1" si="27"/>
        <v>0</v>
      </c>
      <c r="U236" s="321">
        <f t="shared" ca="1" si="26"/>
        <v>0</v>
      </c>
    </row>
    <row r="237" spans="1:21">
      <c r="A237" s="21" t="str">
        <f t="shared" ca="1" si="24"/>
        <v>WP007</v>
      </c>
      <c r="B237" s="21" t="str">
        <f t="shared" ca="1" si="25"/>
        <v>WP007</v>
      </c>
      <c r="C237" s="21">
        <v>7</v>
      </c>
      <c r="D237" s="21" t="s">
        <v>120</v>
      </c>
      <c r="L237" s="21" t="s">
        <v>110</v>
      </c>
      <c r="M237" s="21" t="s">
        <v>80</v>
      </c>
      <c r="N237" s="425"/>
      <c r="O237" s="36"/>
      <c r="P237" s="388"/>
      <c r="Q237" s="35" t="s">
        <v>121</v>
      </c>
      <c r="R237" s="322"/>
      <c r="S237" s="323"/>
      <c r="T237" s="324">
        <f t="shared" ca="1" si="27"/>
        <v>0</v>
      </c>
      <c r="U237" s="321">
        <f t="shared" ca="1" si="26"/>
        <v>0</v>
      </c>
    </row>
    <row r="238" spans="1:21">
      <c r="A238" s="21" t="str">
        <f t="shared" ca="1" si="24"/>
        <v>WP007</v>
      </c>
      <c r="B238" s="21" t="str">
        <f t="shared" ca="1" si="25"/>
        <v>WP007</v>
      </c>
      <c r="C238" s="21">
        <v>7</v>
      </c>
      <c r="D238" s="21" t="s">
        <v>122</v>
      </c>
      <c r="L238" s="21" t="s">
        <v>110</v>
      </c>
      <c r="M238" s="21" t="s">
        <v>80</v>
      </c>
      <c r="N238" s="425"/>
      <c r="O238" s="37"/>
      <c r="P238" s="388"/>
      <c r="Q238" s="35" t="s">
        <v>123</v>
      </c>
      <c r="R238" s="322"/>
      <c r="S238" s="323"/>
      <c r="T238" s="324">
        <f t="shared" ca="1" si="27"/>
        <v>0</v>
      </c>
      <c r="U238" s="321">
        <f t="shared" ca="1" si="26"/>
        <v>0</v>
      </c>
    </row>
    <row r="239" spans="1:21">
      <c r="A239" s="21" t="str">
        <f t="shared" ca="1" si="24"/>
        <v>WP007</v>
      </c>
      <c r="B239" s="21" t="str">
        <f t="shared" ca="1" si="25"/>
        <v>WP007</v>
      </c>
      <c r="C239" s="21">
        <v>4</v>
      </c>
      <c r="D239" s="21" t="s">
        <v>124</v>
      </c>
      <c r="H239" s="21" t="s">
        <v>74</v>
      </c>
      <c r="I239" s="21" t="s">
        <v>125</v>
      </c>
      <c r="M239" s="21" t="s">
        <v>46</v>
      </c>
      <c r="N239" s="425"/>
      <c r="O239" s="398" t="s">
        <v>126</v>
      </c>
      <c r="P239" s="399"/>
      <c r="Q239" s="399"/>
      <c r="R239" s="314"/>
      <c r="S239" s="315"/>
      <c r="T239" s="316">
        <f t="shared" ca="1" si="27"/>
        <v>0</v>
      </c>
      <c r="U239" s="317">
        <f t="shared" ca="1" si="26"/>
        <v>0</v>
      </c>
    </row>
    <row r="240" spans="1:21">
      <c r="A240" s="21" t="str">
        <f t="shared" ca="1" si="24"/>
        <v>WP007</v>
      </c>
      <c r="B240" s="21" t="str">
        <f t="shared" ca="1" si="25"/>
        <v>WP007</v>
      </c>
      <c r="C240" s="21">
        <v>5</v>
      </c>
      <c r="D240" s="21" t="s">
        <v>127</v>
      </c>
      <c r="J240" s="161" t="s">
        <v>125</v>
      </c>
      <c r="M240" s="21" t="s">
        <v>80</v>
      </c>
      <c r="N240" s="425"/>
      <c r="O240" s="38"/>
      <c r="P240" s="417" t="s">
        <v>128</v>
      </c>
      <c r="Q240" s="418"/>
      <c r="R240" s="322"/>
      <c r="S240" s="323"/>
      <c r="T240" s="324">
        <f t="shared" ca="1" si="27"/>
        <v>0</v>
      </c>
      <c r="U240" s="321">
        <f t="shared" ca="1" si="26"/>
        <v>0</v>
      </c>
    </row>
    <row r="241" spans="1:23">
      <c r="A241" s="21" t="str">
        <f t="shared" ca="1" si="24"/>
        <v>WP007</v>
      </c>
      <c r="B241" s="21" t="str">
        <f t="shared" ca="1" si="25"/>
        <v>WP007</v>
      </c>
      <c r="C241" s="21">
        <v>2</v>
      </c>
      <c r="D241" s="21" t="s">
        <v>129</v>
      </c>
      <c r="F241" s="21" t="s">
        <v>130</v>
      </c>
      <c r="G241" s="21" t="s">
        <v>74</v>
      </c>
      <c r="M241" s="21" t="s">
        <v>46</v>
      </c>
      <c r="N241" s="425"/>
      <c r="O241" s="419" t="s">
        <v>131</v>
      </c>
      <c r="P241" s="420"/>
      <c r="Q241" s="420"/>
      <c r="R241" s="330"/>
      <c r="S241" s="331"/>
      <c r="T241" s="332">
        <f t="shared" ca="1" si="27"/>
        <v>0</v>
      </c>
      <c r="U241" s="333">
        <f t="shared" ca="1" si="26"/>
        <v>0</v>
      </c>
    </row>
    <row r="242" spans="1:23">
      <c r="A242" s="21" t="str">
        <f t="shared" ca="1" si="24"/>
        <v>WP007</v>
      </c>
      <c r="B242" s="21" t="str">
        <f t="shared" ca="1" si="25"/>
        <v>WP007</v>
      </c>
      <c r="C242" s="21">
        <v>1</v>
      </c>
      <c r="N242" s="425"/>
      <c r="O242" s="39"/>
      <c r="P242" s="30"/>
      <c r="Q242" s="30"/>
      <c r="R242" s="334"/>
      <c r="S242" s="335"/>
      <c r="T242" s="324"/>
      <c r="U242" s="321"/>
    </row>
    <row r="243" spans="1:23">
      <c r="A243" s="21" t="str">
        <f t="shared" ca="1" si="24"/>
        <v>WP007</v>
      </c>
      <c r="B243" s="21" t="str">
        <f t="shared" ca="1" si="25"/>
        <v>WP007</v>
      </c>
      <c r="C243" s="21">
        <v>2</v>
      </c>
      <c r="D243" s="21" t="s">
        <v>132</v>
      </c>
      <c r="F243" s="21" t="s">
        <v>130</v>
      </c>
      <c r="M243" s="21" t="s">
        <v>133</v>
      </c>
      <c r="N243" s="425"/>
      <c r="O243" s="398" t="s">
        <v>134</v>
      </c>
      <c r="P243" s="399"/>
      <c r="Q243" s="399"/>
      <c r="R243" s="336"/>
      <c r="S243" s="337"/>
      <c r="T243" s="338">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17">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row>
    <row r="244" spans="1:23">
      <c r="A244" s="21" t="str">
        <f t="shared" ca="1" si="24"/>
        <v>WP007</v>
      </c>
      <c r="B244" s="21" t="str">
        <f t="shared" ca="1" si="25"/>
        <v>WP007</v>
      </c>
      <c r="C244" s="21">
        <v>1</v>
      </c>
      <c r="N244" s="425"/>
      <c r="O244" s="40"/>
      <c r="P244" s="388"/>
      <c r="Q244" s="388"/>
      <c r="R244" s="334"/>
      <c r="S244" s="335"/>
      <c r="T244" s="324"/>
      <c r="U244" s="321"/>
    </row>
    <row r="245" spans="1:23" ht="12.75" thickBot="1">
      <c r="A245" s="21" t="str">
        <f t="shared" ca="1" si="24"/>
        <v>ENDWP007</v>
      </c>
      <c r="B245" s="21" t="str">
        <f t="shared" ca="1" si="25"/>
        <v>WP007</v>
      </c>
      <c r="C245" s="21">
        <v>0</v>
      </c>
      <c r="D245" s="21" t="s">
        <v>135</v>
      </c>
      <c r="E245" s="21" t="s">
        <v>130</v>
      </c>
      <c r="M245" s="21" t="s">
        <v>46</v>
      </c>
      <c r="N245" s="426"/>
      <c r="O245" s="421" t="str">
        <f ca="1">"TOTAL COSTS (A+B+C+D+E) - " &amp; OFFSET(O245,-26,0)</f>
        <v xml:space="preserve">TOTAL COSTS (A+B+C+D+E) - </v>
      </c>
      <c r="P245" s="422"/>
      <c r="Q245" s="422"/>
      <c r="R245" s="339"/>
      <c r="S245" s="340"/>
      <c r="T245" s="341">
        <f t="shared" ca="1" si="27"/>
        <v>0</v>
      </c>
      <c r="U245" s="342">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row>
    <row r="246" spans="1:23" ht="13.5" thickTop="1" thickBot="1"/>
    <row r="247" spans="1:23" ht="13.5" thickTop="1" thickBot="1">
      <c r="A247" s="21" t="str">
        <f ca="1">IF(ISNUMBER(OFFSET(A247,0,13)),"START",IF(AND(OFFSET(A247,0,2)=0,OFFSET(A247,0,4)="GT"),"END",""))&amp;OFFSET(A247,0,1)</f>
        <v>STARTWP008</v>
      </c>
      <c r="B247" s="21" t="str">
        <f ca="1">IF(ISNUMBER(OFFSET(B247,0,12)),"WP" &amp; TEXT(OFFSET(B247,0,12),"000"),OFFSET(B247,-1,0))</f>
        <v>WP008</v>
      </c>
      <c r="N247" s="62">
        <v>8</v>
      </c>
      <c r="O247" s="423" t="str">
        <f ca="1">""&amp;VLOOKUP(OFFSET(N247,1,0),'Work Packages List'!A:B,2,FALSE)</f>
        <v/>
      </c>
      <c r="P247" s="423"/>
      <c r="Q247" s="424"/>
      <c r="R247" s="310"/>
      <c r="S247" s="311"/>
      <c r="T247" s="312"/>
      <c r="U247" s="313"/>
    </row>
    <row r="248" spans="1:23">
      <c r="A248" s="21" t="str">
        <f t="shared" ref="A248:A279" ca="1" si="28">IF(ISNUMBER(OFFSET(A248,0,12)),"START",IF(AND(OFFSET(A248,0,2)=0,OFFSET(A248,0,4)="GT"),"END",""))&amp;OFFSET(A248,0,1)</f>
        <v>WP008</v>
      </c>
      <c r="B248" s="21" t="str">
        <f t="shared" ref="B248:B279" ca="1" si="29">IF(ISNUMBER(OFFSET(B248,0,11)),"WP" &amp; TEXT(OFFSET(B248,0,11),"000"),OFFSET(B248,-1,0))</f>
        <v>WP008</v>
      </c>
      <c r="C248" s="21">
        <v>4</v>
      </c>
      <c r="D248" s="21" t="s">
        <v>73</v>
      </c>
      <c r="H248" s="21" t="s">
        <v>74</v>
      </c>
      <c r="I248" s="21" t="s">
        <v>75</v>
      </c>
      <c r="M248" s="21" t="s">
        <v>46</v>
      </c>
      <c r="N248" s="425" t="str">
        <f ca="1">"WP " &amp; TEXT(OFFSET(N248,-1,0),"000")</f>
        <v>WP 008</v>
      </c>
      <c r="O248" s="398" t="s">
        <v>37</v>
      </c>
      <c r="P248" s="399"/>
      <c r="Q248" s="427"/>
      <c r="R248" s="314">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15"/>
      <c r="T248" s="316">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17">
        <f t="shared" ref="U248:U275" ca="1" si="30">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row>
    <row r="249" spans="1:23">
      <c r="A249" s="21" t="str">
        <f t="shared" ca="1" si="28"/>
        <v>WP008</v>
      </c>
      <c r="B249" s="21" t="str">
        <f t="shared" ca="1" si="29"/>
        <v>WP008</v>
      </c>
      <c r="C249" s="21">
        <v>6</v>
      </c>
      <c r="D249" s="21" t="s">
        <v>76</v>
      </c>
      <c r="J249" s="161" t="s">
        <v>75</v>
      </c>
      <c r="K249" s="21" t="s">
        <v>77</v>
      </c>
      <c r="M249" s="21" t="s">
        <v>46</v>
      </c>
      <c r="N249" s="425"/>
      <c r="O249" s="27"/>
      <c r="P249" s="396" t="s">
        <v>78</v>
      </c>
      <c r="Q249" s="428"/>
      <c r="R249" s="318">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19"/>
      <c r="T249" s="320">
        <f t="shared" ref="T249:T279" ca="1" si="31">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21">
        <f t="shared" ca="1" si="30"/>
        <v>0</v>
      </c>
      <c r="W249" s="23"/>
    </row>
    <row r="250" spans="1:23">
      <c r="A250" s="21" t="str">
        <f t="shared" ca="1" si="28"/>
        <v>WP008</v>
      </c>
      <c r="B250" s="21" t="str">
        <f t="shared" ca="1" si="29"/>
        <v>WP008</v>
      </c>
      <c r="C250" s="21">
        <v>7</v>
      </c>
      <c r="D250" s="21" t="s">
        <v>79</v>
      </c>
      <c r="L250" s="21" t="s">
        <v>77</v>
      </c>
      <c r="M250" s="21" t="s">
        <v>80</v>
      </c>
      <c r="N250" s="425"/>
      <c r="O250" s="28"/>
      <c r="P250" s="29"/>
      <c r="Q250" s="30" t="str">
        <f>EMP_TYPE1</f>
        <v>Type 1</v>
      </c>
      <c r="R250" s="322"/>
      <c r="S250" s="323"/>
      <c r="T250" s="324">
        <f t="shared" ca="1" si="31"/>
        <v>0</v>
      </c>
      <c r="U250" s="321">
        <f t="shared" ca="1" si="30"/>
        <v>0</v>
      </c>
      <c r="W250" s="23"/>
    </row>
    <row r="251" spans="1:23">
      <c r="A251" s="21" t="str">
        <f t="shared" ca="1" si="28"/>
        <v>WP008</v>
      </c>
      <c r="B251" s="21" t="str">
        <f t="shared" ca="1" si="29"/>
        <v>WP008</v>
      </c>
      <c r="C251" s="21">
        <v>7</v>
      </c>
      <c r="D251" s="21" t="s">
        <v>81</v>
      </c>
      <c r="L251" s="21" t="s">
        <v>77</v>
      </c>
      <c r="M251" s="21" t="s">
        <v>80</v>
      </c>
      <c r="N251" s="425"/>
      <c r="O251" s="28"/>
      <c r="P251" s="29"/>
      <c r="Q251" s="30" t="str">
        <f>EMP_TYPE2</f>
        <v>Type 2</v>
      </c>
      <c r="R251" s="322"/>
      <c r="S251" s="323"/>
      <c r="T251" s="324">
        <f t="shared" ca="1" si="31"/>
        <v>0</v>
      </c>
      <c r="U251" s="321">
        <f t="shared" ca="1" si="30"/>
        <v>0</v>
      </c>
      <c r="W251" s="23"/>
    </row>
    <row r="252" spans="1:23">
      <c r="A252" s="21" t="str">
        <f t="shared" ca="1" si="28"/>
        <v>WP008</v>
      </c>
      <c r="B252" s="21" t="str">
        <f t="shared" ca="1" si="29"/>
        <v>WP008</v>
      </c>
      <c r="C252" s="21">
        <v>7</v>
      </c>
      <c r="D252" s="21" t="s">
        <v>82</v>
      </c>
      <c r="L252" s="21" t="s">
        <v>77</v>
      </c>
      <c r="M252" s="21" t="s">
        <v>80</v>
      </c>
      <c r="N252" s="425"/>
      <c r="O252" s="28"/>
      <c r="P252" s="29"/>
      <c r="Q252" s="30" t="str">
        <f>EMP_TYPE3</f>
        <v>Type 3</v>
      </c>
      <c r="R252" s="322"/>
      <c r="S252" s="323"/>
      <c r="T252" s="324">
        <f t="shared" ca="1" si="31"/>
        <v>0</v>
      </c>
      <c r="U252" s="321">
        <f t="shared" ca="1" si="30"/>
        <v>0</v>
      </c>
      <c r="W252" s="23"/>
    </row>
    <row r="253" spans="1:23">
      <c r="A253" s="21" t="str">
        <f t="shared" ca="1" si="28"/>
        <v>WP008</v>
      </c>
      <c r="B253" s="21" t="str">
        <f t="shared" ca="1" si="29"/>
        <v>WP008</v>
      </c>
      <c r="C253" s="21">
        <v>7</v>
      </c>
      <c r="D253" s="21" t="s">
        <v>83</v>
      </c>
      <c r="L253" s="21" t="s">
        <v>77</v>
      </c>
      <c r="M253" s="21" t="s">
        <v>80</v>
      </c>
      <c r="N253" s="425"/>
      <c r="O253" s="28"/>
      <c r="P253" s="29"/>
      <c r="Q253" s="30" t="str">
        <f>EMP_TYPE4</f>
        <v>Type 4</v>
      </c>
      <c r="R253" s="322"/>
      <c r="S253" s="323"/>
      <c r="T253" s="324">
        <f t="shared" ca="1" si="31"/>
        <v>0</v>
      </c>
      <c r="U253" s="321">
        <f t="shared" ca="1" si="30"/>
        <v>0</v>
      </c>
      <c r="W253" s="23"/>
    </row>
    <row r="254" spans="1:23">
      <c r="A254" s="21" t="str">
        <f t="shared" ca="1" si="28"/>
        <v>WP008</v>
      </c>
      <c r="B254" s="21" t="str">
        <f t="shared" ca="1" si="29"/>
        <v>WP008</v>
      </c>
      <c r="C254" s="21">
        <v>7</v>
      </c>
      <c r="D254" s="21" t="s">
        <v>84</v>
      </c>
      <c r="L254" s="21" t="s">
        <v>77</v>
      </c>
      <c r="M254" s="21" t="s">
        <v>80</v>
      </c>
      <c r="N254" s="425"/>
      <c r="O254" s="28"/>
      <c r="P254" s="29"/>
      <c r="Q254" s="30" t="str">
        <f>EMP_OTHER</f>
        <v>Type 5</v>
      </c>
      <c r="R254" s="322"/>
      <c r="S254" s="323"/>
      <c r="T254" s="324">
        <f t="shared" ca="1" si="31"/>
        <v>0</v>
      </c>
      <c r="U254" s="321">
        <f t="shared" ca="1" si="30"/>
        <v>0</v>
      </c>
      <c r="W254" s="23"/>
    </row>
    <row r="255" spans="1:23">
      <c r="A255" s="21" t="str">
        <f t="shared" ca="1" si="28"/>
        <v>WP008</v>
      </c>
      <c r="B255" s="21" t="str">
        <f t="shared" ca="1" si="29"/>
        <v>WP008</v>
      </c>
      <c r="C255" s="21">
        <v>6</v>
      </c>
      <c r="D255" s="21" t="s">
        <v>85</v>
      </c>
      <c r="J255" s="161" t="s">
        <v>75</v>
      </c>
      <c r="M255" s="21" t="s">
        <v>80</v>
      </c>
      <c r="N255" s="425"/>
      <c r="O255" s="31"/>
      <c r="P255" s="418" t="s">
        <v>86</v>
      </c>
      <c r="Q255" s="429"/>
      <c r="R255" s="325"/>
      <c r="S255" s="326"/>
      <c r="T255" s="320">
        <f t="shared" ca="1" si="31"/>
        <v>0</v>
      </c>
      <c r="U255" s="321">
        <f t="shared" ca="1" si="30"/>
        <v>0</v>
      </c>
      <c r="W255" s="23"/>
    </row>
    <row r="256" spans="1:23">
      <c r="A256" s="21" t="str">
        <f t="shared" ca="1" si="28"/>
        <v>WP008</v>
      </c>
      <c r="B256" s="21" t="str">
        <f t="shared" ca="1" si="29"/>
        <v>WP008</v>
      </c>
      <c r="C256" s="21">
        <v>6</v>
      </c>
      <c r="D256" s="21" t="s">
        <v>87</v>
      </c>
      <c r="J256" s="161" t="s">
        <v>75</v>
      </c>
      <c r="M256" s="21" t="s">
        <v>80</v>
      </c>
      <c r="N256" s="425"/>
      <c r="O256" s="31"/>
      <c r="P256" s="418" t="s">
        <v>88</v>
      </c>
      <c r="Q256" s="429"/>
      <c r="R256" s="325"/>
      <c r="S256" s="326"/>
      <c r="T256" s="320">
        <f t="shared" ca="1" si="31"/>
        <v>0</v>
      </c>
      <c r="U256" s="321">
        <f t="shared" ca="1" si="30"/>
        <v>0</v>
      </c>
      <c r="W256" s="23"/>
    </row>
    <row r="257" spans="1:23">
      <c r="A257" s="21" t="str">
        <f t="shared" ca="1" si="28"/>
        <v>WP008</v>
      </c>
      <c r="B257" s="21" t="str">
        <f t="shared" ca="1" si="29"/>
        <v>WP008</v>
      </c>
      <c r="C257" s="21">
        <v>6</v>
      </c>
      <c r="D257" s="21" t="s">
        <v>89</v>
      </c>
      <c r="J257" s="161" t="s">
        <v>75</v>
      </c>
      <c r="M257" s="21" t="s">
        <v>80</v>
      </c>
      <c r="N257" s="425"/>
      <c r="O257" s="31"/>
      <c r="P257" s="418" t="s">
        <v>90</v>
      </c>
      <c r="Q257" s="429"/>
      <c r="R257" s="325"/>
      <c r="S257" s="326"/>
      <c r="T257" s="320">
        <f t="shared" ca="1" si="31"/>
        <v>0</v>
      </c>
      <c r="U257" s="321">
        <f t="shared" ca="1" si="30"/>
        <v>0</v>
      </c>
      <c r="W257" s="23"/>
    </row>
    <row r="258" spans="1:23">
      <c r="A258" s="21" t="str">
        <f t="shared" ca="1" si="28"/>
        <v>WP008</v>
      </c>
      <c r="B258" s="21" t="str">
        <f t="shared" ca="1" si="29"/>
        <v>WP008</v>
      </c>
      <c r="C258" s="21">
        <v>6</v>
      </c>
      <c r="D258" s="21" t="s">
        <v>91</v>
      </c>
      <c r="J258" s="161" t="s">
        <v>75</v>
      </c>
      <c r="M258" s="21" t="s">
        <v>80</v>
      </c>
      <c r="N258" s="425"/>
      <c r="O258" s="31"/>
      <c r="P258" s="418" t="s">
        <v>92</v>
      </c>
      <c r="Q258" s="429"/>
      <c r="R258" s="325"/>
      <c r="S258" s="326"/>
      <c r="T258" s="320">
        <f t="shared" ca="1" si="31"/>
        <v>0</v>
      </c>
      <c r="U258" s="321">
        <f t="shared" ca="1" si="30"/>
        <v>0</v>
      </c>
    </row>
    <row r="259" spans="1:23">
      <c r="A259" s="21" t="str">
        <f t="shared" ca="1" si="28"/>
        <v>WP008</v>
      </c>
      <c r="B259" s="21" t="str">
        <f t="shared" ca="1" si="29"/>
        <v>WP008</v>
      </c>
      <c r="C259" s="21">
        <v>4</v>
      </c>
      <c r="D259" s="21" t="s">
        <v>93</v>
      </c>
      <c r="H259" s="21" t="s">
        <v>74</v>
      </c>
      <c r="I259" s="21" t="s">
        <v>94</v>
      </c>
      <c r="M259" s="21" t="s">
        <v>80</v>
      </c>
      <c r="N259" s="425"/>
      <c r="O259" s="398" t="s">
        <v>65</v>
      </c>
      <c r="P259" s="399"/>
      <c r="Q259" s="399"/>
      <c r="R259" s="327"/>
      <c r="S259" s="328"/>
      <c r="T259" s="316">
        <f t="shared" ca="1" si="31"/>
        <v>0</v>
      </c>
      <c r="U259" s="317">
        <f t="shared" ca="1" si="30"/>
        <v>0</v>
      </c>
    </row>
    <row r="260" spans="1:23">
      <c r="A260" s="21" t="str">
        <f t="shared" ca="1" si="28"/>
        <v>WP008</v>
      </c>
      <c r="B260" s="21" t="str">
        <f t="shared" ca="1" si="29"/>
        <v>WP008</v>
      </c>
      <c r="C260" s="21">
        <v>4</v>
      </c>
      <c r="D260" s="21" t="s">
        <v>95</v>
      </c>
      <c r="H260" s="21" t="s">
        <v>74</v>
      </c>
      <c r="I260" s="21" t="s">
        <v>96</v>
      </c>
      <c r="M260" s="21" t="s">
        <v>46</v>
      </c>
      <c r="N260" s="425"/>
      <c r="O260" s="398" t="s">
        <v>97</v>
      </c>
      <c r="P260" s="399"/>
      <c r="Q260" s="399"/>
      <c r="R260" s="314"/>
      <c r="S260" s="315"/>
      <c r="T260" s="316">
        <f t="shared" ca="1" si="31"/>
        <v>0</v>
      </c>
      <c r="U260" s="317">
        <f t="shared" ca="1" si="30"/>
        <v>0</v>
      </c>
    </row>
    <row r="261" spans="1:23">
      <c r="A261" s="21" t="str">
        <f t="shared" ca="1" si="28"/>
        <v>WP008</v>
      </c>
      <c r="B261" s="21" t="str">
        <f t="shared" ca="1" si="29"/>
        <v>WP008</v>
      </c>
      <c r="C261" s="21">
        <v>6</v>
      </c>
      <c r="D261" s="21" t="s">
        <v>98</v>
      </c>
      <c r="J261" s="161" t="s">
        <v>96</v>
      </c>
      <c r="K261" s="21" t="s">
        <v>99</v>
      </c>
      <c r="M261" s="21" t="s">
        <v>46</v>
      </c>
      <c r="N261" s="425"/>
      <c r="O261" s="32"/>
      <c r="P261" s="429" t="s">
        <v>100</v>
      </c>
      <c r="Q261" s="429"/>
      <c r="R261" s="318"/>
      <c r="S261" s="319"/>
      <c r="T261" s="320">
        <f t="shared" ca="1" si="31"/>
        <v>0</v>
      </c>
      <c r="U261" s="321">
        <f t="shared" ca="1" si="30"/>
        <v>0</v>
      </c>
    </row>
    <row r="262" spans="1:23">
      <c r="A262" s="21" t="str">
        <f t="shared" ca="1" si="28"/>
        <v>WP008</v>
      </c>
      <c r="B262" s="21" t="str">
        <f t="shared" ca="1" si="29"/>
        <v>WP008</v>
      </c>
      <c r="C262" s="21">
        <v>7</v>
      </c>
      <c r="D262" s="21" t="s">
        <v>101</v>
      </c>
      <c r="L262" s="21" t="s">
        <v>99</v>
      </c>
      <c r="M262" s="21" t="s">
        <v>80</v>
      </c>
      <c r="N262" s="425"/>
      <c r="O262" s="33"/>
      <c r="P262" s="34"/>
      <c r="Q262" s="35" t="s">
        <v>102</v>
      </c>
      <c r="R262" s="322"/>
      <c r="S262" s="323"/>
      <c r="T262" s="324">
        <f t="shared" ca="1" si="31"/>
        <v>0</v>
      </c>
      <c r="U262" s="321">
        <f t="shared" ca="1" si="30"/>
        <v>0</v>
      </c>
    </row>
    <row r="263" spans="1:23">
      <c r="A263" s="21" t="str">
        <f t="shared" ca="1" si="28"/>
        <v>WP008</v>
      </c>
      <c r="B263" s="21" t="str">
        <f t="shared" ca="1" si="29"/>
        <v>WP008</v>
      </c>
      <c r="C263" s="21">
        <v>7</v>
      </c>
      <c r="D263" s="21" t="s">
        <v>103</v>
      </c>
      <c r="L263" s="21" t="s">
        <v>99</v>
      </c>
      <c r="M263" s="21" t="s">
        <v>80</v>
      </c>
      <c r="N263" s="425"/>
      <c r="O263" s="33"/>
      <c r="P263" s="34"/>
      <c r="Q263" s="35" t="s">
        <v>104</v>
      </c>
      <c r="R263" s="322"/>
      <c r="S263" s="323"/>
      <c r="T263" s="324">
        <f t="shared" ca="1" si="31"/>
        <v>0</v>
      </c>
      <c r="U263" s="321">
        <f t="shared" ca="1" si="30"/>
        <v>0</v>
      </c>
    </row>
    <row r="264" spans="1:23">
      <c r="A264" s="21" t="str">
        <f t="shared" ca="1" si="28"/>
        <v>WP008</v>
      </c>
      <c r="B264" s="21" t="str">
        <f t="shared" ca="1" si="29"/>
        <v>WP008</v>
      </c>
      <c r="C264" s="21">
        <v>7</v>
      </c>
      <c r="D264" s="21" t="s">
        <v>105</v>
      </c>
      <c r="L264" s="21" t="s">
        <v>99</v>
      </c>
      <c r="M264" s="21" t="s">
        <v>80</v>
      </c>
      <c r="N264" s="425"/>
      <c r="O264" s="33"/>
      <c r="P264" s="34"/>
      <c r="Q264" s="35" t="s">
        <v>106</v>
      </c>
      <c r="R264" s="322"/>
      <c r="S264" s="323"/>
      <c r="T264" s="324">
        <f t="shared" ca="1" si="31"/>
        <v>0</v>
      </c>
      <c r="U264" s="321">
        <f t="shared" ca="1" si="30"/>
        <v>0</v>
      </c>
    </row>
    <row r="265" spans="1:23">
      <c r="A265" s="21" t="str">
        <f t="shared" ca="1" si="28"/>
        <v>WP008</v>
      </c>
      <c r="B265" s="21" t="str">
        <f t="shared" ca="1" si="29"/>
        <v>WP008</v>
      </c>
      <c r="C265" s="21">
        <v>5</v>
      </c>
      <c r="D265" s="21" t="s">
        <v>107</v>
      </c>
      <c r="J265" s="161" t="s">
        <v>96</v>
      </c>
      <c r="M265" s="21" t="s">
        <v>80</v>
      </c>
      <c r="N265" s="425"/>
      <c r="O265" s="36"/>
      <c r="P265" s="429" t="s">
        <v>108</v>
      </c>
      <c r="Q265" s="429"/>
      <c r="R265" s="325"/>
      <c r="S265" s="326"/>
      <c r="T265" s="320">
        <f t="shared" ca="1" si="31"/>
        <v>0</v>
      </c>
      <c r="U265" s="321">
        <f t="shared" ca="1" si="30"/>
        <v>0</v>
      </c>
    </row>
    <row r="266" spans="1:23">
      <c r="A266" s="21" t="str">
        <f t="shared" ca="1" si="28"/>
        <v>WP008</v>
      </c>
      <c r="B266" s="21" t="str">
        <f t="shared" ca="1" si="29"/>
        <v>WP008</v>
      </c>
      <c r="C266" s="21">
        <v>6</v>
      </c>
      <c r="D266" s="21" t="s">
        <v>109</v>
      </c>
      <c r="J266" s="161" t="s">
        <v>96</v>
      </c>
      <c r="K266" s="21" t="s">
        <v>110</v>
      </c>
      <c r="M266" s="21" t="s">
        <v>46</v>
      </c>
      <c r="N266" s="425"/>
      <c r="O266" s="36"/>
      <c r="P266" s="429" t="s">
        <v>111</v>
      </c>
      <c r="Q266" s="429"/>
      <c r="R266" s="329"/>
      <c r="S266" s="319"/>
      <c r="T266" s="320">
        <f t="shared" ca="1" si="31"/>
        <v>0</v>
      </c>
      <c r="U266" s="321">
        <f t="shared" ca="1" si="30"/>
        <v>0</v>
      </c>
    </row>
    <row r="267" spans="1:23">
      <c r="A267" s="21" t="str">
        <f t="shared" ca="1" si="28"/>
        <v>WP008</v>
      </c>
      <c r="B267" s="21" t="str">
        <f t="shared" ca="1" si="29"/>
        <v>WP008</v>
      </c>
      <c r="C267" s="21">
        <v>7</v>
      </c>
      <c r="D267" s="21" t="s">
        <v>112</v>
      </c>
      <c r="L267" s="21" t="s">
        <v>110</v>
      </c>
      <c r="M267" s="21" t="s">
        <v>80</v>
      </c>
      <c r="N267" s="425"/>
      <c r="O267" s="36"/>
      <c r="P267" s="388"/>
      <c r="Q267" s="35" t="s">
        <v>113</v>
      </c>
      <c r="R267" s="322"/>
      <c r="S267" s="323"/>
      <c r="T267" s="324">
        <f t="shared" ca="1" si="31"/>
        <v>0</v>
      </c>
      <c r="U267" s="321">
        <f t="shared" ca="1" si="30"/>
        <v>0</v>
      </c>
    </row>
    <row r="268" spans="1:23">
      <c r="A268" s="21" t="str">
        <f t="shared" ca="1" si="28"/>
        <v>WP008</v>
      </c>
      <c r="B268" s="21" t="str">
        <f t="shared" ca="1" si="29"/>
        <v>WP008</v>
      </c>
      <c r="C268" s="21">
        <v>7</v>
      </c>
      <c r="D268" s="21" t="s">
        <v>114</v>
      </c>
      <c r="L268" s="21" t="s">
        <v>110</v>
      </c>
      <c r="M268" s="21" t="s">
        <v>80</v>
      </c>
      <c r="N268" s="425"/>
      <c r="O268" s="36"/>
      <c r="P268" s="388"/>
      <c r="Q268" s="35" t="s">
        <v>115</v>
      </c>
      <c r="R268" s="322"/>
      <c r="S268" s="323"/>
      <c r="T268" s="324">
        <f t="shared" ca="1" si="31"/>
        <v>0</v>
      </c>
      <c r="U268" s="321">
        <f t="shared" ca="1" si="30"/>
        <v>0</v>
      </c>
    </row>
    <row r="269" spans="1:23">
      <c r="A269" s="21" t="str">
        <f t="shared" ca="1" si="28"/>
        <v>WP008</v>
      </c>
      <c r="B269" s="21" t="str">
        <f t="shared" ca="1" si="29"/>
        <v>WP008</v>
      </c>
      <c r="C269" s="21">
        <v>7</v>
      </c>
      <c r="D269" s="21" t="s">
        <v>116</v>
      </c>
      <c r="L269" s="21" t="s">
        <v>110</v>
      </c>
      <c r="M269" s="21" t="s">
        <v>80</v>
      </c>
      <c r="N269" s="425"/>
      <c r="O269" s="36"/>
      <c r="P269" s="388"/>
      <c r="Q269" s="35" t="s">
        <v>117</v>
      </c>
      <c r="R269" s="322"/>
      <c r="S269" s="323"/>
      <c r="T269" s="324">
        <f t="shared" ca="1" si="31"/>
        <v>0</v>
      </c>
      <c r="U269" s="321">
        <f t="shared" ca="1" si="30"/>
        <v>0</v>
      </c>
    </row>
    <row r="270" spans="1:23">
      <c r="A270" s="21" t="str">
        <f t="shared" ca="1" si="28"/>
        <v>WP008</v>
      </c>
      <c r="B270" s="21" t="str">
        <f t="shared" ca="1" si="29"/>
        <v>WP008</v>
      </c>
      <c r="C270" s="21">
        <v>7</v>
      </c>
      <c r="D270" s="21" t="s">
        <v>118</v>
      </c>
      <c r="L270" s="21" t="s">
        <v>110</v>
      </c>
      <c r="M270" s="21" t="s">
        <v>80</v>
      </c>
      <c r="N270" s="425"/>
      <c r="O270" s="36"/>
      <c r="P270" s="388"/>
      <c r="Q270" s="35" t="s">
        <v>119</v>
      </c>
      <c r="R270" s="322"/>
      <c r="S270" s="323"/>
      <c r="T270" s="324">
        <f t="shared" ca="1" si="31"/>
        <v>0</v>
      </c>
      <c r="U270" s="321">
        <f t="shared" ca="1" si="30"/>
        <v>0</v>
      </c>
    </row>
    <row r="271" spans="1:23">
      <c r="A271" s="21" t="str">
        <f t="shared" ca="1" si="28"/>
        <v>WP008</v>
      </c>
      <c r="B271" s="21" t="str">
        <f t="shared" ca="1" si="29"/>
        <v>WP008</v>
      </c>
      <c r="C271" s="21">
        <v>7</v>
      </c>
      <c r="D271" s="21" t="s">
        <v>120</v>
      </c>
      <c r="L271" s="21" t="s">
        <v>110</v>
      </c>
      <c r="M271" s="21" t="s">
        <v>80</v>
      </c>
      <c r="N271" s="425"/>
      <c r="O271" s="36"/>
      <c r="P271" s="388"/>
      <c r="Q271" s="35" t="s">
        <v>121</v>
      </c>
      <c r="R271" s="322"/>
      <c r="S271" s="323"/>
      <c r="T271" s="324">
        <f t="shared" ca="1" si="31"/>
        <v>0</v>
      </c>
      <c r="U271" s="321">
        <f t="shared" ca="1" si="30"/>
        <v>0</v>
      </c>
    </row>
    <row r="272" spans="1:23">
      <c r="A272" s="21" t="str">
        <f t="shared" ca="1" si="28"/>
        <v>WP008</v>
      </c>
      <c r="B272" s="21" t="str">
        <f t="shared" ca="1" si="29"/>
        <v>WP008</v>
      </c>
      <c r="C272" s="21">
        <v>7</v>
      </c>
      <c r="D272" s="21" t="s">
        <v>122</v>
      </c>
      <c r="L272" s="21" t="s">
        <v>110</v>
      </c>
      <c r="M272" s="21" t="s">
        <v>80</v>
      </c>
      <c r="N272" s="425"/>
      <c r="O272" s="37"/>
      <c r="P272" s="388"/>
      <c r="Q272" s="35" t="s">
        <v>123</v>
      </c>
      <c r="R272" s="322"/>
      <c r="S272" s="323"/>
      <c r="T272" s="324">
        <f t="shared" ca="1" si="31"/>
        <v>0</v>
      </c>
      <c r="U272" s="321">
        <f t="shared" ca="1" si="30"/>
        <v>0</v>
      </c>
    </row>
    <row r="273" spans="1:21">
      <c r="A273" s="21" t="str">
        <f t="shared" ca="1" si="28"/>
        <v>WP008</v>
      </c>
      <c r="B273" s="21" t="str">
        <f t="shared" ca="1" si="29"/>
        <v>WP008</v>
      </c>
      <c r="C273" s="21">
        <v>4</v>
      </c>
      <c r="D273" s="21" t="s">
        <v>124</v>
      </c>
      <c r="H273" s="21" t="s">
        <v>74</v>
      </c>
      <c r="I273" s="21" t="s">
        <v>125</v>
      </c>
      <c r="M273" s="21" t="s">
        <v>46</v>
      </c>
      <c r="N273" s="425"/>
      <c r="O273" s="398" t="s">
        <v>126</v>
      </c>
      <c r="P273" s="399"/>
      <c r="Q273" s="399"/>
      <c r="R273" s="314"/>
      <c r="S273" s="315"/>
      <c r="T273" s="316">
        <f t="shared" ca="1" si="31"/>
        <v>0</v>
      </c>
      <c r="U273" s="317">
        <f t="shared" ca="1" si="30"/>
        <v>0</v>
      </c>
    </row>
    <row r="274" spans="1:21">
      <c r="A274" s="21" t="str">
        <f t="shared" ca="1" si="28"/>
        <v>WP008</v>
      </c>
      <c r="B274" s="21" t="str">
        <f t="shared" ca="1" si="29"/>
        <v>WP008</v>
      </c>
      <c r="C274" s="21">
        <v>5</v>
      </c>
      <c r="D274" s="21" t="s">
        <v>127</v>
      </c>
      <c r="J274" s="161" t="s">
        <v>125</v>
      </c>
      <c r="M274" s="21" t="s">
        <v>80</v>
      </c>
      <c r="N274" s="425"/>
      <c r="O274" s="38"/>
      <c r="P274" s="417" t="s">
        <v>128</v>
      </c>
      <c r="Q274" s="418"/>
      <c r="R274" s="322"/>
      <c r="S274" s="323"/>
      <c r="T274" s="324">
        <f t="shared" ca="1" si="31"/>
        <v>0</v>
      </c>
      <c r="U274" s="321">
        <f t="shared" ca="1" si="30"/>
        <v>0</v>
      </c>
    </row>
    <row r="275" spans="1:21">
      <c r="A275" s="21" t="str">
        <f t="shared" ca="1" si="28"/>
        <v>WP008</v>
      </c>
      <c r="B275" s="21" t="str">
        <f t="shared" ca="1" si="29"/>
        <v>WP008</v>
      </c>
      <c r="C275" s="21">
        <v>2</v>
      </c>
      <c r="D275" s="21" t="s">
        <v>129</v>
      </c>
      <c r="F275" s="21" t="s">
        <v>130</v>
      </c>
      <c r="G275" s="21" t="s">
        <v>74</v>
      </c>
      <c r="M275" s="21" t="s">
        <v>46</v>
      </c>
      <c r="N275" s="425"/>
      <c r="O275" s="419" t="s">
        <v>131</v>
      </c>
      <c r="P275" s="420"/>
      <c r="Q275" s="420"/>
      <c r="R275" s="330"/>
      <c r="S275" s="331"/>
      <c r="T275" s="332">
        <f t="shared" ca="1" si="31"/>
        <v>0</v>
      </c>
      <c r="U275" s="333">
        <f t="shared" ca="1" si="30"/>
        <v>0</v>
      </c>
    </row>
    <row r="276" spans="1:21">
      <c r="A276" s="21" t="str">
        <f t="shared" ca="1" si="28"/>
        <v>WP008</v>
      </c>
      <c r="B276" s="21" t="str">
        <f t="shared" ca="1" si="29"/>
        <v>WP008</v>
      </c>
      <c r="C276" s="21">
        <v>1</v>
      </c>
      <c r="N276" s="425"/>
      <c r="O276" s="39"/>
      <c r="P276" s="30"/>
      <c r="Q276" s="30"/>
      <c r="R276" s="334"/>
      <c r="S276" s="335"/>
      <c r="T276" s="324"/>
      <c r="U276" s="321"/>
    </row>
    <row r="277" spans="1:21">
      <c r="A277" s="21" t="str">
        <f t="shared" ca="1" si="28"/>
        <v>WP008</v>
      </c>
      <c r="B277" s="21" t="str">
        <f t="shared" ca="1" si="29"/>
        <v>WP008</v>
      </c>
      <c r="C277" s="21">
        <v>2</v>
      </c>
      <c r="D277" s="21" t="s">
        <v>132</v>
      </c>
      <c r="F277" s="21" t="s">
        <v>130</v>
      </c>
      <c r="M277" s="21" t="s">
        <v>133</v>
      </c>
      <c r="N277" s="425"/>
      <c r="O277" s="398" t="s">
        <v>134</v>
      </c>
      <c r="P277" s="399"/>
      <c r="Q277" s="399"/>
      <c r="R277" s="336"/>
      <c r="S277" s="337"/>
      <c r="T277" s="338">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17">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row>
    <row r="278" spans="1:21">
      <c r="A278" s="21" t="str">
        <f t="shared" ca="1" si="28"/>
        <v>WP008</v>
      </c>
      <c r="B278" s="21" t="str">
        <f t="shared" ca="1" si="29"/>
        <v>WP008</v>
      </c>
      <c r="C278" s="21">
        <v>1</v>
      </c>
      <c r="N278" s="425"/>
      <c r="O278" s="40"/>
      <c r="P278" s="388"/>
      <c r="Q278" s="388"/>
      <c r="R278" s="334"/>
      <c r="S278" s="335"/>
      <c r="T278" s="324"/>
      <c r="U278" s="321"/>
    </row>
    <row r="279" spans="1:21" ht="12.75" thickBot="1">
      <c r="A279" s="21" t="str">
        <f t="shared" ca="1" si="28"/>
        <v>ENDWP008</v>
      </c>
      <c r="B279" s="21" t="str">
        <f t="shared" ca="1" si="29"/>
        <v>WP008</v>
      </c>
      <c r="C279" s="21">
        <v>0</v>
      </c>
      <c r="D279" s="21" t="s">
        <v>135</v>
      </c>
      <c r="E279" s="21" t="s">
        <v>130</v>
      </c>
      <c r="M279" s="21" t="s">
        <v>46</v>
      </c>
      <c r="N279" s="426"/>
      <c r="O279" s="421" t="str">
        <f ca="1">"TOTAL COSTS (A+B+C+D+E) - " &amp; OFFSET(O279,-26,0)</f>
        <v xml:space="preserve">TOTAL COSTS (A+B+C+D+E) - </v>
      </c>
      <c r="P279" s="422"/>
      <c r="Q279" s="422"/>
      <c r="R279" s="339"/>
      <c r="S279" s="340"/>
      <c r="T279" s="341">
        <f t="shared" ca="1" si="31"/>
        <v>0</v>
      </c>
      <c r="U279" s="342">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row>
    <row r="280" spans="1:21" ht="12.75" thickTop="1"/>
  </sheetData>
  <sheetProtection algorithmName="SHA-512" hashValue="39C9affNvVf4gMdYnTSP2IxYiFONiFmH1QbWov3hbC4paJv7DxySgrLX+Zu8UlYjf+v4jFAHkiDq71DuqIHT/w==" saltValue="QtgkGTdppz6f+EHmdWGAyw==" spinCount="100000" sheet="1" objects="1" scenarios="1"/>
  <mergeCells count="149">
    <mergeCell ref="Q3:Q4"/>
    <mergeCell ref="R3:T3"/>
    <mergeCell ref="U3:U4"/>
    <mergeCell ref="R4:T4"/>
    <mergeCell ref="O7:Q7"/>
    <mergeCell ref="O9:Q9"/>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58:Q158"/>
    <mergeCell ref="P159:Q159"/>
    <mergeCell ref="P163:Q163"/>
    <mergeCell ref="P164:Q164"/>
    <mergeCell ref="O171:Q171"/>
    <mergeCell ref="P172:Q172"/>
    <mergeCell ref="O143:Q143"/>
    <mergeCell ref="O145:Q145"/>
    <mergeCell ref="N146:N177"/>
    <mergeCell ref="O146:Q146"/>
    <mergeCell ref="P147:Q147"/>
    <mergeCell ref="P153:Q153"/>
    <mergeCell ref="P154:Q154"/>
    <mergeCell ref="P155:Q155"/>
    <mergeCell ref="P156:Q156"/>
    <mergeCell ref="O157:Q157"/>
    <mergeCell ref="O173:Q173"/>
    <mergeCell ref="O175:Q175"/>
    <mergeCell ref="O177:Q177"/>
    <mergeCell ref="O179:Q179"/>
    <mergeCell ref="N180:N211"/>
    <mergeCell ref="O180:Q180"/>
    <mergeCell ref="P181:Q181"/>
    <mergeCell ref="P187:Q187"/>
    <mergeCell ref="P188:Q188"/>
    <mergeCell ref="P189:Q189"/>
    <mergeCell ref="O205:Q205"/>
    <mergeCell ref="P206:Q206"/>
    <mergeCell ref="O207:Q207"/>
    <mergeCell ref="O209:Q209"/>
    <mergeCell ref="O211:Q211"/>
    <mergeCell ref="O213:Q213"/>
    <mergeCell ref="P190:Q190"/>
    <mergeCell ref="O191:Q191"/>
    <mergeCell ref="O192:Q192"/>
    <mergeCell ref="P193:Q193"/>
    <mergeCell ref="P197:Q197"/>
    <mergeCell ref="P198:Q198"/>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O245:Q245"/>
    <mergeCell ref="O247:Q247"/>
    <mergeCell ref="N248:N279"/>
    <mergeCell ref="O248:Q248"/>
    <mergeCell ref="P249:Q249"/>
    <mergeCell ref="P255:Q255"/>
    <mergeCell ref="P256:Q256"/>
    <mergeCell ref="P257:Q257"/>
    <mergeCell ref="P258:Q258"/>
    <mergeCell ref="O259:Q259"/>
    <mergeCell ref="O275:Q275"/>
    <mergeCell ref="O277:Q277"/>
    <mergeCell ref="O279:Q279"/>
    <mergeCell ref="O260:Q260"/>
    <mergeCell ref="P261:Q261"/>
    <mergeCell ref="P265:Q265"/>
    <mergeCell ref="P266:Q266"/>
    <mergeCell ref="O273:Q273"/>
    <mergeCell ref="P274:Q274"/>
  </mergeCells>
  <conditionalFormatting sqref="R3:T5">
    <cfRule type="expression" dxfId="329" priority="9">
      <formula>OFFSET(R3,ROW(R$2)-ROW(R3),R$6)="BE"</formula>
    </cfRule>
  </conditionalFormatting>
  <conditionalFormatting sqref="R39">
    <cfRule type="expression" dxfId="328" priority="8">
      <formula>INT(R39)&lt;&gt;R39</formula>
    </cfRule>
  </conditionalFormatting>
  <conditionalFormatting sqref="R73">
    <cfRule type="expression" dxfId="327" priority="7">
      <formula>INT(R73)&lt;&gt;R73</formula>
    </cfRule>
  </conditionalFormatting>
  <conditionalFormatting sqref="R107">
    <cfRule type="expression" dxfId="326" priority="6">
      <formula>INT(R107)&lt;&gt;R107</formula>
    </cfRule>
  </conditionalFormatting>
  <conditionalFormatting sqref="R141">
    <cfRule type="expression" dxfId="325" priority="5">
      <formula>INT(R141)&lt;&gt;R141</formula>
    </cfRule>
  </conditionalFormatting>
  <conditionalFormatting sqref="R175">
    <cfRule type="expression" dxfId="324" priority="4">
      <formula>INT(R175)&lt;&gt;R175</formula>
    </cfRule>
  </conditionalFormatting>
  <conditionalFormatting sqref="R209">
    <cfRule type="expression" dxfId="323" priority="3">
      <formula>INT(R209)&lt;&gt;R209</formula>
    </cfRule>
  </conditionalFormatting>
  <conditionalFormatting sqref="R243">
    <cfRule type="expression" dxfId="322" priority="2">
      <formula>INT(R243)&lt;&gt;R243</formula>
    </cfRule>
  </conditionalFormatting>
  <conditionalFormatting sqref="R277">
    <cfRule type="expression" dxfId="321" priority="1">
      <formula>INT(R277)&lt;&gt;R277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4"/>
    <pageSetUpPr fitToPage="1"/>
  </sheetPr>
  <dimension ref="A1:BP280"/>
  <sheetViews>
    <sheetView showGridLines="0" zoomScaleNormal="100" workbookViewId="0">
      <pane xSplit="17" ySplit="8" topLeftCell="R32" activePane="bottomRight" state="frozen"/>
      <selection pane="topRight" activeCell="R1" sqref="R1"/>
      <selection pane="bottomLeft" activeCell="A9" sqref="A9"/>
      <selection pane="bottomRight" activeCell="BM2" sqref="BM2"/>
    </sheetView>
  </sheetViews>
  <sheetFormatPr defaultColWidth="4.5703125" defaultRowHeight="12"/>
  <cols>
    <col min="1" max="1" width="10.5703125" style="221" hidden="1" customWidth="1"/>
    <col min="2" max="2" width="6" style="221" hidden="1" customWidth="1"/>
    <col min="3" max="3" width="1.85546875" style="221" hidden="1" customWidth="1"/>
    <col min="4" max="4" width="8.7109375" style="221" hidden="1" customWidth="1"/>
    <col min="5" max="5" width="3" style="221" hidden="1" customWidth="1"/>
    <col min="6" max="6" width="3.5703125" style="221" hidden="1" customWidth="1"/>
    <col min="7" max="8" width="3.7109375" style="221" hidden="1" customWidth="1"/>
    <col min="9" max="9" width="3" style="221" hidden="1" customWidth="1"/>
    <col min="10" max="10" width="3" style="222" hidden="1" customWidth="1"/>
    <col min="11" max="12" width="2.7109375" style="221" hidden="1" customWidth="1"/>
    <col min="13" max="13" width="2.28515625" style="221" hidden="1" customWidth="1"/>
    <col min="14" max="14" width="4.7109375" style="221" bestFit="1" customWidth="1"/>
    <col min="15" max="16" width="2.7109375" style="224" bestFit="1" customWidth="1"/>
    <col min="17" max="17" width="63" style="224" bestFit="1" customWidth="1"/>
    <col min="18" max="18" width="7.85546875" style="260" bestFit="1" customWidth="1"/>
    <col min="19" max="19" width="10.85546875" style="261" bestFit="1" customWidth="1"/>
    <col min="20" max="20" width="12.5703125" style="261" bestFit="1" customWidth="1"/>
    <col min="21" max="21" width="17.7109375" style="262" bestFit="1" customWidth="1"/>
    <col min="22" max="22" width="7.85546875" style="260" bestFit="1" customWidth="1"/>
    <col min="23" max="23" width="10.85546875" style="261" bestFit="1" customWidth="1"/>
    <col min="24" max="24" width="12.5703125" style="261" bestFit="1" customWidth="1"/>
    <col min="25" max="25" width="17.7109375" style="262" bestFit="1" customWidth="1"/>
    <col min="26" max="26" width="7.85546875" style="260" bestFit="1" customWidth="1"/>
    <col min="27" max="27" width="10.85546875" style="261" bestFit="1" customWidth="1"/>
    <col min="28" max="28" width="12.5703125" style="261" bestFit="1" customWidth="1"/>
    <col min="29" max="29" width="17.7109375" style="262" bestFit="1" customWidth="1"/>
    <col min="30" max="30" width="7.85546875" style="260" bestFit="1" customWidth="1"/>
    <col min="31" max="31" width="10.85546875" style="261" bestFit="1" customWidth="1"/>
    <col min="32" max="32" width="12.5703125" style="261" bestFit="1" customWidth="1"/>
    <col min="33" max="33" width="17.7109375" style="262" bestFit="1" customWidth="1"/>
    <col min="34" max="34" width="7.85546875" style="260" bestFit="1" customWidth="1"/>
    <col min="35" max="35" width="10.85546875" style="261" bestFit="1" customWidth="1"/>
    <col min="36" max="36" width="12.5703125" style="261" bestFit="1" customWidth="1"/>
    <col min="37" max="37" width="17.7109375" style="262" bestFit="1" customWidth="1"/>
    <col min="38" max="38" width="7.85546875" style="260" bestFit="1" customWidth="1"/>
    <col min="39" max="39" width="10.85546875" style="261" bestFit="1" customWidth="1"/>
    <col min="40" max="40" width="12.5703125" style="261" bestFit="1" customWidth="1"/>
    <col min="41" max="41" width="17.7109375" style="262" bestFit="1" customWidth="1"/>
    <col min="42" max="42" width="7.85546875" style="260" bestFit="1" customWidth="1"/>
    <col min="43" max="43" width="10.85546875" style="261" bestFit="1" customWidth="1"/>
    <col min="44" max="44" width="12.5703125" style="261" bestFit="1" customWidth="1"/>
    <col min="45" max="45" width="17.7109375" style="262" bestFit="1" customWidth="1"/>
    <col min="46" max="46" width="7.85546875" style="260" bestFit="1" customWidth="1"/>
    <col min="47" max="47" width="10.85546875" style="261" bestFit="1" customWidth="1"/>
    <col min="48" max="48" width="12.5703125" style="261" bestFit="1" customWidth="1"/>
    <col min="49" max="49" width="17.7109375" style="262" bestFit="1" customWidth="1"/>
    <col min="50" max="50" width="7.85546875" style="260" bestFit="1" customWidth="1"/>
    <col min="51" max="51" width="10.85546875" style="261" bestFit="1" customWidth="1"/>
    <col min="52" max="52" width="12.5703125" style="261" bestFit="1" customWidth="1"/>
    <col min="53" max="53" width="17.7109375" style="262" bestFit="1" customWidth="1"/>
    <col min="54" max="54" width="7.85546875" style="260" bestFit="1" customWidth="1"/>
    <col min="55" max="55" width="10.85546875" style="261" bestFit="1" customWidth="1"/>
    <col min="56" max="56" width="12.5703125" style="261" bestFit="1" customWidth="1"/>
    <col min="57" max="57" width="17.7109375" style="262" bestFit="1" customWidth="1"/>
    <col min="58" max="58" width="7.85546875" style="260" bestFit="1" customWidth="1"/>
    <col min="59" max="59" width="10.85546875" style="261" bestFit="1" customWidth="1"/>
    <col min="60" max="60" width="12.5703125" style="261" bestFit="1" customWidth="1"/>
    <col min="61" max="61" width="17.7109375" style="262" bestFit="1" customWidth="1"/>
    <col min="62" max="62" width="7.85546875" style="260" bestFit="1" customWidth="1"/>
    <col min="63" max="63" width="10.85546875" style="261" bestFit="1" customWidth="1"/>
    <col min="64" max="64" width="12.5703125" style="261" bestFit="1" customWidth="1"/>
    <col min="65" max="66" width="17.7109375" style="262" bestFit="1" customWidth="1"/>
    <col min="67" max="68" width="4.5703125" style="221"/>
    <col min="69" max="69" width="17.42578125" style="221" bestFit="1" customWidth="1"/>
    <col min="70" max="16384" width="4.5703125" style="221"/>
  </cols>
  <sheetData>
    <row r="1" spans="1:68" ht="23.25" hidden="1">
      <c r="A1" s="220">
        <v>8</v>
      </c>
      <c r="B1" s="221">
        <f ca="1">IF(ISERROR(MATCH("STARTWP" &amp; TEXT(A1,"000"),A:A,0)),"N",MATCH("STARTWP" &amp; TEXT(A1,"000"),A:A,0))</f>
        <v>247</v>
      </c>
      <c r="C1" s="221">
        <f>COUNTIF(E:E,"GT")</f>
        <v>8</v>
      </c>
      <c r="D1" s="221">
        <f ca="1">IF(ISERROR(MATCH("ENDWP" &amp; TEXT(A1,"000"),A:A,0)),"N",MATCH("ENDWP" &amp; TEXT(A1,"000"),A:A,0))</f>
        <v>279</v>
      </c>
      <c r="F1" s="221">
        <f ca="1">COUNTA(A:A)</f>
        <v>280</v>
      </c>
      <c r="H1" s="221" t="s">
        <v>138</v>
      </c>
      <c r="I1" s="221">
        <f ca="1">MATCH(H1,2:2,0)</f>
        <v>66</v>
      </c>
      <c r="J1" s="222">
        <f ca="1">MATCH("BE",2:2,0)</f>
        <v>18</v>
      </c>
      <c r="K1" s="221">
        <f ca="1">COUNTIF(2:2,"TP")</f>
        <v>0</v>
      </c>
      <c r="N1" s="223" t="s">
        <v>136</v>
      </c>
      <c r="O1" s="224" t="s">
        <v>64</v>
      </c>
      <c r="P1" s="224" t="s">
        <v>64</v>
      </c>
      <c r="Q1" s="224" t="s">
        <v>65</v>
      </c>
      <c r="R1" s="221" t="s">
        <v>66</v>
      </c>
      <c r="S1" s="225" t="s">
        <v>67</v>
      </c>
      <c r="T1" s="225" t="s">
        <v>68</v>
      </c>
      <c r="U1" s="390" t="s">
        <v>69</v>
      </c>
      <c r="V1" s="221" t="s">
        <v>66</v>
      </c>
      <c r="W1" s="225" t="s">
        <v>67</v>
      </c>
      <c r="X1" s="225" t="s">
        <v>68</v>
      </c>
      <c r="Y1" s="390" t="s">
        <v>69</v>
      </c>
      <c r="Z1" s="221" t="s">
        <v>66</v>
      </c>
      <c r="AA1" s="225" t="s">
        <v>67</v>
      </c>
      <c r="AB1" s="225" t="s">
        <v>68</v>
      </c>
      <c r="AC1" s="390" t="s">
        <v>69</v>
      </c>
      <c r="AD1" s="221" t="s">
        <v>66</v>
      </c>
      <c r="AE1" s="225" t="s">
        <v>67</v>
      </c>
      <c r="AF1" s="225" t="s">
        <v>68</v>
      </c>
      <c r="AG1" s="390" t="s">
        <v>69</v>
      </c>
      <c r="AH1" s="221" t="s">
        <v>66</v>
      </c>
      <c r="AI1" s="225" t="s">
        <v>67</v>
      </c>
      <c r="AJ1" s="225" t="s">
        <v>68</v>
      </c>
      <c r="AK1" s="390" t="s">
        <v>69</v>
      </c>
      <c r="AL1" s="221" t="s">
        <v>66</v>
      </c>
      <c r="AM1" s="225" t="s">
        <v>67</v>
      </c>
      <c r="AN1" s="225" t="s">
        <v>68</v>
      </c>
      <c r="AO1" s="390" t="s">
        <v>69</v>
      </c>
      <c r="AP1" s="221" t="s">
        <v>66</v>
      </c>
      <c r="AQ1" s="225" t="s">
        <v>67</v>
      </c>
      <c r="AR1" s="225" t="s">
        <v>68</v>
      </c>
      <c r="AS1" s="390" t="s">
        <v>69</v>
      </c>
      <c r="AT1" s="221" t="s">
        <v>66</v>
      </c>
      <c r="AU1" s="225" t="s">
        <v>67</v>
      </c>
      <c r="AV1" s="225" t="s">
        <v>68</v>
      </c>
      <c r="AW1" s="390" t="s">
        <v>69</v>
      </c>
      <c r="AX1" s="221" t="s">
        <v>66</v>
      </c>
      <c r="AY1" s="225" t="s">
        <v>67</v>
      </c>
      <c r="AZ1" s="225" t="s">
        <v>68</v>
      </c>
      <c r="BA1" s="390" t="s">
        <v>69</v>
      </c>
      <c r="BB1" s="221" t="s">
        <v>66</v>
      </c>
      <c r="BC1" s="225" t="s">
        <v>67</v>
      </c>
      <c r="BD1" s="225" t="s">
        <v>68</v>
      </c>
      <c r="BE1" s="390" t="s">
        <v>69</v>
      </c>
      <c r="BF1" s="221" t="s">
        <v>66</v>
      </c>
      <c r="BG1" s="225" t="s">
        <v>67</v>
      </c>
      <c r="BH1" s="225" t="s">
        <v>68</v>
      </c>
      <c r="BI1" s="390" t="s">
        <v>69</v>
      </c>
      <c r="BJ1" s="221" t="s">
        <v>66</v>
      </c>
      <c r="BK1" s="225" t="s">
        <v>67</v>
      </c>
      <c r="BL1" s="225" t="s">
        <v>68</v>
      </c>
      <c r="BM1" s="390" t="s">
        <v>69</v>
      </c>
      <c r="BN1" s="390" t="s">
        <v>69</v>
      </c>
    </row>
    <row r="2" spans="1:68" ht="24" hidden="1" thickBot="1">
      <c r="A2" s="221" t="e">
        <f ca="1">INDIRECT("'"&amp; MID(OFFSET(A2,ROW(A$3)-ROW(A2),IF(OFFSET(A2,ROW(A$2)-ROW(A2),2)="T",0,IF(OFFSET(A2,ROW(A$2)-ROW(A2),1)="T",-1,-2))),1,6) &amp; "'!" &amp; ADDRESS(ROW(A2),MATCH(INDIRECT(ADDRESS(2,COLUMN(A2)+IF(OFFSET(A2,ROW(A$2)-ROW(A2),2)="T",1,IF(OFFSET(A2,ROW(A$2)-ROW(A2),1)="T",0,-1))),TRUE),INDIRECT("'"&amp; MID(OFFSET(A2,ROW(A$3)-ROW(A2),IF(OFFSET(A2,ROW(A$2)-ROW(A2),2)="T",0,IF(OFFSET(A2,ROW(A$2)-ROW(A2),1)="T",-1,-2))),1,6) &amp; "'!2:2",TRUE),0)-IF(OFFSET(A2,ROW(A$2)-ROW(A2),2)="T",1,IF(OFFSET(A2,ROW(A$2)-ROW(A2),1)="T",0,-1))),TRUE)</f>
        <v>#REF!</v>
      </c>
      <c r="N2" s="223">
        <v>99</v>
      </c>
      <c r="R2" s="221" t="str">
        <f ca="1">IF(OFFSET(R2,0,1)="","TT",IF(INT(OFFSET(R2,0,1))=OFFSET(R2,0,1),"BE","TP"))</f>
        <v>BE</v>
      </c>
      <c r="S2" s="226">
        <v>1</v>
      </c>
      <c r="T2" s="225" t="str">
        <f ca="1">IF(OFFSET(T2,0,-2)="TT","E","T")</f>
        <v>T</v>
      </c>
      <c r="U2" s="390" t="s">
        <v>63</v>
      </c>
      <c r="V2" s="221" t="str">
        <f ca="1">IF(OFFSET(V2,0,1)="","TT",IF(INT(OFFSET(V2,0,1))=OFFSET(V2,0,1),"BE","TP"))</f>
        <v>BE</v>
      </c>
      <c r="W2" s="226">
        <v>2</v>
      </c>
      <c r="X2" s="225" t="str">
        <f ca="1">IF(OFFSET(X2,0,-2)="TT","E","T")</f>
        <v>T</v>
      </c>
      <c r="Y2" s="390" t="s">
        <v>63</v>
      </c>
      <c r="Z2" s="221" t="str">
        <f ca="1">IF(OFFSET(Z2,0,1)="","TT",IF(INT(OFFSET(Z2,0,1))=OFFSET(Z2,0,1),"BE","TP"))</f>
        <v>BE</v>
      </c>
      <c r="AA2" s="226">
        <v>3</v>
      </c>
      <c r="AB2" s="225" t="str">
        <f ca="1">IF(OFFSET(AB2,0,-2)="TT","E","T")</f>
        <v>T</v>
      </c>
      <c r="AC2" s="390" t="s">
        <v>63</v>
      </c>
      <c r="AD2" s="221" t="str">
        <f ca="1">IF(OFFSET(AD2,0,1)="","TT",IF(INT(OFFSET(AD2,0,1))=OFFSET(AD2,0,1),"BE","TP"))</f>
        <v>BE</v>
      </c>
      <c r="AE2" s="226">
        <v>4</v>
      </c>
      <c r="AF2" s="225" t="str">
        <f ca="1">IF(OFFSET(AF2,0,-2)="TT","E","T")</f>
        <v>T</v>
      </c>
      <c r="AG2" s="390" t="s">
        <v>63</v>
      </c>
      <c r="AH2" s="221" t="str">
        <f ca="1">IF(OFFSET(AH2,0,1)="","TT",IF(INT(OFFSET(AH2,0,1))=OFFSET(AH2,0,1),"BE","TP"))</f>
        <v>BE</v>
      </c>
      <c r="AI2" s="226">
        <v>5</v>
      </c>
      <c r="AJ2" s="225" t="str">
        <f ca="1">IF(OFFSET(AJ2,0,-2)="TT","E","T")</f>
        <v>T</v>
      </c>
      <c r="AK2" s="390" t="s">
        <v>63</v>
      </c>
      <c r="AL2" s="221" t="str">
        <f ca="1">IF(OFFSET(AL2,0,1)="","TT",IF(INT(OFFSET(AL2,0,1))=OFFSET(AL2,0,1),"BE","TP"))</f>
        <v>BE</v>
      </c>
      <c r="AM2" s="226">
        <v>6</v>
      </c>
      <c r="AN2" s="225" t="str">
        <f ca="1">IF(OFFSET(AN2,0,-2)="TT","E","T")</f>
        <v>T</v>
      </c>
      <c r="AO2" s="390" t="s">
        <v>63</v>
      </c>
      <c r="AP2" s="221" t="str">
        <f ca="1">IF(OFFSET(AP2,0,1)="","TT",IF(INT(OFFSET(AP2,0,1))=OFFSET(AP2,0,1),"BE","TP"))</f>
        <v>BE</v>
      </c>
      <c r="AQ2" s="226">
        <v>7</v>
      </c>
      <c r="AR2" s="225" t="str">
        <f ca="1">IF(OFFSET(AR2,0,-2)="TT","E","T")</f>
        <v>T</v>
      </c>
      <c r="AS2" s="390" t="s">
        <v>63</v>
      </c>
      <c r="AT2" s="221" t="str">
        <f ca="1">IF(OFFSET(AT2,0,1)="","TT",IF(INT(OFFSET(AT2,0,1))=OFFSET(AT2,0,1),"BE","TP"))</f>
        <v>BE</v>
      </c>
      <c r="AU2" s="226">
        <v>8</v>
      </c>
      <c r="AV2" s="225" t="str">
        <f ca="1">IF(OFFSET(AV2,0,-2)="TT","E","T")</f>
        <v>T</v>
      </c>
      <c r="AW2" s="390" t="s">
        <v>63</v>
      </c>
      <c r="AX2" s="221" t="str">
        <f ca="1">IF(OFFSET(AX2,0,1)="","TT",IF(INT(OFFSET(AX2,0,1))=OFFSET(AX2,0,1),"BE","TP"))</f>
        <v>BE</v>
      </c>
      <c r="AY2" s="226">
        <v>9</v>
      </c>
      <c r="AZ2" s="225" t="str">
        <f ca="1">IF(OFFSET(AZ2,0,-2)="TT","E","T")</f>
        <v>T</v>
      </c>
      <c r="BA2" s="390" t="s">
        <v>63</v>
      </c>
      <c r="BB2" s="221" t="str">
        <f ca="1">IF(OFFSET(BB2,0,1)="","TT",IF(INT(OFFSET(BB2,0,1))=OFFSET(BB2,0,1),"BE","TP"))</f>
        <v>BE</v>
      </c>
      <c r="BC2" s="226">
        <v>10</v>
      </c>
      <c r="BD2" s="225" t="str">
        <f ca="1">IF(OFFSET(BD2,0,-2)="TT","E","T")</f>
        <v>T</v>
      </c>
      <c r="BE2" s="390" t="s">
        <v>63</v>
      </c>
      <c r="BF2" s="221" t="str">
        <f ca="1">IF(OFFSET(BF2,0,1)="","TT",IF(INT(OFFSET(BF2,0,1))=OFFSET(BF2,0,1),"BE","TP"))</f>
        <v>BE</v>
      </c>
      <c r="BG2" s="226">
        <v>11</v>
      </c>
      <c r="BH2" s="225" t="str">
        <f ca="1">IF(OFFSET(BH2,0,-2)="TT","E","T")</f>
        <v>T</v>
      </c>
      <c r="BI2" s="390" t="s">
        <v>63</v>
      </c>
      <c r="BJ2" s="221" t="str">
        <f ca="1">IF(OFFSET(BJ2,0,1)="","TT",IF(INT(OFFSET(BJ2,0,1))=OFFSET(BJ2,0,1),"BE","TP"))</f>
        <v>BE</v>
      </c>
      <c r="BK2" s="226">
        <v>12</v>
      </c>
      <c r="BL2" s="225" t="str">
        <f ca="1">IF(OFFSET(BL2,0,-2)="TT","E","T")</f>
        <v>T</v>
      </c>
      <c r="BM2" s="390" t="s">
        <v>63</v>
      </c>
      <c r="BN2" s="390" t="s">
        <v>138</v>
      </c>
    </row>
    <row r="3" spans="1:68" ht="15">
      <c r="A3" s="221" t="s">
        <v>70</v>
      </c>
      <c r="N3" s="227"/>
      <c r="Q3" s="466" t="str">
        <f ca="1">""&amp;IF(OFFSET(Q3,-2,-3)="C","DETAILED",INDIRECT("'Beneficiaries List'!A" &amp; MATCH(OFFSET(Q3,-2,-3),'Beneficiaries List'!$J:$J,0),TRUE))</f>
        <v>DETAILED</v>
      </c>
      <c r="R3" s="442" t="str">
        <f ca="1">""&amp;INDIRECT("'Beneficiaries List'!A" &amp; MATCH(OFFSET(R3,-1,1),'Beneficiaries List'!$K:$K,0),TRUE)</f>
        <v>BE 001</v>
      </c>
      <c r="S3" s="443"/>
      <c r="T3" s="444"/>
      <c r="U3" s="448" t="str">
        <f ca="1">IF(U2="TBE","BE " &amp; TEXT(INDIRECT(ADDRESS(2,MATCH(INT(OFFSET(U3,-1,-2)),2:2,0)),TRUE),"000"),"PROJECT")</f>
        <v>BE 001</v>
      </c>
      <c r="V3" s="442" t="str">
        <f ca="1">""&amp;INDIRECT("'Beneficiaries List'!A" &amp; MATCH(OFFSET(V3,-1,1),'Beneficiaries List'!$K:$K,0),TRUE)</f>
        <v>BE 002</v>
      </c>
      <c r="W3" s="443"/>
      <c r="X3" s="444"/>
      <c r="Y3" s="448" t="str">
        <f ca="1">IF(Y2="TBE","BE " &amp; TEXT(INDIRECT(ADDRESS(2,MATCH(INT(OFFSET(Y3,-1,-2)),2:2,0)),TRUE),"000"),"PROJECT")</f>
        <v>BE 002</v>
      </c>
      <c r="Z3" s="442" t="str">
        <f ca="1">""&amp;INDIRECT("'Beneficiaries List'!A" &amp; MATCH(OFFSET(Z3,-1,1),'Beneficiaries List'!$K:$K,0),TRUE)</f>
        <v>BE 003</v>
      </c>
      <c r="AA3" s="443"/>
      <c r="AB3" s="444"/>
      <c r="AC3" s="448" t="str">
        <f ca="1">IF(AC2="TBE","BE " &amp; TEXT(INDIRECT(ADDRESS(2,MATCH(INT(OFFSET(AC3,-1,-2)),2:2,0)),TRUE),"000"),"PROJECT")</f>
        <v>BE 003</v>
      </c>
      <c r="AD3" s="442" t="str">
        <f ca="1">""&amp;INDIRECT("'Beneficiaries List'!A" &amp; MATCH(OFFSET(AD3,-1,1),'Beneficiaries List'!$K:$K,0),TRUE)</f>
        <v>BE 004</v>
      </c>
      <c r="AE3" s="443"/>
      <c r="AF3" s="444"/>
      <c r="AG3" s="448" t="str">
        <f ca="1">IF(AG2="TBE","BE " &amp; TEXT(INDIRECT(ADDRESS(2,MATCH(INT(OFFSET(AG3,-1,-2)),2:2,0)),TRUE),"000"),"PROJECT")</f>
        <v>BE 004</v>
      </c>
      <c r="AH3" s="442" t="str">
        <f ca="1">""&amp;INDIRECT("'Beneficiaries List'!A" &amp; MATCH(OFFSET(AH3,-1,1),'Beneficiaries List'!$K:$K,0),TRUE)</f>
        <v>BE 005</v>
      </c>
      <c r="AI3" s="443"/>
      <c r="AJ3" s="444"/>
      <c r="AK3" s="448" t="str">
        <f ca="1">IF(AK2="TBE","BE " &amp; TEXT(INDIRECT(ADDRESS(2,MATCH(INT(OFFSET(AK3,-1,-2)),2:2,0)),TRUE),"000"),"PROJECT")</f>
        <v>BE 005</v>
      </c>
      <c r="AL3" s="442" t="str">
        <f ca="1">""&amp;INDIRECT("'Beneficiaries List'!A" &amp; MATCH(OFFSET(AL3,-1,1),'Beneficiaries List'!$K:$K,0),TRUE)</f>
        <v>BE 006</v>
      </c>
      <c r="AM3" s="443"/>
      <c r="AN3" s="444"/>
      <c r="AO3" s="448" t="str">
        <f ca="1">IF(AO2="TBE","BE " &amp; TEXT(INDIRECT(ADDRESS(2,MATCH(INT(OFFSET(AO3,-1,-2)),2:2,0)),TRUE),"000"),"PROJECT")</f>
        <v>BE 006</v>
      </c>
      <c r="AP3" s="442" t="str">
        <f ca="1">""&amp;INDIRECT("'Beneficiaries List'!A" &amp; MATCH(OFFSET(AP3,-1,1),'Beneficiaries List'!$K:$K,0),TRUE)</f>
        <v>BE 007</v>
      </c>
      <c r="AQ3" s="443"/>
      <c r="AR3" s="444"/>
      <c r="AS3" s="448" t="str">
        <f ca="1">IF(AS2="TBE","BE " &amp; TEXT(INDIRECT(ADDRESS(2,MATCH(INT(OFFSET(AS3,-1,-2)),2:2,0)),TRUE),"000"),"PROJECT")</f>
        <v>BE 007</v>
      </c>
      <c r="AT3" s="442" t="str">
        <f ca="1">""&amp;INDIRECT("'Beneficiaries List'!A" &amp; MATCH(OFFSET(AT3,-1,1),'Beneficiaries List'!$K:$K,0),TRUE)</f>
        <v>BE 008</v>
      </c>
      <c r="AU3" s="443"/>
      <c r="AV3" s="444"/>
      <c r="AW3" s="448" t="str">
        <f ca="1">IF(AW2="TBE","BE " &amp; TEXT(INDIRECT(ADDRESS(2,MATCH(INT(OFFSET(AW3,-1,-2)),2:2,0)),TRUE),"000"),"PROJECT")</f>
        <v>BE 008</v>
      </c>
      <c r="AX3" s="442" t="str">
        <f ca="1">""&amp;INDIRECT("'Beneficiaries List'!A" &amp; MATCH(OFFSET(AX3,-1,1),'Beneficiaries List'!$K:$K,0),TRUE)</f>
        <v>BE 009</v>
      </c>
      <c r="AY3" s="443"/>
      <c r="AZ3" s="444"/>
      <c r="BA3" s="448" t="str">
        <f ca="1">IF(BA2="TBE","BE " &amp; TEXT(INDIRECT(ADDRESS(2,MATCH(INT(OFFSET(BA3,-1,-2)),2:2,0)),TRUE),"000"),"PROJECT")</f>
        <v>BE 009</v>
      </c>
      <c r="BB3" s="442" t="str">
        <f ca="1">""&amp;INDIRECT("'Beneficiaries List'!A" &amp; MATCH(OFFSET(BB3,-1,1),'Beneficiaries List'!$K:$K,0),TRUE)</f>
        <v>BE 010</v>
      </c>
      <c r="BC3" s="443"/>
      <c r="BD3" s="444"/>
      <c r="BE3" s="448" t="str">
        <f ca="1">IF(BE2="TBE","BE " &amp; TEXT(INDIRECT(ADDRESS(2,MATCH(INT(OFFSET(BE3,-1,-2)),2:2,0)),TRUE),"000"),"PROJECT")</f>
        <v>BE 010</v>
      </c>
      <c r="BF3" s="442" t="str">
        <f ca="1">""&amp;INDIRECT("'Beneficiaries List'!A" &amp; MATCH(OFFSET(BF3,-1,1),'Beneficiaries List'!$K:$K,0),TRUE)</f>
        <v>BE 011</v>
      </c>
      <c r="BG3" s="443"/>
      <c r="BH3" s="444"/>
      <c r="BI3" s="448" t="str">
        <f ca="1">IF(BI2="TBE","BE " &amp; TEXT(INDIRECT(ADDRESS(2,MATCH(INT(OFFSET(BI3,-1,-2)),2:2,0)),TRUE),"000"),"PROJECT")</f>
        <v>BE 011</v>
      </c>
      <c r="BJ3" s="442" t="str">
        <f ca="1">""&amp;INDIRECT("'Beneficiaries List'!A" &amp; MATCH(OFFSET(BJ3,-1,1),'Beneficiaries List'!$K:$K,0),TRUE)</f>
        <v>BE 012</v>
      </c>
      <c r="BK3" s="443"/>
      <c r="BL3" s="444"/>
      <c r="BM3" s="448" t="str">
        <f ca="1">IF(BM2="TBE","BE " &amp; TEXT(INDIRECT(ADDRESS(2,MATCH(INT(OFFSET(BM3,-1,-2)),2:2,0)),TRUE),"000"),"PROJECT")</f>
        <v>BE 012</v>
      </c>
      <c r="BN3" s="448" t="str">
        <f ca="1">IF(BN2="TBE","BE " &amp; TEXT(INDIRECT(ADDRESS(2,MATCH(INT(OFFSET(BN3,-1,-2)),2:2,0)),TRUE),"000"),"PROJECT")</f>
        <v>PROJECT</v>
      </c>
    </row>
    <row r="4" spans="1:68" ht="15">
      <c r="A4" s="221" t="s">
        <v>70</v>
      </c>
      <c r="N4" s="227"/>
      <c r="Q4" s="466"/>
      <c r="R4" s="445" t="str">
        <f ca="1">""&amp;INDIRECT("'Beneficiaries List'!B" &amp; MATCH(OFFSET(R4,-2,1),'Beneficiaries List'!$K:$K,0),TRUE)</f>
        <v/>
      </c>
      <c r="S4" s="446"/>
      <c r="T4" s="447"/>
      <c r="U4" s="449"/>
      <c r="V4" s="445" t="str">
        <f ca="1">""&amp;INDIRECT("'Beneficiaries List'!B" &amp; MATCH(OFFSET(V4,-2,1),'Beneficiaries List'!$K:$K,0),TRUE)</f>
        <v/>
      </c>
      <c r="W4" s="446"/>
      <c r="X4" s="447"/>
      <c r="Y4" s="449"/>
      <c r="Z4" s="445" t="str">
        <f ca="1">""&amp;INDIRECT("'Beneficiaries List'!B" &amp; MATCH(OFFSET(Z4,-2,1),'Beneficiaries List'!$K:$K,0),TRUE)</f>
        <v/>
      </c>
      <c r="AA4" s="446"/>
      <c r="AB4" s="447"/>
      <c r="AC4" s="449"/>
      <c r="AD4" s="445" t="str">
        <f ca="1">""&amp;INDIRECT("'Beneficiaries List'!B" &amp; MATCH(OFFSET(AD4,-2,1),'Beneficiaries List'!$K:$K,0),TRUE)</f>
        <v/>
      </c>
      <c r="AE4" s="446"/>
      <c r="AF4" s="447"/>
      <c r="AG4" s="449"/>
      <c r="AH4" s="445" t="str">
        <f ca="1">""&amp;INDIRECT("'Beneficiaries List'!B" &amp; MATCH(OFFSET(AH4,-2,1),'Beneficiaries List'!$K:$K,0),TRUE)</f>
        <v/>
      </c>
      <c r="AI4" s="446"/>
      <c r="AJ4" s="447"/>
      <c r="AK4" s="449"/>
      <c r="AL4" s="445" t="str">
        <f ca="1">""&amp;INDIRECT("'Beneficiaries List'!B" &amp; MATCH(OFFSET(AL4,-2,1),'Beneficiaries List'!$K:$K,0),TRUE)</f>
        <v/>
      </c>
      <c r="AM4" s="446"/>
      <c r="AN4" s="447"/>
      <c r="AO4" s="449"/>
      <c r="AP4" s="445" t="str">
        <f ca="1">""&amp;INDIRECT("'Beneficiaries List'!B" &amp; MATCH(OFFSET(AP4,-2,1),'Beneficiaries List'!$K:$K,0),TRUE)</f>
        <v/>
      </c>
      <c r="AQ4" s="446"/>
      <c r="AR4" s="447"/>
      <c r="AS4" s="449"/>
      <c r="AT4" s="445" t="str">
        <f ca="1">""&amp;INDIRECT("'Beneficiaries List'!B" &amp; MATCH(OFFSET(AT4,-2,1),'Beneficiaries List'!$K:$K,0),TRUE)</f>
        <v/>
      </c>
      <c r="AU4" s="446"/>
      <c r="AV4" s="447"/>
      <c r="AW4" s="449"/>
      <c r="AX4" s="445" t="str">
        <f ca="1">""&amp;INDIRECT("'Beneficiaries List'!B" &amp; MATCH(OFFSET(AX4,-2,1),'Beneficiaries List'!$K:$K,0),TRUE)</f>
        <v/>
      </c>
      <c r="AY4" s="446"/>
      <c r="AZ4" s="447"/>
      <c r="BA4" s="449"/>
      <c r="BB4" s="445" t="str">
        <f ca="1">""&amp;INDIRECT("'Beneficiaries List'!B" &amp; MATCH(OFFSET(BB4,-2,1),'Beneficiaries List'!$K:$K,0),TRUE)</f>
        <v/>
      </c>
      <c r="BC4" s="446"/>
      <c r="BD4" s="447"/>
      <c r="BE4" s="449"/>
      <c r="BF4" s="445" t="str">
        <f ca="1">""&amp;INDIRECT("'Beneficiaries List'!B" &amp; MATCH(OFFSET(BF4,-2,1),'Beneficiaries List'!$K:$K,0),TRUE)</f>
        <v/>
      </c>
      <c r="BG4" s="446"/>
      <c r="BH4" s="447"/>
      <c r="BI4" s="449"/>
      <c r="BJ4" s="445" t="str">
        <f ca="1">""&amp;INDIRECT("'Beneficiaries List'!B" &amp; MATCH(OFFSET(BJ4,-2,1),'Beneficiaries List'!$K:$K,0),TRUE)</f>
        <v/>
      </c>
      <c r="BK4" s="446"/>
      <c r="BL4" s="447"/>
      <c r="BM4" s="449"/>
      <c r="BN4" s="449"/>
    </row>
    <row r="5" spans="1:68" ht="24">
      <c r="A5" s="221" t="s">
        <v>70</v>
      </c>
      <c r="E5" s="221">
        <v>0</v>
      </c>
      <c r="F5" s="221">
        <v>1</v>
      </c>
      <c r="G5" s="221">
        <v>2</v>
      </c>
      <c r="H5" s="221">
        <v>3</v>
      </c>
      <c r="I5" s="221">
        <v>4</v>
      </c>
      <c r="J5" s="222">
        <v>5</v>
      </c>
      <c r="K5" s="221">
        <v>6</v>
      </c>
      <c r="L5" s="221">
        <v>7</v>
      </c>
      <c r="N5" s="227"/>
      <c r="Q5" s="228" t="str">
        <f ca="1">""&amp;IF(OFFSET(Q5,-4,-3)="C","CONSOLIDATION",INDIRECT("'Beneficiaries List'!B" &amp; MATCH(OFFSET(Q5,-4,-3),'Beneficiaries List'!$J:$J,0),TRUE))</f>
        <v>CONSOLIDATION</v>
      </c>
      <c r="R5" s="229" t="str">
        <f ca="1">IF(OFFSET(R5,-3,0)="TT","BE+TP
TOTAL COSTS","UNITS")</f>
        <v>UNITS</v>
      </c>
      <c r="S5" s="230" t="str">
        <f ca="1">IF(OFFSET(S5,0,-1)="UNITS","COST
PER UNIT","")</f>
        <v>COST
PER UNIT</v>
      </c>
      <c r="T5" s="231" t="str">
        <f ca="1">IF(OFFSET(T5,0,-2)="UNITS",IF(OFFSET(T5,-3,-2)="BE","BENEFICIARY","AFFILIATED ENTITY") &amp; "
TOTAL COSTS","")</f>
        <v>BENEFICIARY
TOTAL COSTS</v>
      </c>
      <c r="U5" s="270" t="s">
        <v>71</v>
      </c>
      <c r="V5" s="229" t="str">
        <f ca="1">IF(OFFSET(V5,-3,0)="TT","BE+TP
TOTAL COSTS","UNITS")</f>
        <v>UNITS</v>
      </c>
      <c r="W5" s="230" t="str">
        <f ca="1">IF(OFFSET(W5,0,-1)="UNITS","COST
PER UNIT","")</f>
        <v>COST
PER UNIT</v>
      </c>
      <c r="X5" s="231" t="str">
        <f ca="1">IF(OFFSET(X5,0,-2)="UNITS",IF(OFFSET(X5,-3,-2)="BE","BENEFICIARY","AFFILIATED ENTITY") &amp; "
TOTAL COSTS","")</f>
        <v>BENEFICIARY
TOTAL COSTS</v>
      </c>
      <c r="Y5" s="270" t="s">
        <v>71</v>
      </c>
      <c r="Z5" s="229" t="str">
        <f ca="1">IF(OFFSET(Z5,-3,0)="TT","BE+TP
TOTAL COSTS","UNITS")</f>
        <v>UNITS</v>
      </c>
      <c r="AA5" s="230" t="str">
        <f ca="1">IF(OFFSET(AA5,0,-1)="UNITS","COST
PER UNIT","")</f>
        <v>COST
PER UNIT</v>
      </c>
      <c r="AB5" s="231" t="str">
        <f ca="1">IF(OFFSET(AB5,0,-2)="UNITS",IF(OFFSET(AB5,-3,-2)="BE","BENEFICIARY","AFFILIATED ENTITY") &amp; "
TOTAL COSTS","")</f>
        <v>BENEFICIARY
TOTAL COSTS</v>
      </c>
      <c r="AC5" s="270" t="s">
        <v>71</v>
      </c>
      <c r="AD5" s="229" t="str">
        <f ca="1">IF(OFFSET(AD5,-3,0)="TT","BE+TP
TOTAL COSTS","UNITS")</f>
        <v>UNITS</v>
      </c>
      <c r="AE5" s="230" t="str">
        <f ca="1">IF(OFFSET(AE5,0,-1)="UNITS","COST
PER UNIT","")</f>
        <v>COST
PER UNIT</v>
      </c>
      <c r="AF5" s="231" t="str">
        <f ca="1">IF(OFFSET(AF5,0,-2)="UNITS",IF(OFFSET(AF5,-3,-2)="BE","BENEFICIARY","AFFILIATED ENTITY") &amp; "
TOTAL COSTS","")</f>
        <v>BENEFICIARY
TOTAL COSTS</v>
      </c>
      <c r="AG5" s="270" t="s">
        <v>71</v>
      </c>
      <c r="AH5" s="229" t="str">
        <f ca="1">IF(OFFSET(AH5,-3,0)="TT","BE+TP
TOTAL COSTS","UNITS")</f>
        <v>UNITS</v>
      </c>
      <c r="AI5" s="230" t="str">
        <f ca="1">IF(OFFSET(AI5,0,-1)="UNITS","COST
PER UNIT","")</f>
        <v>COST
PER UNIT</v>
      </c>
      <c r="AJ5" s="231" t="str">
        <f ca="1">IF(OFFSET(AJ5,0,-2)="UNITS",IF(OFFSET(AJ5,-3,-2)="BE","BENEFICIARY","AFFILIATED ENTITY") &amp; "
TOTAL COSTS","")</f>
        <v>BENEFICIARY
TOTAL COSTS</v>
      </c>
      <c r="AK5" s="270" t="s">
        <v>71</v>
      </c>
      <c r="AL5" s="229" t="str">
        <f ca="1">IF(OFFSET(AL5,-3,0)="TT","BE+TP
TOTAL COSTS","UNITS")</f>
        <v>UNITS</v>
      </c>
      <c r="AM5" s="230" t="str">
        <f ca="1">IF(OFFSET(AM5,0,-1)="UNITS","COST
PER UNIT","")</f>
        <v>COST
PER UNIT</v>
      </c>
      <c r="AN5" s="231" t="str">
        <f ca="1">IF(OFFSET(AN5,0,-2)="UNITS",IF(OFFSET(AN5,-3,-2)="BE","BENEFICIARY","AFFILIATED ENTITY") &amp; "
TOTAL COSTS","")</f>
        <v>BENEFICIARY
TOTAL COSTS</v>
      </c>
      <c r="AO5" s="270" t="s">
        <v>71</v>
      </c>
      <c r="AP5" s="229" t="str">
        <f ca="1">IF(OFFSET(AP5,-3,0)="TT","BE+TP
TOTAL COSTS","UNITS")</f>
        <v>UNITS</v>
      </c>
      <c r="AQ5" s="230" t="str">
        <f ca="1">IF(OFFSET(AQ5,0,-1)="UNITS","COST
PER UNIT","")</f>
        <v>COST
PER UNIT</v>
      </c>
      <c r="AR5" s="231" t="str">
        <f ca="1">IF(OFFSET(AR5,0,-2)="UNITS",IF(OFFSET(AR5,-3,-2)="BE","BENEFICIARY","AFFILIATED ENTITY") &amp; "
TOTAL COSTS","")</f>
        <v>BENEFICIARY
TOTAL COSTS</v>
      </c>
      <c r="AS5" s="270" t="s">
        <v>71</v>
      </c>
      <c r="AT5" s="229" t="str">
        <f ca="1">IF(OFFSET(AT5,-3,0)="TT","BE+TP
TOTAL COSTS","UNITS")</f>
        <v>UNITS</v>
      </c>
      <c r="AU5" s="230" t="str">
        <f ca="1">IF(OFFSET(AU5,0,-1)="UNITS","COST
PER UNIT","")</f>
        <v>COST
PER UNIT</v>
      </c>
      <c r="AV5" s="231" t="str">
        <f ca="1">IF(OFFSET(AV5,0,-2)="UNITS",IF(OFFSET(AV5,-3,-2)="BE","BENEFICIARY","AFFILIATED ENTITY") &amp; "
TOTAL COSTS","")</f>
        <v>BENEFICIARY
TOTAL COSTS</v>
      </c>
      <c r="AW5" s="270" t="s">
        <v>71</v>
      </c>
      <c r="AX5" s="229" t="str">
        <f ca="1">IF(OFFSET(AX5,-3,0)="TT","BE+TP
TOTAL COSTS","UNITS")</f>
        <v>UNITS</v>
      </c>
      <c r="AY5" s="230" t="str">
        <f ca="1">IF(OFFSET(AY5,0,-1)="UNITS","COST
PER UNIT","")</f>
        <v>COST
PER UNIT</v>
      </c>
      <c r="AZ5" s="231" t="str">
        <f ca="1">IF(OFFSET(AZ5,0,-2)="UNITS",IF(OFFSET(AZ5,-3,-2)="BE","BENEFICIARY","AFFILIATED ENTITY") &amp; "
TOTAL COSTS","")</f>
        <v>BENEFICIARY
TOTAL COSTS</v>
      </c>
      <c r="BA5" s="270" t="s">
        <v>71</v>
      </c>
      <c r="BB5" s="229" t="str">
        <f ca="1">IF(OFFSET(BB5,-3,0)="TT","BE+TP
TOTAL COSTS","UNITS")</f>
        <v>UNITS</v>
      </c>
      <c r="BC5" s="230" t="str">
        <f ca="1">IF(OFFSET(BC5,0,-1)="UNITS","COST
PER UNIT","")</f>
        <v>COST
PER UNIT</v>
      </c>
      <c r="BD5" s="231" t="str">
        <f ca="1">IF(OFFSET(BD5,0,-2)="UNITS",IF(OFFSET(BD5,-3,-2)="BE","BENEFICIARY","AFFILIATED ENTITY") &amp; "
TOTAL COSTS","")</f>
        <v>BENEFICIARY
TOTAL COSTS</v>
      </c>
      <c r="BE5" s="270" t="s">
        <v>71</v>
      </c>
      <c r="BF5" s="229" t="str">
        <f ca="1">IF(OFFSET(BF5,-3,0)="TT","BE+TP
TOTAL COSTS","UNITS")</f>
        <v>UNITS</v>
      </c>
      <c r="BG5" s="230" t="str">
        <f ca="1">IF(OFFSET(BG5,0,-1)="UNITS","COST
PER UNIT","")</f>
        <v>COST
PER UNIT</v>
      </c>
      <c r="BH5" s="231" t="str">
        <f ca="1">IF(OFFSET(BH5,0,-2)="UNITS",IF(OFFSET(BH5,-3,-2)="BE","BENEFICIARY","AFFILIATED ENTITY") &amp; "
TOTAL COSTS","")</f>
        <v>BENEFICIARY
TOTAL COSTS</v>
      </c>
      <c r="BI5" s="270" t="s">
        <v>71</v>
      </c>
      <c r="BJ5" s="229" t="str">
        <f ca="1">IF(OFFSET(BJ5,-3,0)="TT","BE+TP
TOTAL COSTS","UNITS")</f>
        <v>UNITS</v>
      </c>
      <c r="BK5" s="230" t="str">
        <f ca="1">IF(OFFSET(BK5,0,-1)="UNITS","COST
PER UNIT","")</f>
        <v>COST
PER UNIT</v>
      </c>
      <c r="BL5" s="231" t="str">
        <f ca="1">IF(OFFSET(BL5,0,-2)="UNITS",IF(OFFSET(BL5,-3,-2)="BE","BENEFICIARY","AFFILIATED ENTITY") &amp; "
TOTAL COSTS","")</f>
        <v>BENEFICIARY
TOTAL COSTS</v>
      </c>
      <c r="BM5" s="270" t="s">
        <v>71</v>
      </c>
      <c r="BN5" s="270" t="s">
        <v>71</v>
      </c>
    </row>
    <row r="6" spans="1:68" s="232" customFormat="1" ht="15.75" thickBot="1">
      <c r="A6" s="232" t="s">
        <v>70</v>
      </c>
      <c r="J6" s="233"/>
      <c r="M6" s="234"/>
      <c r="N6" s="235"/>
      <c r="O6" s="236"/>
      <c r="P6" s="236"/>
      <c r="Q6" s="236"/>
      <c r="R6" s="237">
        <v>0</v>
      </c>
      <c r="S6" s="238">
        <v>-1</v>
      </c>
      <c r="T6" s="239">
        <v>-2</v>
      </c>
      <c r="U6" s="271"/>
      <c r="V6" s="237">
        <v>0</v>
      </c>
      <c r="W6" s="238">
        <v>-1</v>
      </c>
      <c r="X6" s="239">
        <v>-2</v>
      </c>
      <c r="Y6" s="271"/>
      <c r="Z6" s="237">
        <v>0</v>
      </c>
      <c r="AA6" s="238">
        <v>-1</v>
      </c>
      <c r="AB6" s="239">
        <v>-2</v>
      </c>
      <c r="AC6" s="271"/>
      <c r="AD6" s="237">
        <v>0</v>
      </c>
      <c r="AE6" s="238">
        <v>-1</v>
      </c>
      <c r="AF6" s="239">
        <v>-2</v>
      </c>
      <c r="AG6" s="271"/>
      <c r="AH6" s="237">
        <v>0</v>
      </c>
      <c r="AI6" s="238">
        <v>-1</v>
      </c>
      <c r="AJ6" s="239">
        <v>-2</v>
      </c>
      <c r="AK6" s="271"/>
      <c r="AL6" s="237">
        <v>0</v>
      </c>
      <c r="AM6" s="238">
        <v>-1</v>
      </c>
      <c r="AN6" s="239">
        <v>-2</v>
      </c>
      <c r="AO6" s="271"/>
      <c r="AP6" s="237">
        <v>0</v>
      </c>
      <c r="AQ6" s="238">
        <v>-1</v>
      </c>
      <c r="AR6" s="239">
        <v>-2</v>
      </c>
      <c r="AS6" s="271"/>
      <c r="AT6" s="237">
        <v>0</v>
      </c>
      <c r="AU6" s="238">
        <v>-1</v>
      </c>
      <c r="AV6" s="239">
        <v>-2</v>
      </c>
      <c r="AW6" s="271"/>
      <c r="AX6" s="237">
        <v>0</v>
      </c>
      <c r="AY6" s="238">
        <v>-1</v>
      </c>
      <c r="AZ6" s="239">
        <v>-2</v>
      </c>
      <c r="BA6" s="271"/>
      <c r="BB6" s="237">
        <v>0</v>
      </c>
      <c r="BC6" s="238">
        <v>-1</v>
      </c>
      <c r="BD6" s="239">
        <v>-2</v>
      </c>
      <c r="BE6" s="271"/>
      <c r="BF6" s="237">
        <v>0</v>
      </c>
      <c r="BG6" s="238">
        <v>-1</v>
      </c>
      <c r="BH6" s="239">
        <v>-2</v>
      </c>
      <c r="BI6" s="271"/>
      <c r="BJ6" s="237">
        <v>0</v>
      </c>
      <c r="BK6" s="238">
        <v>-1</v>
      </c>
      <c r="BL6" s="239">
        <v>-2</v>
      </c>
      <c r="BM6" s="271"/>
      <c r="BN6" s="271"/>
    </row>
    <row r="7" spans="1:68" s="227" customFormat="1" ht="16.5" thickBot="1">
      <c r="A7" s="221" t="s">
        <v>70</v>
      </c>
      <c r="J7" s="240"/>
      <c r="N7" s="221"/>
      <c r="O7" s="467" t="s">
        <v>72</v>
      </c>
      <c r="P7" s="468"/>
      <c r="Q7" s="469"/>
      <c r="R7" s="343">
        <f>SUMIF($E:$E,"GT",R:R)</f>
        <v>0</v>
      </c>
      <c r="S7" s="344"/>
      <c r="T7" s="344">
        <f ca="1">SUMIF($E:$E,"GT",T:T)</f>
        <v>0</v>
      </c>
      <c r="U7" s="391">
        <f ca="1">IF(OFFSET(U7,ROW(U$2)-ROW(U7),0)="TT",SUMIF(INDIRECT(ADDRESS(2,COLUMN($Q7)+1) &amp; ":" &amp; ADDRESS(2,COLUMN(U7)-1),TRUE),"TBE",INDIRECT(ADDRESS(ROW(U7), COLUMN($Q7)+1) &amp; ":" &amp; ADDRESS(ROW(U7),COLUMN(U7)-1),TRUE)),IF(OFFSET(U7,ROW(U$2)-ROW(U7),0)="TBE",SUMIF(INDIRECT(ADDRESS(2,MATCH(INT(OFFSET(U7,ROW(U$2)-ROW(U7),-2)),$2:$2,0)) &amp; ":" &amp; ADDRESS(2,COLUMN(U7)-1),TRUE),"T",INDIRECT(ADDRESS(ROW(U7), MATCH(INT(OFFSET(U7,ROW(U$2)-ROW(U7),-2)),$2:$2,0)) &amp; ":" &amp; ADDRESS(ROW(U7),COLUMN(U7)-1),TRUE)),IF(OFFSET(U7,0,COLUMN($M7)-COLUMN(U7))="V",OFFSET(U7,0,-2)*OFFSET(U7,0,-1),"TOTAL")))</f>
        <v>0</v>
      </c>
      <c r="V7" s="343">
        <f>SUMIF($E:$E,"GT",V:V)</f>
        <v>0</v>
      </c>
      <c r="W7" s="344"/>
      <c r="X7" s="344">
        <f ca="1">SUMIF($E:$E,"GT",X:X)</f>
        <v>0</v>
      </c>
      <c r="Y7" s="391">
        <f ca="1">IF(OFFSET(Y7,ROW(Y$2)-ROW(Y7),0)="TT",SUMIF(INDIRECT(ADDRESS(2,COLUMN($Q7)+1) &amp; ":" &amp; ADDRESS(2,COLUMN(Y7)-1),TRUE),"TBE",INDIRECT(ADDRESS(ROW(Y7), COLUMN($Q7)+1) &amp; ":" &amp; ADDRESS(ROW(Y7),COLUMN(Y7)-1),TRUE)),IF(OFFSET(Y7,ROW(Y$2)-ROW(Y7),0)="TBE",SUMIF(INDIRECT(ADDRESS(2,MATCH(INT(OFFSET(Y7,ROW(Y$2)-ROW(Y7),-2)),$2:$2,0)) &amp; ":" &amp; ADDRESS(2,COLUMN(Y7)-1),TRUE),"T",INDIRECT(ADDRESS(ROW(Y7), MATCH(INT(OFFSET(Y7,ROW(Y$2)-ROW(Y7),-2)),$2:$2,0)) &amp; ":" &amp; ADDRESS(ROW(Y7),COLUMN(Y7)-1),TRUE)),IF(OFFSET(Y7,0,COLUMN($M7)-COLUMN(Y7))="V",OFFSET(Y7,0,-2)*OFFSET(Y7,0,-1),"TOTAL")))</f>
        <v>0</v>
      </c>
      <c r="Z7" s="343">
        <f>SUMIF($E:$E,"GT",Z:Z)</f>
        <v>0</v>
      </c>
      <c r="AA7" s="344"/>
      <c r="AB7" s="344">
        <f ca="1">SUMIF($E:$E,"GT",AB:AB)</f>
        <v>0</v>
      </c>
      <c r="AC7" s="391">
        <f ca="1">IF(OFFSET(AC7,ROW(AC$2)-ROW(AC7),0)="TT",SUMIF(INDIRECT(ADDRESS(2,COLUMN($Q7)+1) &amp; ":" &amp; ADDRESS(2,COLUMN(AC7)-1),TRUE),"TBE",INDIRECT(ADDRESS(ROW(AC7), COLUMN($Q7)+1) &amp; ":" &amp; ADDRESS(ROW(AC7),COLUMN(AC7)-1),TRUE)),IF(OFFSET(AC7,ROW(AC$2)-ROW(AC7),0)="TBE",SUMIF(INDIRECT(ADDRESS(2,MATCH(INT(OFFSET(AC7,ROW(AC$2)-ROW(AC7),-2)),$2:$2,0)) &amp; ":" &amp; ADDRESS(2,COLUMN(AC7)-1),TRUE),"T",INDIRECT(ADDRESS(ROW(AC7), MATCH(INT(OFFSET(AC7,ROW(AC$2)-ROW(AC7),-2)),$2:$2,0)) &amp; ":" &amp; ADDRESS(ROW(AC7),COLUMN(AC7)-1),TRUE)),IF(OFFSET(AC7,0,COLUMN($M7)-COLUMN(AC7))="V",OFFSET(AC7,0,-2)*OFFSET(AC7,0,-1),"TOTAL")))</f>
        <v>0</v>
      </c>
      <c r="AD7" s="343">
        <f>SUMIF($E:$E,"GT",AD:AD)</f>
        <v>0</v>
      </c>
      <c r="AE7" s="344"/>
      <c r="AF7" s="344">
        <f ca="1">SUMIF($E:$E,"GT",AF:AF)</f>
        <v>0</v>
      </c>
      <c r="AG7" s="391">
        <f ca="1">IF(OFFSET(AG7,ROW(AG$2)-ROW(AG7),0)="TT",SUMIF(INDIRECT(ADDRESS(2,COLUMN($Q7)+1) &amp; ":" &amp; ADDRESS(2,COLUMN(AG7)-1),TRUE),"TBE",INDIRECT(ADDRESS(ROW(AG7), COLUMN($Q7)+1) &amp; ":" &amp; ADDRESS(ROW(AG7),COLUMN(AG7)-1),TRUE)),IF(OFFSET(AG7,ROW(AG$2)-ROW(AG7),0)="TBE",SUMIF(INDIRECT(ADDRESS(2,MATCH(INT(OFFSET(AG7,ROW(AG$2)-ROW(AG7),-2)),$2:$2,0)) &amp; ":" &amp; ADDRESS(2,COLUMN(AG7)-1),TRUE),"T",INDIRECT(ADDRESS(ROW(AG7), MATCH(INT(OFFSET(AG7,ROW(AG$2)-ROW(AG7),-2)),$2:$2,0)) &amp; ":" &amp; ADDRESS(ROW(AG7),COLUMN(AG7)-1),TRUE)),IF(OFFSET(AG7,0,COLUMN($M7)-COLUMN(AG7))="V",OFFSET(AG7,0,-2)*OFFSET(AG7,0,-1),"TOTAL")))</f>
        <v>0</v>
      </c>
      <c r="AH7" s="343">
        <f>SUMIF($E:$E,"GT",AH:AH)</f>
        <v>0</v>
      </c>
      <c r="AI7" s="344"/>
      <c r="AJ7" s="344">
        <f ca="1">SUMIF($E:$E,"GT",AJ:AJ)</f>
        <v>0</v>
      </c>
      <c r="AK7" s="391">
        <f ca="1">IF(OFFSET(AK7,ROW(AK$2)-ROW(AK7),0)="TT",SUMIF(INDIRECT(ADDRESS(2,COLUMN($Q7)+1) &amp; ":" &amp; ADDRESS(2,COLUMN(AK7)-1),TRUE),"TBE",INDIRECT(ADDRESS(ROW(AK7), COLUMN($Q7)+1) &amp; ":" &amp; ADDRESS(ROW(AK7),COLUMN(AK7)-1),TRUE)),IF(OFFSET(AK7,ROW(AK$2)-ROW(AK7),0)="TBE",SUMIF(INDIRECT(ADDRESS(2,MATCH(INT(OFFSET(AK7,ROW(AK$2)-ROW(AK7),-2)),$2:$2,0)) &amp; ":" &amp; ADDRESS(2,COLUMN(AK7)-1),TRUE),"T",INDIRECT(ADDRESS(ROW(AK7), MATCH(INT(OFFSET(AK7,ROW(AK$2)-ROW(AK7),-2)),$2:$2,0)) &amp; ":" &amp; ADDRESS(ROW(AK7),COLUMN(AK7)-1),TRUE)),IF(OFFSET(AK7,0,COLUMN($M7)-COLUMN(AK7))="V",OFFSET(AK7,0,-2)*OFFSET(AK7,0,-1),"TOTAL")))</f>
        <v>0</v>
      </c>
      <c r="AL7" s="343">
        <f>SUMIF($E:$E,"GT",AL:AL)</f>
        <v>0</v>
      </c>
      <c r="AM7" s="344"/>
      <c r="AN7" s="344">
        <f ca="1">SUMIF($E:$E,"GT",AN:AN)</f>
        <v>0</v>
      </c>
      <c r="AO7" s="391">
        <f ca="1">IF(OFFSET(AO7,ROW(AO$2)-ROW(AO7),0)="TT",SUMIF(INDIRECT(ADDRESS(2,COLUMN($Q7)+1) &amp; ":" &amp; ADDRESS(2,COLUMN(AO7)-1),TRUE),"TBE",INDIRECT(ADDRESS(ROW(AO7), COLUMN($Q7)+1) &amp; ":" &amp; ADDRESS(ROW(AO7),COLUMN(AO7)-1),TRUE)),IF(OFFSET(AO7,ROW(AO$2)-ROW(AO7),0)="TBE",SUMIF(INDIRECT(ADDRESS(2,MATCH(INT(OFFSET(AO7,ROW(AO$2)-ROW(AO7),-2)),$2:$2,0)) &amp; ":" &amp; ADDRESS(2,COLUMN(AO7)-1),TRUE),"T",INDIRECT(ADDRESS(ROW(AO7), MATCH(INT(OFFSET(AO7,ROW(AO$2)-ROW(AO7),-2)),$2:$2,0)) &amp; ":" &amp; ADDRESS(ROW(AO7),COLUMN(AO7)-1),TRUE)),IF(OFFSET(AO7,0,COLUMN($M7)-COLUMN(AO7))="V",OFFSET(AO7,0,-2)*OFFSET(AO7,0,-1),"TOTAL")))</f>
        <v>0</v>
      </c>
      <c r="AP7" s="343">
        <f>SUMIF($E:$E,"GT",AP:AP)</f>
        <v>0</v>
      </c>
      <c r="AQ7" s="344"/>
      <c r="AR7" s="344">
        <f ca="1">SUMIF($E:$E,"GT",AR:AR)</f>
        <v>0</v>
      </c>
      <c r="AS7" s="391">
        <f ca="1">IF(OFFSET(AS7,ROW(AS$2)-ROW(AS7),0)="TT",SUMIF(INDIRECT(ADDRESS(2,COLUMN($Q7)+1) &amp; ":" &amp; ADDRESS(2,COLUMN(AS7)-1),TRUE),"TBE",INDIRECT(ADDRESS(ROW(AS7), COLUMN($Q7)+1) &amp; ":" &amp; ADDRESS(ROW(AS7),COLUMN(AS7)-1),TRUE)),IF(OFFSET(AS7,ROW(AS$2)-ROW(AS7),0)="TBE",SUMIF(INDIRECT(ADDRESS(2,MATCH(INT(OFFSET(AS7,ROW(AS$2)-ROW(AS7),-2)),$2:$2,0)) &amp; ":" &amp; ADDRESS(2,COLUMN(AS7)-1),TRUE),"T",INDIRECT(ADDRESS(ROW(AS7), MATCH(INT(OFFSET(AS7,ROW(AS$2)-ROW(AS7),-2)),$2:$2,0)) &amp; ":" &amp; ADDRESS(ROW(AS7),COLUMN(AS7)-1),TRUE)),IF(OFFSET(AS7,0,COLUMN($M7)-COLUMN(AS7))="V",OFFSET(AS7,0,-2)*OFFSET(AS7,0,-1),"TOTAL")))</f>
        <v>0</v>
      </c>
      <c r="AT7" s="343">
        <f>SUMIF($E:$E,"GT",AT:AT)</f>
        <v>0</v>
      </c>
      <c r="AU7" s="344"/>
      <c r="AV7" s="344">
        <f ca="1">SUMIF($E:$E,"GT",AV:AV)</f>
        <v>0</v>
      </c>
      <c r="AW7" s="391">
        <f ca="1">IF(OFFSET(AW7,ROW(AW$2)-ROW(AW7),0)="TT",SUMIF(INDIRECT(ADDRESS(2,COLUMN($Q7)+1) &amp; ":" &amp; ADDRESS(2,COLUMN(AW7)-1),TRUE),"TBE",INDIRECT(ADDRESS(ROW(AW7), COLUMN($Q7)+1) &amp; ":" &amp; ADDRESS(ROW(AW7),COLUMN(AW7)-1),TRUE)),IF(OFFSET(AW7,ROW(AW$2)-ROW(AW7),0)="TBE",SUMIF(INDIRECT(ADDRESS(2,MATCH(INT(OFFSET(AW7,ROW(AW$2)-ROW(AW7),-2)),$2:$2,0)) &amp; ":" &amp; ADDRESS(2,COLUMN(AW7)-1),TRUE),"T",INDIRECT(ADDRESS(ROW(AW7), MATCH(INT(OFFSET(AW7,ROW(AW$2)-ROW(AW7),-2)),$2:$2,0)) &amp; ":" &amp; ADDRESS(ROW(AW7),COLUMN(AW7)-1),TRUE)),IF(OFFSET(AW7,0,COLUMN($M7)-COLUMN(AW7))="V",OFFSET(AW7,0,-2)*OFFSET(AW7,0,-1),"TOTAL")))</f>
        <v>0</v>
      </c>
      <c r="AX7" s="343">
        <f>SUMIF($E:$E,"GT",AX:AX)</f>
        <v>0</v>
      </c>
      <c r="AY7" s="344"/>
      <c r="AZ7" s="344">
        <f ca="1">SUMIF($E:$E,"GT",AZ:AZ)</f>
        <v>0</v>
      </c>
      <c r="BA7" s="391">
        <f ca="1">IF(OFFSET(BA7,ROW(BA$2)-ROW(BA7),0)="TT",SUMIF(INDIRECT(ADDRESS(2,COLUMN($Q7)+1) &amp; ":" &amp; ADDRESS(2,COLUMN(BA7)-1),TRUE),"TBE",INDIRECT(ADDRESS(ROW(BA7), COLUMN($Q7)+1) &amp; ":" &amp; ADDRESS(ROW(BA7),COLUMN(BA7)-1),TRUE)),IF(OFFSET(BA7,ROW(BA$2)-ROW(BA7),0)="TBE",SUMIF(INDIRECT(ADDRESS(2,MATCH(INT(OFFSET(BA7,ROW(BA$2)-ROW(BA7),-2)),$2:$2,0)) &amp; ":" &amp; ADDRESS(2,COLUMN(BA7)-1),TRUE),"T",INDIRECT(ADDRESS(ROW(BA7), MATCH(INT(OFFSET(BA7,ROW(BA$2)-ROW(BA7),-2)),$2:$2,0)) &amp; ":" &amp; ADDRESS(ROW(BA7),COLUMN(BA7)-1),TRUE)),IF(OFFSET(BA7,0,COLUMN($M7)-COLUMN(BA7))="V",OFFSET(BA7,0,-2)*OFFSET(BA7,0,-1),"TOTAL")))</f>
        <v>0</v>
      </c>
      <c r="BB7" s="343">
        <f>SUMIF($E:$E,"GT",BB:BB)</f>
        <v>0</v>
      </c>
      <c r="BC7" s="344"/>
      <c r="BD7" s="344">
        <f ca="1">SUMIF($E:$E,"GT",BD:BD)</f>
        <v>0</v>
      </c>
      <c r="BE7" s="391">
        <f ca="1">IF(OFFSET(BE7,ROW(BE$2)-ROW(BE7),0)="TT",SUMIF(INDIRECT(ADDRESS(2,COLUMN($Q7)+1) &amp; ":" &amp; ADDRESS(2,COLUMN(BE7)-1),TRUE),"TBE",INDIRECT(ADDRESS(ROW(BE7), COLUMN($Q7)+1) &amp; ":" &amp; ADDRESS(ROW(BE7),COLUMN(BE7)-1),TRUE)),IF(OFFSET(BE7,ROW(BE$2)-ROW(BE7),0)="TBE",SUMIF(INDIRECT(ADDRESS(2,MATCH(INT(OFFSET(BE7,ROW(BE$2)-ROW(BE7),-2)),$2:$2,0)) &amp; ":" &amp; ADDRESS(2,COLUMN(BE7)-1),TRUE),"T",INDIRECT(ADDRESS(ROW(BE7), MATCH(INT(OFFSET(BE7,ROW(BE$2)-ROW(BE7),-2)),$2:$2,0)) &amp; ":" &amp; ADDRESS(ROW(BE7),COLUMN(BE7)-1),TRUE)),IF(OFFSET(BE7,0,COLUMN($M7)-COLUMN(BE7))="V",OFFSET(BE7,0,-2)*OFFSET(BE7,0,-1),"TOTAL")))</f>
        <v>0</v>
      </c>
      <c r="BF7" s="343">
        <f>SUMIF($E:$E,"GT",BF:BF)</f>
        <v>0</v>
      </c>
      <c r="BG7" s="344"/>
      <c r="BH7" s="344">
        <f ca="1">SUMIF($E:$E,"GT",BH:BH)</f>
        <v>0</v>
      </c>
      <c r="BI7" s="391">
        <f ca="1">IF(OFFSET(BI7,ROW(BI$2)-ROW(BI7),0)="TT",SUMIF(INDIRECT(ADDRESS(2,COLUMN($Q7)+1) &amp; ":" &amp; ADDRESS(2,COLUMN(BI7)-1),TRUE),"TBE",INDIRECT(ADDRESS(ROW(BI7), COLUMN($Q7)+1) &amp; ":" &amp; ADDRESS(ROW(BI7),COLUMN(BI7)-1),TRUE)),IF(OFFSET(BI7,ROW(BI$2)-ROW(BI7),0)="TBE",SUMIF(INDIRECT(ADDRESS(2,MATCH(INT(OFFSET(BI7,ROW(BI$2)-ROW(BI7),-2)),$2:$2,0)) &amp; ":" &amp; ADDRESS(2,COLUMN(BI7)-1),TRUE),"T",INDIRECT(ADDRESS(ROW(BI7), MATCH(INT(OFFSET(BI7,ROW(BI$2)-ROW(BI7),-2)),$2:$2,0)) &amp; ":" &amp; ADDRESS(ROW(BI7),COLUMN(BI7)-1),TRUE)),IF(OFFSET(BI7,0,COLUMN($M7)-COLUMN(BI7))="V",OFFSET(BI7,0,-2)*OFFSET(BI7,0,-1),"TOTAL")))</f>
        <v>0</v>
      </c>
      <c r="BJ7" s="343">
        <f>SUMIF($E:$E,"GT",BJ:BJ)</f>
        <v>0</v>
      </c>
      <c r="BK7" s="344"/>
      <c r="BL7" s="344">
        <f ca="1">SUMIF($E:$E,"GT",BL:BL)</f>
        <v>0</v>
      </c>
      <c r="BM7" s="391">
        <f ca="1">IF(OFFSET(BM7,ROW(BM$2)-ROW(BM7),0)="TT",SUMIF(INDIRECT(ADDRESS(2,COLUMN($Q7)+1) &amp; ":" &amp; ADDRESS(2,COLUMN(BM7)-1),TRUE),"TBE",INDIRECT(ADDRESS(ROW(BM7), COLUMN($Q7)+1) &amp; ":" &amp; ADDRESS(ROW(BM7),COLUMN(BM7)-1),TRUE)),IF(OFFSET(BM7,ROW(BM$2)-ROW(BM7),0)="TBE",SUMIF(INDIRECT(ADDRESS(2,MATCH(INT(OFFSET(BM7,ROW(BM$2)-ROW(BM7),-2)),$2:$2,0)) &amp; ":" &amp; ADDRESS(2,COLUMN(BM7)-1),TRUE),"T",INDIRECT(ADDRESS(ROW(BM7), MATCH(INT(OFFSET(BM7,ROW(BM$2)-ROW(BM7),-2)),$2:$2,0)) &amp; ":" &amp; ADDRESS(ROW(BM7),COLUMN(BM7)-1),TRUE)),IF(OFFSET(BM7,0,COLUMN($M7)-COLUMN(BM7))="V",OFFSET(BM7,0,-2)*OFFSET(BM7,0,-1),"TOTAL")))</f>
        <v>0</v>
      </c>
      <c r="BN7" s="391">
        <f ca="1">IF(OFFSET(BN7,ROW(BN$2)-ROW(BN7),0)="TT",SUMIF(INDIRECT(ADDRESS(2,COLUMN($Q7)+1) &amp; ":" &amp; ADDRESS(2,COLUMN(BN7)-1),TRUE),"TBE",INDIRECT(ADDRESS(ROW(BN7), COLUMN($Q7)+1) &amp; ":" &amp; ADDRESS(ROW(BN7),COLUMN(BN7)-1),TRUE)),IF(OFFSET(BN7,ROW(BN$2)-ROW(BN7),0)="TBE",SUMIF(INDIRECT(ADDRESS(2,MATCH(INT(OFFSET(BN7,ROW(BN$2)-ROW(BN7),-2)),$2:$2,0)) &amp; ":" &amp; ADDRESS(2,COLUMN(BN7)-1),TRUE),"T",INDIRECT(ADDRESS(ROW(BN7), MATCH(INT(OFFSET(BN7,ROW(BN$2)-ROW(BN7),-2)),$2:$2,0)) &amp; ":" &amp; ADDRESS(ROW(BN7),COLUMN(BN7)-1),TRUE)),IF(OFFSET(BN7,0,COLUMN($M7)-COLUMN(BN7))="V",OFFSET(BN7,0,-2)*OFFSET(BN7,0,-1),"TOTAL")))</f>
        <v>0</v>
      </c>
    </row>
    <row r="8" spans="1:68" s="241" customFormat="1" ht="15.75" thickBot="1">
      <c r="A8" s="241" t="s">
        <v>70</v>
      </c>
      <c r="J8" s="222"/>
      <c r="N8" s="242"/>
      <c r="O8" s="243"/>
      <c r="P8" s="243"/>
      <c r="Q8" s="243"/>
      <c r="R8" s="345"/>
      <c r="S8" s="346"/>
      <c r="T8" s="347"/>
      <c r="U8" s="348"/>
      <c r="V8" s="345"/>
      <c r="W8" s="346"/>
      <c r="X8" s="347"/>
      <c r="Y8" s="348"/>
      <c r="Z8" s="345"/>
      <c r="AA8" s="346"/>
      <c r="AB8" s="347"/>
      <c r="AC8" s="348"/>
      <c r="AD8" s="345"/>
      <c r="AE8" s="346"/>
      <c r="AF8" s="347"/>
      <c r="AG8" s="348"/>
      <c r="AH8" s="345"/>
      <c r="AI8" s="346"/>
      <c r="AJ8" s="347"/>
      <c r="AK8" s="348"/>
      <c r="AL8" s="345"/>
      <c r="AM8" s="346"/>
      <c r="AN8" s="347"/>
      <c r="AO8" s="348"/>
      <c r="AP8" s="345"/>
      <c r="AQ8" s="346"/>
      <c r="AR8" s="347"/>
      <c r="AS8" s="348"/>
      <c r="AT8" s="345"/>
      <c r="AU8" s="346"/>
      <c r="AV8" s="347"/>
      <c r="AW8" s="348"/>
      <c r="AX8" s="345"/>
      <c r="AY8" s="346"/>
      <c r="AZ8" s="347"/>
      <c r="BA8" s="348"/>
      <c r="BB8" s="345"/>
      <c r="BC8" s="346"/>
      <c r="BD8" s="347"/>
      <c r="BE8" s="348"/>
      <c r="BF8" s="345"/>
      <c r="BG8" s="346"/>
      <c r="BH8" s="347"/>
      <c r="BI8" s="348"/>
      <c r="BJ8" s="345"/>
      <c r="BK8" s="346"/>
      <c r="BL8" s="347"/>
      <c r="BM8" s="348"/>
      <c r="BN8" s="348"/>
    </row>
    <row r="9" spans="1:68" ht="13.5" thickTop="1" thickBot="1">
      <c r="A9" s="221" t="str">
        <f ca="1">IF(ISNUMBER(OFFSET(A9,0,13)),"START",IF(AND(OFFSET(A9,0,2)=0,OFFSET(A9,0,4)="GT"),"END",""))&amp;OFFSET(A9,0,1)</f>
        <v>STARTWP001</v>
      </c>
      <c r="B9" s="221" t="str">
        <f ca="1">IF(ISNUMBER(OFFSET(B9,0,12)),"WP" &amp; TEXT(OFFSET(B9,0,12),"000"),OFFSET(B9,-1,0))</f>
        <v>WP001</v>
      </c>
      <c r="N9" s="244">
        <v>1</v>
      </c>
      <c r="O9" s="459" t="str">
        <f ca="1">""&amp;VLOOKUP(OFFSET(N9,1,0),'Work Packages List'!A:B,2,FALSE)</f>
        <v/>
      </c>
      <c r="P9" s="459"/>
      <c r="Q9" s="460"/>
      <c r="R9" s="349"/>
      <c r="S9" s="350"/>
      <c r="T9" s="351"/>
      <c r="U9" s="352"/>
      <c r="V9" s="349"/>
      <c r="W9" s="350"/>
      <c r="X9" s="351"/>
      <c r="Y9" s="352"/>
      <c r="Z9" s="349"/>
      <c r="AA9" s="350"/>
      <c r="AB9" s="351"/>
      <c r="AC9" s="352"/>
      <c r="AD9" s="349"/>
      <c r="AE9" s="350"/>
      <c r="AF9" s="351"/>
      <c r="AG9" s="352"/>
      <c r="AH9" s="349"/>
      <c r="AI9" s="350"/>
      <c r="AJ9" s="351"/>
      <c r="AK9" s="352"/>
      <c r="AL9" s="349"/>
      <c r="AM9" s="350"/>
      <c r="AN9" s="351"/>
      <c r="AO9" s="352"/>
      <c r="AP9" s="349"/>
      <c r="AQ9" s="350"/>
      <c r="AR9" s="351"/>
      <c r="AS9" s="352"/>
      <c r="AT9" s="349"/>
      <c r="AU9" s="350"/>
      <c r="AV9" s="351"/>
      <c r="AW9" s="352"/>
      <c r="AX9" s="349"/>
      <c r="AY9" s="350"/>
      <c r="AZ9" s="351"/>
      <c r="BA9" s="352"/>
      <c r="BB9" s="349"/>
      <c r="BC9" s="350"/>
      <c r="BD9" s="351"/>
      <c r="BE9" s="352"/>
      <c r="BF9" s="349"/>
      <c r="BG9" s="350"/>
      <c r="BH9" s="351"/>
      <c r="BI9" s="352"/>
      <c r="BJ9" s="349"/>
      <c r="BK9" s="350"/>
      <c r="BL9" s="351"/>
      <c r="BM9" s="352"/>
      <c r="BN9" s="352"/>
    </row>
    <row r="10" spans="1:68">
      <c r="A10" s="221" t="str">
        <f t="shared" ref="A10:A41" ca="1" si="0">IF(ISNUMBER(OFFSET(A10,0,12)),"START",IF(AND(OFFSET(A10,0,2)=0,OFFSET(A10,0,4)="GT"),"END",""))&amp;OFFSET(A10,0,1)</f>
        <v>WP001</v>
      </c>
      <c r="B10" s="221" t="str">
        <f t="shared" ref="B10:B41" ca="1" si="1">IF(ISNUMBER(OFFSET(B10,0,11)),"WP" &amp; TEXT(OFFSET(B10,0,11),"000"),OFFSET(B10,-1,0))</f>
        <v>WP001</v>
      </c>
      <c r="C10" s="221">
        <v>4</v>
      </c>
      <c r="D10" s="221" t="s">
        <v>73</v>
      </c>
      <c r="H10" s="221" t="s">
        <v>74</v>
      </c>
      <c r="I10" s="221" t="s">
        <v>75</v>
      </c>
      <c r="M10" s="221" t="s">
        <v>46</v>
      </c>
      <c r="N10" s="461" t="str">
        <f ca="1">"WP " &amp; TEXT(OFFSET(N10,-1,0),"000")</f>
        <v>WP 001</v>
      </c>
      <c r="O10" s="452" t="s">
        <v>37</v>
      </c>
      <c r="P10" s="453"/>
      <c r="Q10" s="463"/>
      <c r="R10" s="353">
        <f ca="1">IF(OFFSET(R10,ROW(R$2)-ROW(R10),0)="TT","TT",IF(OFFSET(R10,0,COLUMN($M10)-COLUMN(R10))="%",ROUND(OFFSET(R10,-2,0)*0.07,0),IF(OFFSET(R10,0,COLUMN($M10)-COLUMN(R10))="V","x",SUMIF(INDIRECT(ADDRESS(MATCH("START"&amp;OFFSET(R10,0,COLUMN($B10)-COLUMN(R10)),$A:$A,0),$C10+COLUMN($E10)+1)&amp;":"&amp;ADDRESS(MATCH("END"&amp;OFFSET(R10,0,COLUMN($B10)-COLUMN(R10)),$A:$A,0),$C10+COLUMN($E10)+1),TRUE),INDIRECT(ADDRESS(ROW(R10),$C10+COLUMN($E10)),TRUE),INDIRECT(ADDRESS(MATCH("START"&amp;OFFSET(R10,0,COLUMN($B10)-COLUMN(R10)),$A:$A,0),COLUMN(R10))&amp;":"&amp;ADDRESS(MATCH("END"&amp;OFFSET(R10,0,COLUMN($B10)-COLUMN(R10)),$A:$A,0),COLUMN(R10)),TRUE)))))</f>
        <v>0</v>
      </c>
      <c r="S10" s="354"/>
      <c r="T10" s="355">
        <f ca="1">IF(OFFSET(T10,ROW(T$2)-ROW(T10),0)="TT","TT",IF(OFFSET(T10,0,COLUMN($M10)-COLUMN(T10))="%",ROUND((OFFSET(T10,-2,0)-OFFSET(T10,-21,0))*0.07,2),IF(OFFSET(T10,0,COLUMN($M10)-COLUMN(T10))="V",ROUND(OFFSET(T10,0,-2)*OFFSET(T10,0,-1),2),SUMIF(INDIRECT(ADDRESS(MATCH("START"&amp;OFFSET(T10,0,COLUMN($B10)-COLUMN(T10)),$A:$A,0),$C10+COLUMN($E10)+1)&amp;":"&amp;ADDRESS(MATCH("END"&amp;OFFSET(T10,0,COLUMN($B10)-COLUMN(T10)),$A:$A,0),$C10+COLUMN($E10)+1),TRUE),INDIRECT(ADDRESS(ROW(T10),$C10+COLUMN($E10)),TRUE),INDIRECT(ADDRESS(MATCH("START"&amp;OFFSET(T10,0,COLUMN($B10)-COLUMN(T10)),$A:$A,0),COLUMN(T10))&amp;":"&amp;ADDRESS(MATCH("END"&amp;OFFSET(T10,0,COLUMN($B10)-COLUMN(T10)),$A:$A,0),COLUMN(T10)),TRUE)))))</f>
        <v>0</v>
      </c>
      <c r="U10" s="356">
        <f t="shared" ref="U10:U37" ca="1" si="2">IF(OFFSET(U10,ROW(U$2)-ROW(U10),0)="TT",SUMIF(INDIRECT(ADDRESS(2,COLUMN($Q10)+1) &amp; ":" &amp; ADDRESS(2,COLUMN(U10)-1),TRUE),"TBE",INDIRECT(ADDRESS(ROW(U10), COLUMN($Q10)+1) &amp; ":" &amp; ADDRESS(ROW(U10),COLUMN(U10)-1),TRUE)),IF(OFFSET(U10,ROW(U$2)-ROW(U10),0)="TBE",SUMIF(INDIRECT(ADDRESS(2,MATCH(INT(OFFSET(U10,ROW(U$2)-ROW(U10),-2)),$2:$2,0)) &amp; ":" &amp; ADDRESS(2,COLUMN(U10)-1),TRUE),"T",INDIRECT(ADDRESS(ROW(U10), MATCH(INT(OFFSET(U10,ROW(U$2)-ROW(U10),-2)),$2:$2,0)) &amp; ":" &amp; ADDRESS(ROW(U10),COLUMN(U10)-1),TRUE)),IF(OFFSET(U10,0,COLUMN($M10)-COLUMN(U10))="V",OFFSET(U10,0,-2)*OFFSET(U10,0,-1),"TOTAL")))</f>
        <v>0</v>
      </c>
      <c r="V10" s="353">
        <f ca="1">IF(OFFSET(V10,ROW(V$2)-ROW(V10),0)="TT","TT",IF(OFFSET(V10,0,COLUMN($M10)-COLUMN(V10))="%",ROUND(OFFSET(V10,-2,0)*0.07,0),IF(OFFSET(V10,0,COLUMN($M10)-COLUMN(V10))="V","x",SUMIF(INDIRECT(ADDRESS(MATCH("START"&amp;OFFSET(V10,0,COLUMN($B10)-COLUMN(V10)),$A:$A,0),$C10+COLUMN($E10)+1)&amp;":"&amp;ADDRESS(MATCH("END"&amp;OFFSET(V10,0,COLUMN($B10)-COLUMN(V10)),$A:$A,0),$C10+COLUMN($E10)+1),TRUE),INDIRECT(ADDRESS(ROW(V10),$C10+COLUMN($E10)),TRUE),INDIRECT(ADDRESS(MATCH("START"&amp;OFFSET(V10,0,COLUMN($B10)-COLUMN(V10)),$A:$A,0),COLUMN(V10))&amp;":"&amp;ADDRESS(MATCH("END"&amp;OFFSET(V10,0,COLUMN($B10)-COLUMN(V10)),$A:$A,0),COLUMN(V10)),TRUE)))))</f>
        <v>0</v>
      </c>
      <c r="W10" s="354"/>
      <c r="X10" s="355">
        <f ca="1">IF(OFFSET(X10,ROW(X$2)-ROW(X10),0)="TT","TT",IF(OFFSET(X10,0,COLUMN($M10)-COLUMN(X10))="%",ROUND((OFFSET(X10,-2,0)-OFFSET(X10,-21,0))*0.07,2),IF(OFFSET(X10,0,COLUMN($M10)-COLUMN(X10))="V",ROUND(OFFSET(X10,0,-2)*OFFSET(X10,0,-1),2),SUMIF(INDIRECT(ADDRESS(MATCH("START"&amp;OFFSET(X10,0,COLUMN($B10)-COLUMN(X10)),$A:$A,0),$C10+COLUMN($E10)+1)&amp;":"&amp;ADDRESS(MATCH("END"&amp;OFFSET(X10,0,COLUMN($B10)-COLUMN(X10)),$A:$A,0),$C10+COLUMN($E10)+1),TRUE),INDIRECT(ADDRESS(ROW(X10),$C10+COLUMN($E10)),TRUE),INDIRECT(ADDRESS(MATCH("START"&amp;OFFSET(X10,0,COLUMN($B10)-COLUMN(X10)),$A:$A,0),COLUMN(X10))&amp;":"&amp;ADDRESS(MATCH("END"&amp;OFFSET(X10,0,COLUMN($B10)-COLUMN(X10)),$A:$A,0),COLUMN(X10)),TRUE)))))</f>
        <v>0</v>
      </c>
      <c r="Y10" s="356">
        <f t="shared" ref="Y10:Y37" ca="1" si="3">IF(OFFSET(Y10,ROW(Y$2)-ROW(Y10),0)="TT",SUMIF(INDIRECT(ADDRESS(2,COLUMN($Q10)+1) &amp; ":" &amp; ADDRESS(2,COLUMN(Y10)-1),TRUE),"TBE",INDIRECT(ADDRESS(ROW(Y10), COLUMN($Q10)+1) &amp; ":" &amp; ADDRESS(ROW(Y10),COLUMN(Y10)-1),TRUE)),IF(OFFSET(Y10,ROW(Y$2)-ROW(Y10),0)="TBE",SUMIF(INDIRECT(ADDRESS(2,MATCH(INT(OFFSET(Y10,ROW(Y$2)-ROW(Y10),-2)),$2:$2,0)) &amp; ":" &amp; ADDRESS(2,COLUMN(Y10)-1),TRUE),"T",INDIRECT(ADDRESS(ROW(Y10), MATCH(INT(OFFSET(Y10,ROW(Y$2)-ROW(Y10),-2)),$2:$2,0)) &amp; ":" &amp; ADDRESS(ROW(Y10),COLUMN(Y10)-1),TRUE)),IF(OFFSET(Y10,0,COLUMN($M10)-COLUMN(Y10))="V",OFFSET(Y10,0,-2)*OFFSET(Y10,0,-1),"TOTAL")))</f>
        <v>0</v>
      </c>
      <c r="Z10" s="353">
        <f ca="1">IF(OFFSET(Z10,ROW(Z$2)-ROW(Z10),0)="TT","TT",IF(OFFSET(Z10,0,COLUMN($M10)-COLUMN(Z10))="%",ROUND(OFFSET(Z10,-2,0)*0.07,0),IF(OFFSET(Z10,0,COLUMN($M10)-COLUMN(Z10))="V","x",SUMIF(INDIRECT(ADDRESS(MATCH("START"&amp;OFFSET(Z10,0,COLUMN($B10)-COLUMN(Z10)),$A:$A,0),$C10+COLUMN($E10)+1)&amp;":"&amp;ADDRESS(MATCH("END"&amp;OFFSET(Z10,0,COLUMN($B10)-COLUMN(Z10)),$A:$A,0),$C10+COLUMN($E10)+1),TRUE),INDIRECT(ADDRESS(ROW(Z10),$C10+COLUMN($E10)),TRUE),INDIRECT(ADDRESS(MATCH("START"&amp;OFFSET(Z10,0,COLUMN($B10)-COLUMN(Z10)),$A:$A,0),COLUMN(Z10))&amp;":"&amp;ADDRESS(MATCH("END"&amp;OFFSET(Z10,0,COLUMN($B10)-COLUMN(Z10)),$A:$A,0),COLUMN(Z10)),TRUE)))))</f>
        <v>0</v>
      </c>
      <c r="AA10" s="354"/>
      <c r="AB10" s="355">
        <f ca="1">IF(OFFSET(AB10,ROW(AB$2)-ROW(AB10),0)="TT","TT",IF(OFFSET(AB10,0,COLUMN($M10)-COLUMN(AB10))="%",ROUND((OFFSET(AB10,-2,0)-OFFSET(AB10,-21,0))*0.07,2),IF(OFFSET(AB10,0,COLUMN($M10)-COLUMN(AB10))="V",ROUND(OFFSET(AB10,0,-2)*OFFSET(AB10,0,-1),2),SUMIF(INDIRECT(ADDRESS(MATCH("START"&amp;OFFSET(AB10,0,COLUMN($B10)-COLUMN(AB10)),$A:$A,0),$C10+COLUMN($E10)+1)&amp;":"&amp;ADDRESS(MATCH("END"&amp;OFFSET(AB10,0,COLUMN($B10)-COLUMN(AB10)),$A:$A,0),$C10+COLUMN($E10)+1),TRUE),INDIRECT(ADDRESS(ROW(AB10),$C10+COLUMN($E10)),TRUE),INDIRECT(ADDRESS(MATCH("START"&amp;OFFSET(AB10,0,COLUMN($B10)-COLUMN(AB10)),$A:$A,0),COLUMN(AB10))&amp;":"&amp;ADDRESS(MATCH("END"&amp;OFFSET(AB10,0,COLUMN($B10)-COLUMN(AB10)),$A:$A,0),COLUMN(AB10)),TRUE)))))</f>
        <v>0</v>
      </c>
      <c r="AC10" s="356">
        <f t="shared" ref="AC10:AC37" ca="1" si="4">IF(OFFSET(AC10,ROW(AC$2)-ROW(AC10),0)="TT",SUMIF(INDIRECT(ADDRESS(2,COLUMN($Q10)+1) &amp; ":" &amp; ADDRESS(2,COLUMN(AC10)-1),TRUE),"TBE",INDIRECT(ADDRESS(ROW(AC10), COLUMN($Q10)+1) &amp; ":" &amp; ADDRESS(ROW(AC10),COLUMN(AC10)-1),TRUE)),IF(OFFSET(AC10,ROW(AC$2)-ROW(AC10),0)="TBE",SUMIF(INDIRECT(ADDRESS(2,MATCH(INT(OFFSET(AC10,ROW(AC$2)-ROW(AC10),-2)),$2:$2,0)) &amp; ":" &amp; ADDRESS(2,COLUMN(AC10)-1),TRUE),"T",INDIRECT(ADDRESS(ROW(AC10), MATCH(INT(OFFSET(AC10,ROW(AC$2)-ROW(AC10),-2)),$2:$2,0)) &amp; ":" &amp; ADDRESS(ROW(AC10),COLUMN(AC10)-1),TRUE)),IF(OFFSET(AC10,0,COLUMN($M10)-COLUMN(AC10))="V",OFFSET(AC10,0,-2)*OFFSET(AC10,0,-1),"TOTAL")))</f>
        <v>0</v>
      </c>
      <c r="AD10" s="353">
        <f ca="1">IF(OFFSET(AD10,ROW(AD$2)-ROW(AD10),0)="TT","TT",IF(OFFSET(AD10,0,COLUMN($M10)-COLUMN(AD10))="%",ROUND(OFFSET(AD10,-2,0)*0.07,0),IF(OFFSET(AD10,0,COLUMN($M10)-COLUMN(AD10))="V","x",SUMIF(INDIRECT(ADDRESS(MATCH("START"&amp;OFFSET(AD10,0,COLUMN($B10)-COLUMN(AD10)),$A:$A,0),$C10+COLUMN($E10)+1)&amp;":"&amp;ADDRESS(MATCH("END"&amp;OFFSET(AD10,0,COLUMN($B10)-COLUMN(AD10)),$A:$A,0),$C10+COLUMN($E10)+1),TRUE),INDIRECT(ADDRESS(ROW(AD10),$C10+COLUMN($E10)),TRUE),INDIRECT(ADDRESS(MATCH("START"&amp;OFFSET(AD10,0,COLUMN($B10)-COLUMN(AD10)),$A:$A,0),COLUMN(AD10))&amp;":"&amp;ADDRESS(MATCH("END"&amp;OFFSET(AD10,0,COLUMN($B10)-COLUMN(AD10)),$A:$A,0),COLUMN(AD10)),TRUE)))))</f>
        <v>0</v>
      </c>
      <c r="AE10" s="354"/>
      <c r="AF10" s="355">
        <f ca="1">IF(OFFSET(AF10,ROW(AF$2)-ROW(AF10),0)="TT","TT",IF(OFFSET(AF10,0,COLUMN($M10)-COLUMN(AF10))="%",ROUND((OFFSET(AF10,-2,0)-OFFSET(AF10,-21,0))*0.07,2),IF(OFFSET(AF10,0,COLUMN($M10)-COLUMN(AF10))="V",ROUND(OFFSET(AF10,0,-2)*OFFSET(AF10,0,-1),2),SUMIF(INDIRECT(ADDRESS(MATCH("START"&amp;OFFSET(AF10,0,COLUMN($B10)-COLUMN(AF10)),$A:$A,0),$C10+COLUMN($E10)+1)&amp;":"&amp;ADDRESS(MATCH("END"&amp;OFFSET(AF10,0,COLUMN($B10)-COLUMN(AF10)),$A:$A,0),$C10+COLUMN($E10)+1),TRUE),INDIRECT(ADDRESS(ROW(AF10),$C10+COLUMN($E10)),TRUE),INDIRECT(ADDRESS(MATCH("START"&amp;OFFSET(AF10,0,COLUMN($B10)-COLUMN(AF10)),$A:$A,0),COLUMN(AF10))&amp;":"&amp;ADDRESS(MATCH("END"&amp;OFFSET(AF10,0,COLUMN($B10)-COLUMN(AF10)),$A:$A,0),COLUMN(AF10)),TRUE)))))</f>
        <v>0</v>
      </c>
      <c r="AG10" s="356">
        <f t="shared" ref="AG10:AG37" ca="1" si="5">IF(OFFSET(AG10,ROW(AG$2)-ROW(AG10),0)="TT",SUMIF(INDIRECT(ADDRESS(2,COLUMN($Q10)+1) &amp; ":" &amp; ADDRESS(2,COLUMN(AG10)-1),TRUE),"TBE",INDIRECT(ADDRESS(ROW(AG10), COLUMN($Q10)+1) &amp; ":" &amp; ADDRESS(ROW(AG10),COLUMN(AG10)-1),TRUE)),IF(OFFSET(AG10,ROW(AG$2)-ROW(AG10),0)="TBE",SUMIF(INDIRECT(ADDRESS(2,MATCH(INT(OFFSET(AG10,ROW(AG$2)-ROW(AG10),-2)),$2:$2,0)) &amp; ":" &amp; ADDRESS(2,COLUMN(AG10)-1),TRUE),"T",INDIRECT(ADDRESS(ROW(AG10), MATCH(INT(OFFSET(AG10,ROW(AG$2)-ROW(AG10),-2)),$2:$2,0)) &amp; ":" &amp; ADDRESS(ROW(AG10),COLUMN(AG10)-1),TRUE)),IF(OFFSET(AG10,0,COLUMN($M10)-COLUMN(AG10))="V",OFFSET(AG10,0,-2)*OFFSET(AG10,0,-1),"TOTAL")))</f>
        <v>0</v>
      </c>
      <c r="AH10" s="353">
        <f ca="1">IF(OFFSET(AH10,ROW(AH$2)-ROW(AH10),0)="TT","TT",IF(OFFSET(AH10,0,COLUMN($M10)-COLUMN(AH10))="%",ROUND(OFFSET(AH10,-2,0)*0.07,0),IF(OFFSET(AH10,0,COLUMN($M10)-COLUMN(AH10))="V","x",SUMIF(INDIRECT(ADDRESS(MATCH("START"&amp;OFFSET(AH10,0,COLUMN($B10)-COLUMN(AH10)),$A:$A,0),$C10+COLUMN($E10)+1)&amp;":"&amp;ADDRESS(MATCH("END"&amp;OFFSET(AH10,0,COLUMN($B10)-COLUMN(AH10)),$A:$A,0),$C10+COLUMN($E10)+1),TRUE),INDIRECT(ADDRESS(ROW(AH10),$C10+COLUMN($E10)),TRUE),INDIRECT(ADDRESS(MATCH("START"&amp;OFFSET(AH10,0,COLUMN($B10)-COLUMN(AH10)),$A:$A,0),COLUMN(AH10))&amp;":"&amp;ADDRESS(MATCH("END"&amp;OFFSET(AH10,0,COLUMN($B10)-COLUMN(AH10)),$A:$A,0),COLUMN(AH10)),TRUE)))))</f>
        <v>0</v>
      </c>
      <c r="AI10" s="354"/>
      <c r="AJ10" s="355">
        <f ca="1">IF(OFFSET(AJ10,ROW(AJ$2)-ROW(AJ10),0)="TT","TT",IF(OFFSET(AJ10,0,COLUMN($M10)-COLUMN(AJ10))="%",ROUND((OFFSET(AJ10,-2,0)-OFFSET(AJ10,-21,0))*0.07,2),IF(OFFSET(AJ10,0,COLUMN($M10)-COLUMN(AJ10))="V",ROUND(OFFSET(AJ10,0,-2)*OFFSET(AJ10,0,-1),2),SUMIF(INDIRECT(ADDRESS(MATCH("START"&amp;OFFSET(AJ10,0,COLUMN($B10)-COLUMN(AJ10)),$A:$A,0),$C10+COLUMN($E10)+1)&amp;":"&amp;ADDRESS(MATCH("END"&amp;OFFSET(AJ10,0,COLUMN($B10)-COLUMN(AJ10)),$A:$A,0),$C10+COLUMN($E10)+1),TRUE),INDIRECT(ADDRESS(ROW(AJ10),$C10+COLUMN($E10)),TRUE),INDIRECT(ADDRESS(MATCH("START"&amp;OFFSET(AJ10,0,COLUMN($B10)-COLUMN(AJ10)),$A:$A,0),COLUMN(AJ10))&amp;":"&amp;ADDRESS(MATCH("END"&amp;OFFSET(AJ10,0,COLUMN($B10)-COLUMN(AJ10)),$A:$A,0),COLUMN(AJ10)),TRUE)))))</f>
        <v>0</v>
      </c>
      <c r="AK10" s="356">
        <f t="shared" ref="AK10:AK37" ca="1" si="6">IF(OFFSET(AK10,ROW(AK$2)-ROW(AK10),0)="TT",SUMIF(INDIRECT(ADDRESS(2,COLUMN($Q10)+1) &amp; ":" &amp; ADDRESS(2,COLUMN(AK10)-1),TRUE),"TBE",INDIRECT(ADDRESS(ROW(AK10), COLUMN($Q10)+1) &amp; ":" &amp; ADDRESS(ROW(AK10),COLUMN(AK10)-1),TRUE)),IF(OFFSET(AK10,ROW(AK$2)-ROW(AK10),0)="TBE",SUMIF(INDIRECT(ADDRESS(2,MATCH(INT(OFFSET(AK10,ROW(AK$2)-ROW(AK10),-2)),$2:$2,0)) &amp; ":" &amp; ADDRESS(2,COLUMN(AK10)-1),TRUE),"T",INDIRECT(ADDRESS(ROW(AK10), MATCH(INT(OFFSET(AK10,ROW(AK$2)-ROW(AK10),-2)),$2:$2,0)) &amp; ":" &amp; ADDRESS(ROW(AK10),COLUMN(AK10)-1),TRUE)),IF(OFFSET(AK10,0,COLUMN($M10)-COLUMN(AK10))="V",OFFSET(AK10,0,-2)*OFFSET(AK10,0,-1),"TOTAL")))</f>
        <v>0</v>
      </c>
      <c r="AL10" s="353">
        <f ca="1">IF(OFFSET(AL10,ROW(AL$2)-ROW(AL10),0)="TT","TT",IF(OFFSET(AL10,0,COLUMN($M10)-COLUMN(AL10))="%",ROUND(OFFSET(AL10,-2,0)*0.07,0),IF(OFFSET(AL10,0,COLUMN($M10)-COLUMN(AL10))="V","x",SUMIF(INDIRECT(ADDRESS(MATCH("START"&amp;OFFSET(AL10,0,COLUMN($B10)-COLUMN(AL10)),$A:$A,0),$C10+COLUMN($E10)+1)&amp;":"&amp;ADDRESS(MATCH("END"&amp;OFFSET(AL10,0,COLUMN($B10)-COLUMN(AL10)),$A:$A,0),$C10+COLUMN($E10)+1),TRUE),INDIRECT(ADDRESS(ROW(AL10),$C10+COLUMN($E10)),TRUE),INDIRECT(ADDRESS(MATCH("START"&amp;OFFSET(AL10,0,COLUMN($B10)-COLUMN(AL10)),$A:$A,0),COLUMN(AL10))&amp;":"&amp;ADDRESS(MATCH("END"&amp;OFFSET(AL10,0,COLUMN($B10)-COLUMN(AL10)),$A:$A,0),COLUMN(AL10)),TRUE)))))</f>
        <v>0</v>
      </c>
      <c r="AM10" s="354"/>
      <c r="AN10" s="355">
        <f ca="1">IF(OFFSET(AN10,ROW(AN$2)-ROW(AN10),0)="TT","TT",IF(OFFSET(AN10,0,COLUMN($M10)-COLUMN(AN10))="%",ROUND((OFFSET(AN10,-2,0)-OFFSET(AN10,-21,0))*0.07,2),IF(OFFSET(AN10,0,COLUMN($M10)-COLUMN(AN10))="V",ROUND(OFFSET(AN10,0,-2)*OFFSET(AN10,0,-1),2),SUMIF(INDIRECT(ADDRESS(MATCH("START"&amp;OFFSET(AN10,0,COLUMN($B10)-COLUMN(AN10)),$A:$A,0),$C10+COLUMN($E10)+1)&amp;":"&amp;ADDRESS(MATCH("END"&amp;OFFSET(AN10,0,COLUMN($B10)-COLUMN(AN10)),$A:$A,0),$C10+COLUMN($E10)+1),TRUE),INDIRECT(ADDRESS(ROW(AN10),$C10+COLUMN($E10)),TRUE),INDIRECT(ADDRESS(MATCH("START"&amp;OFFSET(AN10,0,COLUMN($B10)-COLUMN(AN10)),$A:$A,0),COLUMN(AN10))&amp;":"&amp;ADDRESS(MATCH("END"&amp;OFFSET(AN10,0,COLUMN($B10)-COLUMN(AN10)),$A:$A,0),COLUMN(AN10)),TRUE)))))</f>
        <v>0</v>
      </c>
      <c r="AO10" s="356">
        <f t="shared" ref="AO10:AO37" ca="1" si="7">IF(OFFSET(AO10,ROW(AO$2)-ROW(AO10),0)="TT",SUMIF(INDIRECT(ADDRESS(2,COLUMN($Q10)+1) &amp; ":" &amp; ADDRESS(2,COLUMN(AO10)-1),TRUE),"TBE",INDIRECT(ADDRESS(ROW(AO10), COLUMN($Q10)+1) &amp; ":" &amp; ADDRESS(ROW(AO10),COLUMN(AO10)-1),TRUE)),IF(OFFSET(AO10,ROW(AO$2)-ROW(AO10),0)="TBE",SUMIF(INDIRECT(ADDRESS(2,MATCH(INT(OFFSET(AO10,ROW(AO$2)-ROW(AO10),-2)),$2:$2,0)) &amp; ":" &amp; ADDRESS(2,COLUMN(AO10)-1),TRUE),"T",INDIRECT(ADDRESS(ROW(AO10), MATCH(INT(OFFSET(AO10,ROW(AO$2)-ROW(AO10),-2)),$2:$2,0)) &amp; ":" &amp; ADDRESS(ROW(AO10),COLUMN(AO10)-1),TRUE)),IF(OFFSET(AO10,0,COLUMN($M10)-COLUMN(AO10))="V",OFFSET(AO10,0,-2)*OFFSET(AO10,0,-1),"TOTAL")))</f>
        <v>0</v>
      </c>
      <c r="AP10" s="353">
        <f ca="1">IF(OFFSET(AP10,ROW(AP$2)-ROW(AP10),0)="TT","TT",IF(OFFSET(AP10,0,COLUMN($M10)-COLUMN(AP10))="%",ROUND(OFFSET(AP10,-2,0)*0.07,0),IF(OFFSET(AP10,0,COLUMN($M10)-COLUMN(AP10))="V","x",SUMIF(INDIRECT(ADDRESS(MATCH("START"&amp;OFFSET(AP10,0,COLUMN($B10)-COLUMN(AP10)),$A:$A,0),$C10+COLUMN($E10)+1)&amp;":"&amp;ADDRESS(MATCH("END"&amp;OFFSET(AP10,0,COLUMN($B10)-COLUMN(AP10)),$A:$A,0),$C10+COLUMN($E10)+1),TRUE),INDIRECT(ADDRESS(ROW(AP10),$C10+COLUMN($E10)),TRUE),INDIRECT(ADDRESS(MATCH("START"&amp;OFFSET(AP10,0,COLUMN($B10)-COLUMN(AP10)),$A:$A,0),COLUMN(AP10))&amp;":"&amp;ADDRESS(MATCH("END"&amp;OFFSET(AP10,0,COLUMN($B10)-COLUMN(AP10)),$A:$A,0),COLUMN(AP10)),TRUE)))))</f>
        <v>0</v>
      </c>
      <c r="AQ10" s="354"/>
      <c r="AR10" s="355">
        <f ca="1">IF(OFFSET(AR10,ROW(AR$2)-ROW(AR10),0)="TT","TT",IF(OFFSET(AR10,0,COLUMN($M10)-COLUMN(AR10))="%",ROUND((OFFSET(AR10,-2,0)-OFFSET(AR10,-21,0))*0.07,2),IF(OFFSET(AR10,0,COLUMN($M10)-COLUMN(AR10))="V",ROUND(OFFSET(AR10,0,-2)*OFFSET(AR10,0,-1),2),SUMIF(INDIRECT(ADDRESS(MATCH("START"&amp;OFFSET(AR10,0,COLUMN($B10)-COLUMN(AR10)),$A:$A,0),$C10+COLUMN($E10)+1)&amp;":"&amp;ADDRESS(MATCH("END"&amp;OFFSET(AR10,0,COLUMN($B10)-COLUMN(AR10)),$A:$A,0),$C10+COLUMN($E10)+1),TRUE),INDIRECT(ADDRESS(ROW(AR10),$C10+COLUMN($E10)),TRUE),INDIRECT(ADDRESS(MATCH("START"&amp;OFFSET(AR10,0,COLUMN($B10)-COLUMN(AR10)),$A:$A,0),COLUMN(AR10))&amp;":"&amp;ADDRESS(MATCH("END"&amp;OFFSET(AR10,0,COLUMN($B10)-COLUMN(AR10)),$A:$A,0),COLUMN(AR10)),TRUE)))))</f>
        <v>0</v>
      </c>
      <c r="AS10" s="356">
        <f t="shared" ref="AS10:AS37" ca="1" si="8">IF(OFFSET(AS10,ROW(AS$2)-ROW(AS10),0)="TT",SUMIF(INDIRECT(ADDRESS(2,COLUMN($Q10)+1) &amp; ":" &amp; ADDRESS(2,COLUMN(AS10)-1),TRUE),"TBE",INDIRECT(ADDRESS(ROW(AS10), COLUMN($Q10)+1) &amp; ":" &amp; ADDRESS(ROW(AS10),COLUMN(AS10)-1),TRUE)),IF(OFFSET(AS10,ROW(AS$2)-ROW(AS10),0)="TBE",SUMIF(INDIRECT(ADDRESS(2,MATCH(INT(OFFSET(AS10,ROW(AS$2)-ROW(AS10),-2)),$2:$2,0)) &amp; ":" &amp; ADDRESS(2,COLUMN(AS10)-1),TRUE),"T",INDIRECT(ADDRESS(ROW(AS10), MATCH(INT(OFFSET(AS10,ROW(AS$2)-ROW(AS10),-2)),$2:$2,0)) &amp; ":" &amp; ADDRESS(ROW(AS10),COLUMN(AS10)-1),TRUE)),IF(OFFSET(AS10,0,COLUMN($M10)-COLUMN(AS10))="V",OFFSET(AS10,0,-2)*OFFSET(AS10,0,-1),"TOTAL")))</f>
        <v>0</v>
      </c>
      <c r="AT10" s="353">
        <f ca="1">IF(OFFSET(AT10,ROW(AT$2)-ROW(AT10),0)="TT","TT",IF(OFFSET(AT10,0,COLUMN($M10)-COLUMN(AT10))="%",ROUND(OFFSET(AT10,-2,0)*0.07,0),IF(OFFSET(AT10,0,COLUMN($M10)-COLUMN(AT10))="V","x",SUMIF(INDIRECT(ADDRESS(MATCH("START"&amp;OFFSET(AT10,0,COLUMN($B10)-COLUMN(AT10)),$A:$A,0),$C10+COLUMN($E10)+1)&amp;":"&amp;ADDRESS(MATCH("END"&amp;OFFSET(AT10,0,COLUMN($B10)-COLUMN(AT10)),$A:$A,0),$C10+COLUMN($E10)+1),TRUE),INDIRECT(ADDRESS(ROW(AT10),$C10+COLUMN($E10)),TRUE),INDIRECT(ADDRESS(MATCH("START"&amp;OFFSET(AT10,0,COLUMN($B10)-COLUMN(AT10)),$A:$A,0),COLUMN(AT10))&amp;":"&amp;ADDRESS(MATCH("END"&amp;OFFSET(AT10,0,COLUMN($B10)-COLUMN(AT10)),$A:$A,0),COLUMN(AT10)),TRUE)))))</f>
        <v>0</v>
      </c>
      <c r="AU10" s="354"/>
      <c r="AV10" s="355">
        <f ca="1">IF(OFFSET(AV10,ROW(AV$2)-ROW(AV10),0)="TT","TT",IF(OFFSET(AV10,0,COLUMN($M10)-COLUMN(AV10))="%",ROUND((OFFSET(AV10,-2,0)-OFFSET(AV10,-21,0))*0.07,2),IF(OFFSET(AV10,0,COLUMN($M10)-COLUMN(AV10))="V",ROUND(OFFSET(AV10,0,-2)*OFFSET(AV10,0,-1),2),SUMIF(INDIRECT(ADDRESS(MATCH("START"&amp;OFFSET(AV10,0,COLUMN($B10)-COLUMN(AV10)),$A:$A,0),$C10+COLUMN($E10)+1)&amp;":"&amp;ADDRESS(MATCH("END"&amp;OFFSET(AV10,0,COLUMN($B10)-COLUMN(AV10)),$A:$A,0),$C10+COLUMN($E10)+1),TRUE),INDIRECT(ADDRESS(ROW(AV10),$C10+COLUMN($E10)),TRUE),INDIRECT(ADDRESS(MATCH("START"&amp;OFFSET(AV10,0,COLUMN($B10)-COLUMN(AV10)),$A:$A,0),COLUMN(AV10))&amp;":"&amp;ADDRESS(MATCH("END"&amp;OFFSET(AV10,0,COLUMN($B10)-COLUMN(AV10)),$A:$A,0),COLUMN(AV10)),TRUE)))))</f>
        <v>0</v>
      </c>
      <c r="AW10" s="356">
        <f t="shared" ref="AW10:AW37" ca="1" si="9">IF(OFFSET(AW10,ROW(AW$2)-ROW(AW10),0)="TT",SUMIF(INDIRECT(ADDRESS(2,COLUMN($Q10)+1) &amp; ":" &amp; ADDRESS(2,COLUMN(AW10)-1),TRUE),"TBE",INDIRECT(ADDRESS(ROW(AW10), COLUMN($Q10)+1) &amp; ":" &amp; ADDRESS(ROW(AW10),COLUMN(AW10)-1),TRUE)),IF(OFFSET(AW10,ROW(AW$2)-ROW(AW10),0)="TBE",SUMIF(INDIRECT(ADDRESS(2,MATCH(INT(OFFSET(AW10,ROW(AW$2)-ROW(AW10),-2)),$2:$2,0)) &amp; ":" &amp; ADDRESS(2,COLUMN(AW10)-1),TRUE),"T",INDIRECT(ADDRESS(ROW(AW10), MATCH(INT(OFFSET(AW10,ROW(AW$2)-ROW(AW10),-2)),$2:$2,0)) &amp; ":" &amp; ADDRESS(ROW(AW10),COLUMN(AW10)-1),TRUE)),IF(OFFSET(AW10,0,COLUMN($M10)-COLUMN(AW10))="V",OFFSET(AW10,0,-2)*OFFSET(AW10,0,-1),"TOTAL")))</f>
        <v>0</v>
      </c>
      <c r="AX10" s="353">
        <f ca="1">IF(OFFSET(AX10,ROW(AX$2)-ROW(AX10),0)="TT","TT",IF(OFFSET(AX10,0,COLUMN($M10)-COLUMN(AX10))="%",ROUND(OFFSET(AX10,-2,0)*0.07,0),IF(OFFSET(AX10,0,COLUMN($M10)-COLUMN(AX10))="V","x",SUMIF(INDIRECT(ADDRESS(MATCH("START"&amp;OFFSET(AX10,0,COLUMN($B10)-COLUMN(AX10)),$A:$A,0),$C10+COLUMN($E10)+1)&amp;":"&amp;ADDRESS(MATCH("END"&amp;OFFSET(AX10,0,COLUMN($B10)-COLUMN(AX10)),$A:$A,0),$C10+COLUMN($E10)+1),TRUE),INDIRECT(ADDRESS(ROW(AX10),$C10+COLUMN($E10)),TRUE),INDIRECT(ADDRESS(MATCH("START"&amp;OFFSET(AX10,0,COLUMN($B10)-COLUMN(AX10)),$A:$A,0),COLUMN(AX10))&amp;":"&amp;ADDRESS(MATCH("END"&amp;OFFSET(AX10,0,COLUMN($B10)-COLUMN(AX10)),$A:$A,0),COLUMN(AX10)),TRUE)))))</f>
        <v>0</v>
      </c>
      <c r="AY10" s="354"/>
      <c r="AZ10" s="355">
        <f ca="1">IF(OFFSET(AZ10,ROW(AZ$2)-ROW(AZ10),0)="TT","TT",IF(OFFSET(AZ10,0,COLUMN($M10)-COLUMN(AZ10))="%",ROUND((OFFSET(AZ10,-2,0)-OFFSET(AZ10,-21,0))*0.07,2),IF(OFFSET(AZ10,0,COLUMN($M10)-COLUMN(AZ10))="V",ROUND(OFFSET(AZ10,0,-2)*OFFSET(AZ10,0,-1),2),SUMIF(INDIRECT(ADDRESS(MATCH("START"&amp;OFFSET(AZ10,0,COLUMN($B10)-COLUMN(AZ10)),$A:$A,0),$C10+COLUMN($E10)+1)&amp;":"&amp;ADDRESS(MATCH("END"&amp;OFFSET(AZ10,0,COLUMN($B10)-COLUMN(AZ10)),$A:$A,0),$C10+COLUMN($E10)+1),TRUE),INDIRECT(ADDRESS(ROW(AZ10),$C10+COLUMN($E10)),TRUE),INDIRECT(ADDRESS(MATCH("START"&amp;OFFSET(AZ10,0,COLUMN($B10)-COLUMN(AZ10)),$A:$A,0),COLUMN(AZ10))&amp;":"&amp;ADDRESS(MATCH("END"&amp;OFFSET(AZ10,0,COLUMN($B10)-COLUMN(AZ10)),$A:$A,0),COLUMN(AZ10)),TRUE)))))</f>
        <v>0</v>
      </c>
      <c r="BA10" s="356">
        <f t="shared" ref="BA10:BA37" ca="1" si="10">IF(OFFSET(BA10,ROW(BA$2)-ROW(BA10),0)="TT",SUMIF(INDIRECT(ADDRESS(2,COLUMN($Q10)+1) &amp; ":" &amp; ADDRESS(2,COLUMN(BA10)-1),TRUE),"TBE",INDIRECT(ADDRESS(ROW(BA10), COLUMN($Q10)+1) &amp; ":" &amp; ADDRESS(ROW(BA10),COLUMN(BA10)-1),TRUE)),IF(OFFSET(BA10,ROW(BA$2)-ROW(BA10),0)="TBE",SUMIF(INDIRECT(ADDRESS(2,MATCH(INT(OFFSET(BA10,ROW(BA$2)-ROW(BA10),-2)),$2:$2,0)) &amp; ":" &amp; ADDRESS(2,COLUMN(BA10)-1),TRUE),"T",INDIRECT(ADDRESS(ROW(BA10), MATCH(INT(OFFSET(BA10,ROW(BA$2)-ROW(BA10),-2)),$2:$2,0)) &amp; ":" &amp; ADDRESS(ROW(BA10),COLUMN(BA10)-1),TRUE)),IF(OFFSET(BA10,0,COLUMN($M10)-COLUMN(BA10))="V",OFFSET(BA10,0,-2)*OFFSET(BA10,0,-1),"TOTAL")))</f>
        <v>0</v>
      </c>
      <c r="BB10" s="353">
        <f ca="1">IF(OFFSET(BB10,ROW(BB$2)-ROW(BB10),0)="TT","TT",IF(OFFSET(BB10,0,COLUMN($M10)-COLUMN(BB10))="%",ROUND(OFFSET(BB10,-2,0)*0.07,0),IF(OFFSET(BB10,0,COLUMN($M10)-COLUMN(BB10))="V","x",SUMIF(INDIRECT(ADDRESS(MATCH("START"&amp;OFFSET(BB10,0,COLUMN($B10)-COLUMN(BB10)),$A:$A,0),$C10+COLUMN($E10)+1)&amp;":"&amp;ADDRESS(MATCH("END"&amp;OFFSET(BB10,0,COLUMN($B10)-COLUMN(BB10)),$A:$A,0),$C10+COLUMN($E10)+1),TRUE),INDIRECT(ADDRESS(ROW(BB10),$C10+COLUMN($E10)),TRUE),INDIRECT(ADDRESS(MATCH("START"&amp;OFFSET(BB10,0,COLUMN($B10)-COLUMN(BB10)),$A:$A,0),COLUMN(BB10))&amp;":"&amp;ADDRESS(MATCH("END"&amp;OFFSET(BB10,0,COLUMN($B10)-COLUMN(BB10)),$A:$A,0),COLUMN(BB10)),TRUE)))))</f>
        <v>0</v>
      </c>
      <c r="BC10" s="354"/>
      <c r="BD10" s="355">
        <f ca="1">IF(OFFSET(BD10,ROW(BD$2)-ROW(BD10),0)="TT","TT",IF(OFFSET(BD10,0,COLUMN($M10)-COLUMN(BD10))="%",ROUND((OFFSET(BD10,-2,0)-OFFSET(BD10,-21,0))*0.07,2),IF(OFFSET(BD10,0,COLUMN($M10)-COLUMN(BD10))="V",ROUND(OFFSET(BD10,0,-2)*OFFSET(BD10,0,-1),2),SUMIF(INDIRECT(ADDRESS(MATCH("START"&amp;OFFSET(BD10,0,COLUMN($B10)-COLUMN(BD10)),$A:$A,0),$C10+COLUMN($E10)+1)&amp;":"&amp;ADDRESS(MATCH("END"&amp;OFFSET(BD10,0,COLUMN($B10)-COLUMN(BD10)),$A:$A,0),$C10+COLUMN($E10)+1),TRUE),INDIRECT(ADDRESS(ROW(BD10),$C10+COLUMN($E10)),TRUE),INDIRECT(ADDRESS(MATCH("START"&amp;OFFSET(BD10,0,COLUMN($B10)-COLUMN(BD10)),$A:$A,0),COLUMN(BD10))&amp;":"&amp;ADDRESS(MATCH("END"&amp;OFFSET(BD10,0,COLUMN($B10)-COLUMN(BD10)),$A:$A,0),COLUMN(BD10)),TRUE)))))</f>
        <v>0</v>
      </c>
      <c r="BE10" s="356">
        <f t="shared" ref="BE10:BE37" ca="1" si="11">IF(OFFSET(BE10,ROW(BE$2)-ROW(BE10),0)="TT",SUMIF(INDIRECT(ADDRESS(2,COLUMN($Q10)+1) &amp; ":" &amp; ADDRESS(2,COLUMN(BE10)-1),TRUE),"TBE",INDIRECT(ADDRESS(ROW(BE10), COLUMN($Q10)+1) &amp; ":" &amp; ADDRESS(ROW(BE10),COLUMN(BE10)-1),TRUE)),IF(OFFSET(BE10,ROW(BE$2)-ROW(BE10),0)="TBE",SUMIF(INDIRECT(ADDRESS(2,MATCH(INT(OFFSET(BE10,ROW(BE$2)-ROW(BE10),-2)),$2:$2,0)) &amp; ":" &amp; ADDRESS(2,COLUMN(BE10)-1),TRUE),"T",INDIRECT(ADDRESS(ROW(BE10), MATCH(INT(OFFSET(BE10,ROW(BE$2)-ROW(BE10),-2)),$2:$2,0)) &amp; ":" &amp; ADDRESS(ROW(BE10),COLUMN(BE10)-1),TRUE)),IF(OFFSET(BE10,0,COLUMN($M10)-COLUMN(BE10))="V",OFFSET(BE10,0,-2)*OFFSET(BE10,0,-1),"TOTAL")))</f>
        <v>0</v>
      </c>
      <c r="BF10" s="353">
        <f ca="1">IF(OFFSET(BF10,ROW(BF$2)-ROW(BF10),0)="TT","TT",IF(OFFSET(BF10,0,COLUMN($M10)-COLUMN(BF10))="%",ROUND(OFFSET(BF10,-2,0)*0.07,0),IF(OFFSET(BF10,0,COLUMN($M10)-COLUMN(BF10))="V","x",SUMIF(INDIRECT(ADDRESS(MATCH("START"&amp;OFFSET(BF10,0,COLUMN($B10)-COLUMN(BF10)),$A:$A,0),$C10+COLUMN($E10)+1)&amp;":"&amp;ADDRESS(MATCH("END"&amp;OFFSET(BF10,0,COLUMN($B10)-COLUMN(BF10)),$A:$A,0),$C10+COLUMN($E10)+1),TRUE),INDIRECT(ADDRESS(ROW(BF10),$C10+COLUMN($E10)),TRUE),INDIRECT(ADDRESS(MATCH("START"&amp;OFFSET(BF10,0,COLUMN($B10)-COLUMN(BF10)),$A:$A,0),COLUMN(BF10))&amp;":"&amp;ADDRESS(MATCH("END"&amp;OFFSET(BF10,0,COLUMN($B10)-COLUMN(BF10)),$A:$A,0),COLUMN(BF10)),TRUE)))))</f>
        <v>0</v>
      </c>
      <c r="BG10" s="354"/>
      <c r="BH10" s="355">
        <f ca="1">IF(OFFSET(BH10,ROW(BH$2)-ROW(BH10),0)="TT","TT",IF(OFFSET(BH10,0,COLUMN($M10)-COLUMN(BH10))="%",ROUND((OFFSET(BH10,-2,0)-OFFSET(BH10,-21,0))*0.07,2),IF(OFFSET(BH10,0,COLUMN($M10)-COLUMN(BH10))="V",ROUND(OFFSET(BH10,0,-2)*OFFSET(BH10,0,-1),2),SUMIF(INDIRECT(ADDRESS(MATCH("START"&amp;OFFSET(BH10,0,COLUMN($B10)-COLUMN(BH10)),$A:$A,0),$C10+COLUMN($E10)+1)&amp;":"&amp;ADDRESS(MATCH("END"&amp;OFFSET(BH10,0,COLUMN($B10)-COLUMN(BH10)),$A:$A,0),$C10+COLUMN($E10)+1),TRUE),INDIRECT(ADDRESS(ROW(BH10),$C10+COLUMN($E10)),TRUE),INDIRECT(ADDRESS(MATCH("START"&amp;OFFSET(BH10,0,COLUMN($B10)-COLUMN(BH10)),$A:$A,0),COLUMN(BH10))&amp;":"&amp;ADDRESS(MATCH("END"&amp;OFFSET(BH10,0,COLUMN($B10)-COLUMN(BH10)),$A:$A,0),COLUMN(BH10)),TRUE)))))</f>
        <v>0</v>
      </c>
      <c r="BI10" s="356">
        <f t="shared" ref="BI10:BI37" ca="1" si="12">IF(OFFSET(BI10,ROW(BI$2)-ROW(BI10),0)="TT",SUMIF(INDIRECT(ADDRESS(2,COLUMN($Q10)+1) &amp; ":" &amp; ADDRESS(2,COLUMN(BI10)-1),TRUE),"TBE",INDIRECT(ADDRESS(ROW(BI10), COLUMN($Q10)+1) &amp; ":" &amp; ADDRESS(ROW(BI10),COLUMN(BI10)-1),TRUE)),IF(OFFSET(BI10,ROW(BI$2)-ROW(BI10),0)="TBE",SUMIF(INDIRECT(ADDRESS(2,MATCH(INT(OFFSET(BI10,ROW(BI$2)-ROW(BI10),-2)),$2:$2,0)) &amp; ":" &amp; ADDRESS(2,COLUMN(BI10)-1),TRUE),"T",INDIRECT(ADDRESS(ROW(BI10), MATCH(INT(OFFSET(BI10,ROW(BI$2)-ROW(BI10),-2)),$2:$2,0)) &amp; ":" &amp; ADDRESS(ROW(BI10),COLUMN(BI10)-1),TRUE)),IF(OFFSET(BI10,0,COLUMN($M10)-COLUMN(BI10))="V",OFFSET(BI10,0,-2)*OFFSET(BI10,0,-1),"TOTAL")))</f>
        <v>0</v>
      </c>
      <c r="BJ10" s="353">
        <f ca="1">IF(OFFSET(BJ10,ROW(BJ$2)-ROW(BJ10),0)="TT","TT",IF(OFFSET(BJ10,0,COLUMN($M10)-COLUMN(BJ10))="%",ROUND(OFFSET(BJ10,-2,0)*0.07,0),IF(OFFSET(BJ10,0,COLUMN($M10)-COLUMN(BJ10))="V","x",SUMIF(INDIRECT(ADDRESS(MATCH("START"&amp;OFFSET(BJ10,0,COLUMN($B10)-COLUMN(BJ10)),$A:$A,0),$C10+COLUMN($E10)+1)&amp;":"&amp;ADDRESS(MATCH("END"&amp;OFFSET(BJ10,0,COLUMN($B10)-COLUMN(BJ10)),$A:$A,0),$C10+COLUMN($E10)+1),TRUE),INDIRECT(ADDRESS(ROW(BJ10),$C10+COLUMN($E10)),TRUE),INDIRECT(ADDRESS(MATCH("START"&amp;OFFSET(BJ10,0,COLUMN($B10)-COLUMN(BJ10)),$A:$A,0),COLUMN(BJ10))&amp;":"&amp;ADDRESS(MATCH("END"&amp;OFFSET(BJ10,0,COLUMN($B10)-COLUMN(BJ10)),$A:$A,0),COLUMN(BJ10)),TRUE)))))</f>
        <v>0</v>
      </c>
      <c r="BK10" s="354"/>
      <c r="BL10" s="355">
        <f ca="1">IF(OFFSET(BL10,ROW(BL$2)-ROW(BL10),0)="TT","TT",IF(OFFSET(BL10,0,COLUMN($M10)-COLUMN(BL10))="%",ROUND((OFFSET(BL10,-2,0)-OFFSET(BL10,-21,0))*0.07,2),IF(OFFSET(BL10,0,COLUMN($M10)-COLUMN(BL10))="V",ROUND(OFFSET(BL10,0,-2)*OFFSET(BL10,0,-1),2),SUMIF(INDIRECT(ADDRESS(MATCH("START"&amp;OFFSET(BL10,0,COLUMN($B10)-COLUMN(BL10)),$A:$A,0),$C10+COLUMN($E10)+1)&amp;":"&amp;ADDRESS(MATCH("END"&amp;OFFSET(BL10,0,COLUMN($B10)-COLUMN(BL10)),$A:$A,0),$C10+COLUMN($E10)+1),TRUE),INDIRECT(ADDRESS(ROW(BL10),$C10+COLUMN($E10)),TRUE),INDIRECT(ADDRESS(MATCH("START"&amp;OFFSET(BL10,0,COLUMN($B10)-COLUMN(BL10)),$A:$A,0),COLUMN(BL10))&amp;":"&amp;ADDRESS(MATCH("END"&amp;OFFSET(BL10,0,COLUMN($B10)-COLUMN(BL10)),$A:$A,0),COLUMN(BL10)),TRUE)))))</f>
        <v>0</v>
      </c>
      <c r="BM10" s="356">
        <f t="shared" ref="BM10:BN37" ca="1" si="13">IF(OFFSET(BM10,ROW(BM$2)-ROW(BM10),0)="TT",SUMIF(INDIRECT(ADDRESS(2,COLUMN($Q10)+1) &amp; ":" &amp; ADDRESS(2,COLUMN(BM10)-1),TRUE),"TBE",INDIRECT(ADDRESS(ROW(BM10), COLUMN($Q10)+1) &amp; ":" &amp; ADDRESS(ROW(BM10),COLUMN(BM10)-1),TRUE)),IF(OFFSET(BM10,ROW(BM$2)-ROW(BM10),0)="TBE",SUMIF(INDIRECT(ADDRESS(2,MATCH(INT(OFFSET(BM10,ROW(BM$2)-ROW(BM10),-2)),$2:$2,0)) &amp; ":" &amp; ADDRESS(2,COLUMN(BM10)-1),TRUE),"T",INDIRECT(ADDRESS(ROW(BM10), MATCH(INT(OFFSET(BM10,ROW(BM$2)-ROW(BM10),-2)),$2:$2,0)) &amp; ":" &amp; ADDRESS(ROW(BM10),COLUMN(BM10)-1),TRUE)),IF(OFFSET(BM10,0,COLUMN($M10)-COLUMN(BM10))="V",OFFSET(BM10,0,-2)*OFFSET(BM10,0,-1),"TOTAL")))</f>
        <v>0</v>
      </c>
      <c r="BN10" s="356">
        <f t="shared" ca="1" si="13"/>
        <v>0</v>
      </c>
    </row>
    <row r="11" spans="1:68">
      <c r="A11" s="221" t="str">
        <f t="shared" ca="1" si="0"/>
        <v>WP001</v>
      </c>
      <c r="B11" s="221" t="str">
        <f t="shared" ca="1" si="1"/>
        <v>WP001</v>
      </c>
      <c r="C11" s="221">
        <v>6</v>
      </c>
      <c r="D11" s="221" t="s">
        <v>76</v>
      </c>
      <c r="J11" s="222" t="s">
        <v>75</v>
      </c>
      <c r="K11" s="221" t="s">
        <v>77</v>
      </c>
      <c r="M11" s="221" t="s">
        <v>46</v>
      </c>
      <c r="N11" s="461"/>
      <c r="O11" s="245"/>
      <c r="P11" s="464" t="s">
        <v>78</v>
      </c>
      <c r="Q11" s="465"/>
      <c r="R11" s="357">
        <f ca="1">IF(OFFSET(R11,ROW(R$2)-ROW(R11),0)="TT","TT",IF(OFFSET(R11,0,COLUMN($M11)-COLUMN(R11))="%",ROUND(OFFSET(R11,-2,0)*0.07,0),IF(OFFSET(R11,0,COLUMN($M11)-COLUMN(R11))="V","x",SUMIF(INDIRECT(ADDRESS(MATCH("START"&amp;OFFSET(R11,0,COLUMN($B11)-COLUMN(R11)),$A:$A,0),$C11+COLUMN($E11)+1)&amp;":"&amp;ADDRESS(MATCH("END"&amp;OFFSET(R11,0,COLUMN($B11)-COLUMN(R11)),$A:$A,0),$C11+COLUMN($E11)+1),TRUE),INDIRECT(ADDRESS(ROW(R11),$C11+COLUMN($E11)),TRUE),INDIRECT(ADDRESS(MATCH("START"&amp;OFFSET(R11,0,COLUMN($B11)-COLUMN(R11)),$A:$A,0),COLUMN(R11))&amp;":"&amp;ADDRESS(MATCH("END"&amp;OFFSET(R11,0,COLUMN($B11)-COLUMN(R11)),$A:$A,0),COLUMN(R11)),TRUE)))))</f>
        <v>0</v>
      </c>
      <c r="S11" s="358"/>
      <c r="T11" s="359">
        <f t="shared" ref="T11:T41" ca="1" si="14">IF(OFFSET(T11,ROW(T$2)-ROW(T11),0)="TT","TT",IF(OFFSET(T11,0,COLUMN($M11)-COLUMN(T11))="%",ROUND((OFFSET(T11,-2,0)-OFFSET(T11,-21,0))*0.07,2),IF(OFFSET(T11,0,COLUMN($M11)-COLUMN(T11))="V",ROUND(OFFSET(T11,0,-2)*OFFSET(T11,0,-1),2),SUMIF(INDIRECT(ADDRESS(MATCH("START"&amp;OFFSET(T11,0,COLUMN($B11)-COLUMN(T11)),$A:$A,0),$C11+COLUMN($E11)+1)&amp;":"&amp;ADDRESS(MATCH("END"&amp;OFFSET(T11,0,COLUMN($B11)-COLUMN(T11)),$A:$A,0),$C11+COLUMN($E11)+1),TRUE),INDIRECT(ADDRESS(ROW(T11),$C11+COLUMN($E11)),TRUE),INDIRECT(ADDRESS(MATCH("START"&amp;OFFSET(T11,0,COLUMN($B11)-COLUMN(T11)),$A:$A,0),COLUMN(T11))&amp;":"&amp;ADDRESS(MATCH("END"&amp;OFFSET(T11,0,COLUMN($B11)-COLUMN(T11)),$A:$A,0),COLUMN(T11)),TRUE)))))</f>
        <v>0</v>
      </c>
      <c r="U11" s="360">
        <f t="shared" ca="1" si="2"/>
        <v>0</v>
      </c>
      <c r="V11" s="357">
        <f ca="1">IF(OFFSET(V11,ROW(V$2)-ROW(V11),0)="TT","TT",IF(OFFSET(V11,0,COLUMN($M11)-COLUMN(V11))="%",ROUND(OFFSET(V11,-2,0)*0.07,0),IF(OFFSET(V11,0,COLUMN($M11)-COLUMN(V11))="V","x",SUMIF(INDIRECT(ADDRESS(MATCH("START"&amp;OFFSET(V11,0,COLUMN($B11)-COLUMN(V11)),$A:$A,0),$C11+COLUMN($E11)+1)&amp;":"&amp;ADDRESS(MATCH("END"&amp;OFFSET(V11,0,COLUMN($B11)-COLUMN(V11)),$A:$A,0),$C11+COLUMN($E11)+1),TRUE),INDIRECT(ADDRESS(ROW(V11),$C11+COLUMN($E11)),TRUE),INDIRECT(ADDRESS(MATCH("START"&amp;OFFSET(V11,0,COLUMN($B11)-COLUMN(V11)),$A:$A,0),COLUMN(V11))&amp;":"&amp;ADDRESS(MATCH("END"&amp;OFFSET(V11,0,COLUMN($B11)-COLUMN(V11)),$A:$A,0),COLUMN(V11)),TRUE)))))</f>
        <v>0</v>
      </c>
      <c r="W11" s="358"/>
      <c r="X11" s="359">
        <f t="shared" ref="X11:X41" ca="1" si="15">IF(OFFSET(X11,ROW(X$2)-ROW(X11),0)="TT","TT",IF(OFFSET(X11,0,COLUMN($M11)-COLUMN(X11))="%",ROUND((OFFSET(X11,-2,0)-OFFSET(X11,-21,0))*0.07,2),IF(OFFSET(X11,0,COLUMN($M11)-COLUMN(X11))="V",ROUND(OFFSET(X11,0,-2)*OFFSET(X11,0,-1),2),SUMIF(INDIRECT(ADDRESS(MATCH("START"&amp;OFFSET(X11,0,COLUMN($B11)-COLUMN(X11)),$A:$A,0),$C11+COLUMN($E11)+1)&amp;":"&amp;ADDRESS(MATCH("END"&amp;OFFSET(X11,0,COLUMN($B11)-COLUMN(X11)),$A:$A,0),$C11+COLUMN($E11)+1),TRUE),INDIRECT(ADDRESS(ROW(X11),$C11+COLUMN($E11)),TRUE),INDIRECT(ADDRESS(MATCH("START"&amp;OFFSET(X11,0,COLUMN($B11)-COLUMN(X11)),$A:$A,0),COLUMN(X11))&amp;":"&amp;ADDRESS(MATCH("END"&amp;OFFSET(X11,0,COLUMN($B11)-COLUMN(X11)),$A:$A,0),COLUMN(X11)),TRUE)))))</f>
        <v>0</v>
      </c>
      <c r="Y11" s="360">
        <f t="shared" ca="1" si="3"/>
        <v>0</v>
      </c>
      <c r="Z11" s="357">
        <f ca="1">IF(OFFSET(Z11,ROW(Z$2)-ROW(Z11),0)="TT","TT",IF(OFFSET(Z11,0,COLUMN($M11)-COLUMN(Z11))="%",ROUND(OFFSET(Z11,-2,0)*0.07,0),IF(OFFSET(Z11,0,COLUMN($M11)-COLUMN(Z11))="V","x",SUMIF(INDIRECT(ADDRESS(MATCH("START"&amp;OFFSET(Z11,0,COLUMN($B11)-COLUMN(Z11)),$A:$A,0),$C11+COLUMN($E11)+1)&amp;":"&amp;ADDRESS(MATCH("END"&amp;OFFSET(Z11,0,COLUMN($B11)-COLUMN(Z11)),$A:$A,0),$C11+COLUMN($E11)+1),TRUE),INDIRECT(ADDRESS(ROW(Z11),$C11+COLUMN($E11)),TRUE),INDIRECT(ADDRESS(MATCH("START"&amp;OFFSET(Z11,0,COLUMN($B11)-COLUMN(Z11)),$A:$A,0),COLUMN(Z11))&amp;":"&amp;ADDRESS(MATCH("END"&amp;OFFSET(Z11,0,COLUMN($B11)-COLUMN(Z11)),$A:$A,0),COLUMN(Z11)),TRUE)))))</f>
        <v>0</v>
      </c>
      <c r="AA11" s="358"/>
      <c r="AB11" s="359">
        <f t="shared" ref="AB11:AB41" ca="1" si="16">IF(OFFSET(AB11,ROW(AB$2)-ROW(AB11),0)="TT","TT",IF(OFFSET(AB11,0,COLUMN($M11)-COLUMN(AB11))="%",ROUND((OFFSET(AB11,-2,0)-OFFSET(AB11,-21,0))*0.07,2),IF(OFFSET(AB11,0,COLUMN($M11)-COLUMN(AB11))="V",ROUND(OFFSET(AB11,0,-2)*OFFSET(AB11,0,-1),2),SUMIF(INDIRECT(ADDRESS(MATCH("START"&amp;OFFSET(AB11,0,COLUMN($B11)-COLUMN(AB11)),$A:$A,0),$C11+COLUMN($E11)+1)&amp;":"&amp;ADDRESS(MATCH("END"&amp;OFFSET(AB11,0,COLUMN($B11)-COLUMN(AB11)),$A:$A,0),$C11+COLUMN($E11)+1),TRUE),INDIRECT(ADDRESS(ROW(AB11),$C11+COLUMN($E11)),TRUE),INDIRECT(ADDRESS(MATCH("START"&amp;OFFSET(AB11,0,COLUMN($B11)-COLUMN(AB11)),$A:$A,0),COLUMN(AB11))&amp;":"&amp;ADDRESS(MATCH("END"&amp;OFFSET(AB11,0,COLUMN($B11)-COLUMN(AB11)),$A:$A,0),COLUMN(AB11)),TRUE)))))</f>
        <v>0</v>
      </c>
      <c r="AC11" s="360">
        <f t="shared" ca="1" si="4"/>
        <v>0</v>
      </c>
      <c r="AD11" s="357">
        <f ca="1">IF(OFFSET(AD11,ROW(AD$2)-ROW(AD11),0)="TT","TT",IF(OFFSET(AD11,0,COLUMN($M11)-COLUMN(AD11))="%",ROUND(OFFSET(AD11,-2,0)*0.07,0),IF(OFFSET(AD11,0,COLUMN($M11)-COLUMN(AD11))="V","x",SUMIF(INDIRECT(ADDRESS(MATCH("START"&amp;OFFSET(AD11,0,COLUMN($B11)-COLUMN(AD11)),$A:$A,0),$C11+COLUMN($E11)+1)&amp;":"&amp;ADDRESS(MATCH("END"&amp;OFFSET(AD11,0,COLUMN($B11)-COLUMN(AD11)),$A:$A,0),$C11+COLUMN($E11)+1),TRUE),INDIRECT(ADDRESS(ROW(AD11),$C11+COLUMN($E11)),TRUE),INDIRECT(ADDRESS(MATCH("START"&amp;OFFSET(AD11,0,COLUMN($B11)-COLUMN(AD11)),$A:$A,0),COLUMN(AD11))&amp;":"&amp;ADDRESS(MATCH("END"&amp;OFFSET(AD11,0,COLUMN($B11)-COLUMN(AD11)),$A:$A,0),COLUMN(AD11)),TRUE)))))</f>
        <v>0</v>
      </c>
      <c r="AE11" s="358"/>
      <c r="AF11" s="359">
        <f t="shared" ref="AF11:AF41" ca="1" si="17">IF(OFFSET(AF11,ROW(AF$2)-ROW(AF11),0)="TT","TT",IF(OFFSET(AF11,0,COLUMN($M11)-COLUMN(AF11))="%",ROUND((OFFSET(AF11,-2,0)-OFFSET(AF11,-21,0))*0.07,2),IF(OFFSET(AF11,0,COLUMN($M11)-COLUMN(AF11))="V",ROUND(OFFSET(AF11,0,-2)*OFFSET(AF11,0,-1),2),SUMIF(INDIRECT(ADDRESS(MATCH("START"&amp;OFFSET(AF11,0,COLUMN($B11)-COLUMN(AF11)),$A:$A,0),$C11+COLUMN($E11)+1)&amp;":"&amp;ADDRESS(MATCH("END"&amp;OFFSET(AF11,0,COLUMN($B11)-COLUMN(AF11)),$A:$A,0),$C11+COLUMN($E11)+1),TRUE),INDIRECT(ADDRESS(ROW(AF11),$C11+COLUMN($E11)),TRUE),INDIRECT(ADDRESS(MATCH("START"&amp;OFFSET(AF11,0,COLUMN($B11)-COLUMN(AF11)),$A:$A,0),COLUMN(AF11))&amp;":"&amp;ADDRESS(MATCH("END"&amp;OFFSET(AF11,0,COLUMN($B11)-COLUMN(AF11)),$A:$A,0),COLUMN(AF11)),TRUE)))))</f>
        <v>0</v>
      </c>
      <c r="AG11" s="360">
        <f t="shared" ca="1" si="5"/>
        <v>0</v>
      </c>
      <c r="AH11" s="357">
        <f ca="1">IF(OFFSET(AH11,ROW(AH$2)-ROW(AH11),0)="TT","TT",IF(OFFSET(AH11,0,COLUMN($M11)-COLUMN(AH11))="%",ROUND(OFFSET(AH11,-2,0)*0.07,0),IF(OFFSET(AH11,0,COLUMN($M11)-COLUMN(AH11))="V","x",SUMIF(INDIRECT(ADDRESS(MATCH("START"&amp;OFFSET(AH11,0,COLUMN($B11)-COLUMN(AH11)),$A:$A,0),$C11+COLUMN($E11)+1)&amp;":"&amp;ADDRESS(MATCH("END"&amp;OFFSET(AH11,0,COLUMN($B11)-COLUMN(AH11)),$A:$A,0),$C11+COLUMN($E11)+1),TRUE),INDIRECT(ADDRESS(ROW(AH11),$C11+COLUMN($E11)),TRUE),INDIRECT(ADDRESS(MATCH("START"&amp;OFFSET(AH11,0,COLUMN($B11)-COLUMN(AH11)),$A:$A,0),COLUMN(AH11))&amp;":"&amp;ADDRESS(MATCH("END"&amp;OFFSET(AH11,0,COLUMN($B11)-COLUMN(AH11)),$A:$A,0),COLUMN(AH11)),TRUE)))))</f>
        <v>0</v>
      </c>
      <c r="AI11" s="358"/>
      <c r="AJ11" s="359">
        <f t="shared" ref="AJ11:AJ41" ca="1" si="18">IF(OFFSET(AJ11,ROW(AJ$2)-ROW(AJ11),0)="TT","TT",IF(OFFSET(AJ11,0,COLUMN($M11)-COLUMN(AJ11))="%",ROUND((OFFSET(AJ11,-2,0)-OFFSET(AJ11,-21,0))*0.07,2),IF(OFFSET(AJ11,0,COLUMN($M11)-COLUMN(AJ11))="V",ROUND(OFFSET(AJ11,0,-2)*OFFSET(AJ11,0,-1),2),SUMIF(INDIRECT(ADDRESS(MATCH("START"&amp;OFFSET(AJ11,0,COLUMN($B11)-COLUMN(AJ11)),$A:$A,0),$C11+COLUMN($E11)+1)&amp;":"&amp;ADDRESS(MATCH("END"&amp;OFFSET(AJ11,0,COLUMN($B11)-COLUMN(AJ11)),$A:$A,0),$C11+COLUMN($E11)+1),TRUE),INDIRECT(ADDRESS(ROW(AJ11),$C11+COLUMN($E11)),TRUE),INDIRECT(ADDRESS(MATCH("START"&amp;OFFSET(AJ11,0,COLUMN($B11)-COLUMN(AJ11)),$A:$A,0),COLUMN(AJ11))&amp;":"&amp;ADDRESS(MATCH("END"&amp;OFFSET(AJ11,0,COLUMN($B11)-COLUMN(AJ11)),$A:$A,0),COLUMN(AJ11)),TRUE)))))</f>
        <v>0</v>
      </c>
      <c r="AK11" s="360">
        <f t="shared" ca="1" si="6"/>
        <v>0</v>
      </c>
      <c r="AL11" s="357">
        <f ca="1">IF(OFFSET(AL11,ROW(AL$2)-ROW(AL11),0)="TT","TT",IF(OFFSET(AL11,0,COLUMN($M11)-COLUMN(AL11))="%",ROUND(OFFSET(AL11,-2,0)*0.07,0),IF(OFFSET(AL11,0,COLUMN($M11)-COLUMN(AL11))="V","x",SUMIF(INDIRECT(ADDRESS(MATCH("START"&amp;OFFSET(AL11,0,COLUMN($B11)-COLUMN(AL11)),$A:$A,0),$C11+COLUMN($E11)+1)&amp;":"&amp;ADDRESS(MATCH("END"&amp;OFFSET(AL11,0,COLUMN($B11)-COLUMN(AL11)),$A:$A,0),$C11+COLUMN($E11)+1),TRUE),INDIRECT(ADDRESS(ROW(AL11),$C11+COLUMN($E11)),TRUE),INDIRECT(ADDRESS(MATCH("START"&amp;OFFSET(AL11,0,COLUMN($B11)-COLUMN(AL11)),$A:$A,0),COLUMN(AL11))&amp;":"&amp;ADDRESS(MATCH("END"&amp;OFFSET(AL11,0,COLUMN($B11)-COLUMN(AL11)),$A:$A,0),COLUMN(AL11)),TRUE)))))</f>
        <v>0</v>
      </c>
      <c r="AM11" s="358"/>
      <c r="AN11" s="359">
        <f t="shared" ref="AN11:AN41" ca="1" si="19">IF(OFFSET(AN11,ROW(AN$2)-ROW(AN11),0)="TT","TT",IF(OFFSET(AN11,0,COLUMN($M11)-COLUMN(AN11))="%",ROUND((OFFSET(AN11,-2,0)-OFFSET(AN11,-21,0))*0.07,2),IF(OFFSET(AN11,0,COLUMN($M11)-COLUMN(AN11))="V",ROUND(OFFSET(AN11,0,-2)*OFFSET(AN11,0,-1),2),SUMIF(INDIRECT(ADDRESS(MATCH("START"&amp;OFFSET(AN11,0,COLUMN($B11)-COLUMN(AN11)),$A:$A,0),$C11+COLUMN($E11)+1)&amp;":"&amp;ADDRESS(MATCH("END"&amp;OFFSET(AN11,0,COLUMN($B11)-COLUMN(AN11)),$A:$A,0),$C11+COLUMN($E11)+1),TRUE),INDIRECT(ADDRESS(ROW(AN11),$C11+COLUMN($E11)),TRUE),INDIRECT(ADDRESS(MATCH("START"&amp;OFFSET(AN11,0,COLUMN($B11)-COLUMN(AN11)),$A:$A,0),COLUMN(AN11))&amp;":"&amp;ADDRESS(MATCH("END"&amp;OFFSET(AN11,0,COLUMN($B11)-COLUMN(AN11)),$A:$A,0),COLUMN(AN11)),TRUE)))))</f>
        <v>0</v>
      </c>
      <c r="AO11" s="360">
        <f t="shared" ca="1" si="7"/>
        <v>0</v>
      </c>
      <c r="AP11" s="357">
        <f ca="1">IF(OFFSET(AP11,ROW(AP$2)-ROW(AP11),0)="TT","TT",IF(OFFSET(AP11,0,COLUMN($M11)-COLUMN(AP11))="%",ROUND(OFFSET(AP11,-2,0)*0.07,0),IF(OFFSET(AP11,0,COLUMN($M11)-COLUMN(AP11))="V","x",SUMIF(INDIRECT(ADDRESS(MATCH("START"&amp;OFFSET(AP11,0,COLUMN($B11)-COLUMN(AP11)),$A:$A,0),$C11+COLUMN($E11)+1)&amp;":"&amp;ADDRESS(MATCH("END"&amp;OFFSET(AP11,0,COLUMN($B11)-COLUMN(AP11)),$A:$A,0),$C11+COLUMN($E11)+1),TRUE),INDIRECT(ADDRESS(ROW(AP11),$C11+COLUMN($E11)),TRUE),INDIRECT(ADDRESS(MATCH("START"&amp;OFFSET(AP11,0,COLUMN($B11)-COLUMN(AP11)),$A:$A,0),COLUMN(AP11))&amp;":"&amp;ADDRESS(MATCH("END"&amp;OFFSET(AP11,0,COLUMN($B11)-COLUMN(AP11)),$A:$A,0),COLUMN(AP11)),TRUE)))))</f>
        <v>0</v>
      </c>
      <c r="AQ11" s="358"/>
      <c r="AR11" s="359">
        <f t="shared" ref="AR11:AR41" ca="1" si="20">IF(OFFSET(AR11,ROW(AR$2)-ROW(AR11),0)="TT","TT",IF(OFFSET(AR11,0,COLUMN($M11)-COLUMN(AR11))="%",ROUND((OFFSET(AR11,-2,0)-OFFSET(AR11,-21,0))*0.07,2),IF(OFFSET(AR11,0,COLUMN($M11)-COLUMN(AR11))="V",ROUND(OFFSET(AR11,0,-2)*OFFSET(AR11,0,-1),2),SUMIF(INDIRECT(ADDRESS(MATCH("START"&amp;OFFSET(AR11,0,COLUMN($B11)-COLUMN(AR11)),$A:$A,0),$C11+COLUMN($E11)+1)&amp;":"&amp;ADDRESS(MATCH("END"&amp;OFFSET(AR11,0,COLUMN($B11)-COLUMN(AR11)),$A:$A,0),$C11+COLUMN($E11)+1),TRUE),INDIRECT(ADDRESS(ROW(AR11),$C11+COLUMN($E11)),TRUE),INDIRECT(ADDRESS(MATCH("START"&amp;OFFSET(AR11,0,COLUMN($B11)-COLUMN(AR11)),$A:$A,0),COLUMN(AR11))&amp;":"&amp;ADDRESS(MATCH("END"&amp;OFFSET(AR11,0,COLUMN($B11)-COLUMN(AR11)),$A:$A,0),COLUMN(AR11)),TRUE)))))</f>
        <v>0</v>
      </c>
      <c r="AS11" s="360">
        <f t="shared" ca="1" si="8"/>
        <v>0</v>
      </c>
      <c r="AT11" s="357">
        <f ca="1">IF(OFFSET(AT11,ROW(AT$2)-ROW(AT11),0)="TT","TT",IF(OFFSET(AT11,0,COLUMN($M11)-COLUMN(AT11))="%",ROUND(OFFSET(AT11,-2,0)*0.07,0),IF(OFFSET(AT11,0,COLUMN($M11)-COLUMN(AT11))="V","x",SUMIF(INDIRECT(ADDRESS(MATCH("START"&amp;OFFSET(AT11,0,COLUMN($B11)-COLUMN(AT11)),$A:$A,0),$C11+COLUMN($E11)+1)&amp;":"&amp;ADDRESS(MATCH("END"&amp;OFFSET(AT11,0,COLUMN($B11)-COLUMN(AT11)),$A:$A,0),$C11+COLUMN($E11)+1),TRUE),INDIRECT(ADDRESS(ROW(AT11),$C11+COLUMN($E11)),TRUE),INDIRECT(ADDRESS(MATCH("START"&amp;OFFSET(AT11,0,COLUMN($B11)-COLUMN(AT11)),$A:$A,0),COLUMN(AT11))&amp;":"&amp;ADDRESS(MATCH("END"&amp;OFFSET(AT11,0,COLUMN($B11)-COLUMN(AT11)),$A:$A,0),COLUMN(AT11)),TRUE)))))</f>
        <v>0</v>
      </c>
      <c r="AU11" s="358"/>
      <c r="AV11" s="359">
        <f t="shared" ref="AV11:AV41" ca="1" si="21">IF(OFFSET(AV11,ROW(AV$2)-ROW(AV11),0)="TT","TT",IF(OFFSET(AV11,0,COLUMN($M11)-COLUMN(AV11))="%",ROUND((OFFSET(AV11,-2,0)-OFFSET(AV11,-21,0))*0.07,2),IF(OFFSET(AV11,0,COLUMN($M11)-COLUMN(AV11))="V",ROUND(OFFSET(AV11,0,-2)*OFFSET(AV11,0,-1),2),SUMIF(INDIRECT(ADDRESS(MATCH("START"&amp;OFFSET(AV11,0,COLUMN($B11)-COLUMN(AV11)),$A:$A,0),$C11+COLUMN($E11)+1)&amp;":"&amp;ADDRESS(MATCH("END"&amp;OFFSET(AV11,0,COLUMN($B11)-COLUMN(AV11)),$A:$A,0),$C11+COLUMN($E11)+1),TRUE),INDIRECT(ADDRESS(ROW(AV11),$C11+COLUMN($E11)),TRUE),INDIRECT(ADDRESS(MATCH("START"&amp;OFFSET(AV11,0,COLUMN($B11)-COLUMN(AV11)),$A:$A,0),COLUMN(AV11))&amp;":"&amp;ADDRESS(MATCH("END"&amp;OFFSET(AV11,0,COLUMN($B11)-COLUMN(AV11)),$A:$A,0),COLUMN(AV11)),TRUE)))))</f>
        <v>0</v>
      </c>
      <c r="AW11" s="360">
        <f t="shared" ca="1" si="9"/>
        <v>0</v>
      </c>
      <c r="AX11" s="357">
        <f ca="1">IF(OFFSET(AX11,ROW(AX$2)-ROW(AX11),0)="TT","TT",IF(OFFSET(AX11,0,COLUMN($M11)-COLUMN(AX11))="%",ROUND(OFFSET(AX11,-2,0)*0.07,0),IF(OFFSET(AX11,0,COLUMN($M11)-COLUMN(AX11))="V","x",SUMIF(INDIRECT(ADDRESS(MATCH("START"&amp;OFFSET(AX11,0,COLUMN($B11)-COLUMN(AX11)),$A:$A,0),$C11+COLUMN($E11)+1)&amp;":"&amp;ADDRESS(MATCH("END"&amp;OFFSET(AX11,0,COLUMN($B11)-COLUMN(AX11)),$A:$A,0),$C11+COLUMN($E11)+1),TRUE),INDIRECT(ADDRESS(ROW(AX11),$C11+COLUMN($E11)),TRUE),INDIRECT(ADDRESS(MATCH("START"&amp;OFFSET(AX11,0,COLUMN($B11)-COLUMN(AX11)),$A:$A,0),COLUMN(AX11))&amp;":"&amp;ADDRESS(MATCH("END"&amp;OFFSET(AX11,0,COLUMN($B11)-COLUMN(AX11)),$A:$A,0),COLUMN(AX11)),TRUE)))))</f>
        <v>0</v>
      </c>
      <c r="AY11" s="358"/>
      <c r="AZ11" s="359">
        <f t="shared" ref="AZ11:AZ41" ca="1" si="22">IF(OFFSET(AZ11,ROW(AZ$2)-ROW(AZ11),0)="TT","TT",IF(OFFSET(AZ11,0,COLUMN($M11)-COLUMN(AZ11))="%",ROUND((OFFSET(AZ11,-2,0)-OFFSET(AZ11,-21,0))*0.07,2),IF(OFFSET(AZ11,0,COLUMN($M11)-COLUMN(AZ11))="V",ROUND(OFFSET(AZ11,0,-2)*OFFSET(AZ11,0,-1),2),SUMIF(INDIRECT(ADDRESS(MATCH("START"&amp;OFFSET(AZ11,0,COLUMN($B11)-COLUMN(AZ11)),$A:$A,0),$C11+COLUMN($E11)+1)&amp;":"&amp;ADDRESS(MATCH("END"&amp;OFFSET(AZ11,0,COLUMN($B11)-COLUMN(AZ11)),$A:$A,0),$C11+COLUMN($E11)+1),TRUE),INDIRECT(ADDRESS(ROW(AZ11),$C11+COLUMN($E11)),TRUE),INDIRECT(ADDRESS(MATCH("START"&amp;OFFSET(AZ11,0,COLUMN($B11)-COLUMN(AZ11)),$A:$A,0),COLUMN(AZ11))&amp;":"&amp;ADDRESS(MATCH("END"&amp;OFFSET(AZ11,0,COLUMN($B11)-COLUMN(AZ11)),$A:$A,0),COLUMN(AZ11)),TRUE)))))</f>
        <v>0</v>
      </c>
      <c r="BA11" s="360">
        <f t="shared" ca="1" si="10"/>
        <v>0</v>
      </c>
      <c r="BB11" s="357">
        <f ca="1">IF(OFFSET(BB11,ROW(BB$2)-ROW(BB11),0)="TT","TT",IF(OFFSET(BB11,0,COLUMN($M11)-COLUMN(BB11))="%",ROUND(OFFSET(BB11,-2,0)*0.07,0),IF(OFFSET(BB11,0,COLUMN($M11)-COLUMN(BB11))="V","x",SUMIF(INDIRECT(ADDRESS(MATCH("START"&amp;OFFSET(BB11,0,COLUMN($B11)-COLUMN(BB11)),$A:$A,0),$C11+COLUMN($E11)+1)&amp;":"&amp;ADDRESS(MATCH("END"&amp;OFFSET(BB11,0,COLUMN($B11)-COLUMN(BB11)),$A:$A,0),$C11+COLUMN($E11)+1),TRUE),INDIRECT(ADDRESS(ROW(BB11),$C11+COLUMN($E11)),TRUE),INDIRECT(ADDRESS(MATCH("START"&amp;OFFSET(BB11,0,COLUMN($B11)-COLUMN(BB11)),$A:$A,0),COLUMN(BB11))&amp;":"&amp;ADDRESS(MATCH("END"&amp;OFFSET(BB11,0,COLUMN($B11)-COLUMN(BB11)),$A:$A,0),COLUMN(BB11)),TRUE)))))</f>
        <v>0</v>
      </c>
      <c r="BC11" s="358"/>
      <c r="BD11" s="359">
        <f t="shared" ref="BD11:BD41" ca="1" si="23">IF(OFFSET(BD11,ROW(BD$2)-ROW(BD11),0)="TT","TT",IF(OFFSET(BD11,0,COLUMN($M11)-COLUMN(BD11))="%",ROUND((OFFSET(BD11,-2,0)-OFFSET(BD11,-21,0))*0.07,2),IF(OFFSET(BD11,0,COLUMN($M11)-COLUMN(BD11))="V",ROUND(OFFSET(BD11,0,-2)*OFFSET(BD11,0,-1),2),SUMIF(INDIRECT(ADDRESS(MATCH("START"&amp;OFFSET(BD11,0,COLUMN($B11)-COLUMN(BD11)),$A:$A,0),$C11+COLUMN($E11)+1)&amp;":"&amp;ADDRESS(MATCH("END"&amp;OFFSET(BD11,0,COLUMN($B11)-COLUMN(BD11)),$A:$A,0),$C11+COLUMN($E11)+1),TRUE),INDIRECT(ADDRESS(ROW(BD11),$C11+COLUMN($E11)),TRUE),INDIRECT(ADDRESS(MATCH("START"&amp;OFFSET(BD11,0,COLUMN($B11)-COLUMN(BD11)),$A:$A,0),COLUMN(BD11))&amp;":"&amp;ADDRESS(MATCH("END"&amp;OFFSET(BD11,0,COLUMN($B11)-COLUMN(BD11)),$A:$A,0),COLUMN(BD11)),TRUE)))))</f>
        <v>0</v>
      </c>
      <c r="BE11" s="360">
        <f t="shared" ca="1" si="11"/>
        <v>0</v>
      </c>
      <c r="BF11" s="357">
        <f ca="1">IF(OFFSET(BF11,ROW(BF$2)-ROW(BF11),0)="TT","TT",IF(OFFSET(BF11,0,COLUMN($M11)-COLUMN(BF11))="%",ROUND(OFFSET(BF11,-2,0)*0.07,0),IF(OFFSET(BF11,0,COLUMN($M11)-COLUMN(BF11))="V","x",SUMIF(INDIRECT(ADDRESS(MATCH("START"&amp;OFFSET(BF11,0,COLUMN($B11)-COLUMN(BF11)),$A:$A,0),$C11+COLUMN($E11)+1)&amp;":"&amp;ADDRESS(MATCH("END"&amp;OFFSET(BF11,0,COLUMN($B11)-COLUMN(BF11)),$A:$A,0),$C11+COLUMN($E11)+1),TRUE),INDIRECT(ADDRESS(ROW(BF11),$C11+COLUMN($E11)),TRUE),INDIRECT(ADDRESS(MATCH("START"&amp;OFFSET(BF11,0,COLUMN($B11)-COLUMN(BF11)),$A:$A,0),COLUMN(BF11))&amp;":"&amp;ADDRESS(MATCH("END"&amp;OFFSET(BF11,0,COLUMN($B11)-COLUMN(BF11)),$A:$A,0),COLUMN(BF11)),TRUE)))))</f>
        <v>0</v>
      </c>
      <c r="BG11" s="358"/>
      <c r="BH11" s="359">
        <f t="shared" ref="BH11:BH41" ca="1" si="24">IF(OFFSET(BH11,ROW(BH$2)-ROW(BH11),0)="TT","TT",IF(OFFSET(BH11,0,COLUMN($M11)-COLUMN(BH11))="%",ROUND((OFFSET(BH11,-2,0)-OFFSET(BH11,-21,0))*0.07,2),IF(OFFSET(BH11,0,COLUMN($M11)-COLUMN(BH11))="V",ROUND(OFFSET(BH11,0,-2)*OFFSET(BH11,0,-1),2),SUMIF(INDIRECT(ADDRESS(MATCH("START"&amp;OFFSET(BH11,0,COLUMN($B11)-COLUMN(BH11)),$A:$A,0),$C11+COLUMN($E11)+1)&amp;":"&amp;ADDRESS(MATCH("END"&amp;OFFSET(BH11,0,COLUMN($B11)-COLUMN(BH11)),$A:$A,0),$C11+COLUMN($E11)+1),TRUE),INDIRECT(ADDRESS(ROW(BH11),$C11+COLUMN($E11)),TRUE),INDIRECT(ADDRESS(MATCH("START"&amp;OFFSET(BH11,0,COLUMN($B11)-COLUMN(BH11)),$A:$A,0),COLUMN(BH11))&amp;":"&amp;ADDRESS(MATCH("END"&amp;OFFSET(BH11,0,COLUMN($B11)-COLUMN(BH11)),$A:$A,0),COLUMN(BH11)),TRUE)))))</f>
        <v>0</v>
      </c>
      <c r="BI11" s="360">
        <f t="shared" ca="1" si="12"/>
        <v>0</v>
      </c>
      <c r="BJ11" s="357">
        <f ca="1">IF(OFFSET(BJ11,ROW(BJ$2)-ROW(BJ11),0)="TT","TT",IF(OFFSET(BJ11,0,COLUMN($M11)-COLUMN(BJ11))="%",ROUND(OFFSET(BJ11,-2,0)*0.07,0),IF(OFFSET(BJ11,0,COLUMN($M11)-COLUMN(BJ11))="V","x",SUMIF(INDIRECT(ADDRESS(MATCH("START"&amp;OFFSET(BJ11,0,COLUMN($B11)-COLUMN(BJ11)),$A:$A,0),$C11+COLUMN($E11)+1)&amp;":"&amp;ADDRESS(MATCH("END"&amp;OFFSET(BJ11,0,COLUMN($B11)-COLUMN(BJ11)),$A:$A,0),$C11+COLUMN($E11)+1),TRUE),INDIRECT(ADDRESS(ROW(BJ11),$C11+COLUMN($E11)),TRUE),INDIRECT(ADDRESS(MATCH("START"&amp;OFFSET(BJ11,0,COLUMN($B11)-COLUMN(BJ11)),$A:$A,0),COLUMN(BJ11))&amp;":"&amp;ADDRESS(MATCH("END"&amp;OFFSET(BJ11,0,COLUMN($B11)-COLUMN(BJ11)),$A:$A,0),COLUMN(BJ11)),TRUE)))))</f>
        <v>0</v>
      </c>
      <c r="BK11" s="358"/>
      <c r="BL11" s="359">
        <f t="shared" ref="BL11:BL41" ca="1" si="25">IF(OFFSET(BL11,ROW(BL$2)-ROW(BL11),0)="TT","TT",IF(OFFSET(BL11,0,COLUMN($M11)-COLUMN(BL11))="%",ROUND((OFFSET(BL11,-2,0)-OFFSET(BL11,-21,0))*0.07,2),IF(OFFSET(BL11,0,COLUMN($M11)-COLUMN(BL11))="V",ROUND(OFFSET(BL11,0,-2)*OFFSET(BL11,0,-1),2),SUMIF(INDIRECT(ADDRESS(MATCH("START"&amp;OFFSET(BL11,0,COLUMN($B11)-COLUMN(BL11)),$A:$A,0),$C11+COLUMN($E11)+1)&amp;":"&amp;ADDRESS(MATCH("END"&amp;OFFSET(BL11,0,COLUMN($B11)-COLUMN(BL11)),$A:$A,0),$C11+COLUMN($E11)+1),TRUE),INDIRECT(ADDRESS(ROW(BL11),$C11+COLUMN($E11)),TRUE),INDIRECT(ADDRESS(MATCH("START"&amp;OFFSET(BL11,0,COLUMN($B11)-COLUMN(BL11)),$A:$A,0),COLUMN(BL11))&amp;":"&amp;ADDRESS(MATCH("END"&amp;OFFSET(BL11,0,COLUMN($B11)-COLUMN(BL11)),$A:$A,0),COLUMN(BL11)),TRUE)))))</f>
        <v>0</v>
      </c>
      <c r="BM11" s="360">
        <f t="shared" ca="1" si="13"/>
        <v>0</v>
      </c>
      <c r="BN11" s="360">
        <f t="shared" ca="1" si="13"/>
        <v>0</v>
      </c>
      <c r="BP11" s="246"/>
    </row>
    <row r="12" spans="1:68">
      <c r="A12" s="221" t="str">
        <f t="shared" ca="1" si="0"/>
        <v>WP001</v>
      </c>
      <c r="B12" s="221" t="str">
        <f t="shared" ca="1" si="1"/>
        <v>WP001</v>
      </c>
      <c r="C12" s="221">
        <v>7</v>
      </c>
      <c r="D12" s="221" t="s">
        <v>79</v>
      </c>
      <c r="L12" s="221" t="s">
        <v>77</v>
      </c>
      <c r="M12" s="221" t="s">
        <v>80</v>
      </c>
      <c r="N12" s="461"/>
      <c r="O12" s="247"/>
      <c r="P12" s="248"/>
      <c r="Q12" s="249" t="str">
        <f>EMP_TYPE1</f>
        <v>Type 1</v>
      </c>
      <c r="R12" s="361">
        <f t="shared" ref="R12:S21" ca="1" si="26">INDIRECT("'"&amp; MID(OFFSET(R12,ROW(R$3)-ROW(R12),IF(OFFSET(R12,ROW(R$2)-ROW(R12),2)="T",0,IF(OFFSET(R12,ROW(R$2)-ROW(R12),1)="T",-1,-2))),1,6) &amp; "'!" &amp; ADDRESS(ROW(R12),MATCH(INDIRECT(ADDRESS(2,COLUMN(R12)+IF(OFFSET(R12,ROW(R$2)-ROW(R12),2)="T",1,IF(OFFSET(R12,ROW(R$2)-ROW(R12),1)="T",0,-1))),TRUE),INDIRECT("'"&amp; MID(OFFSET(R12,ROW(R$3)-ROW(R12),IF(OFFSET(R12,ROW(R$2)-ROW(R12),2)="T",0,IF(OFFSET(R12,ROW(R$2)-ROW(R12),1)="T",-1,-2))),1,6) &amp; "'!2:2",TRUE),0)-IF(OFFSET(R12,ROW(R$2)-ROW(R12),2)="T",1,IF(OFFSET(R12,ROW(R$2)-ROW(R12),1)="T",0,-1))),TRUE)</f>
        <v>0</v>
      </c>
      <c r="S12" s="362">
        <f t="shared" ca="1" si="26"/>
        <v>0</v>
      </c>
      <c r="T12" s="363">
        <f t="shared" ca="1" si="14"/>
        <v>0</v>
      </c>
      <c r="U12" s="360">
        <f t="shared" ca="1" si="2"/>
        <v>0</v>
      </c>
      <c r="V12" s="361">
        <f t="shared" ref="V12:W21" ca="1" si="27">INDIRECT("'"&amp; MID(OFFSET(V12,ROW(V$3)-ROW(V12),IF(OFFSET(V12,ROW(V$2)-ROW(V12),2)="T",0,IF(OFFSET(V12,ROW(V$2)-ROW(V12),1)="T",-1,-2))),1,6) &amp; "'!" &amp; ADDRESS(ROW(V12),MATCH(INDIRECT(ADDRESS(2,COLUMN(V12)+IF(OFFSET(V12,ROW(V$2)-ROW(V12),2)="T",1,IF(OFFSET(V12,ROW(V$2)-ROW(V12),1)="T",0,-1))),TRUE),INDIRECT("'"&amp; MID(OFFSET(V12,ROW(V$3)-ROW(V12),IF(OFFSET(V12,ROW(V$2)-ROW(V12),2)="T",0,IF(OFFSET(V12,ROW(V$2)-ROW(V12),1)="T",-1,-2))),1,6) &amp; "'!2:2",TRUE),0)-IF(OFFSET(V12,ROW(V$2)-ROW(V12),2)="T",1,IF(OFFSET(V12,ROW(V$2)-ROW(V12),1)="T",0,-1))),TRUE)</f>
        <v>0</v>
      </c>
      <c r="W12" s="362">
        <f t="shared" ca="1" si="27"/>
        <v>0</v>
      </c>
      <c r="X12" s="363">
        <f t="shared" ca="1" si="15"/>
        <v>0</v>
      </c>
      <c r="Y12" s="360">
        <f t="shared" ca="1" si="3"/>
        <v>0</v>
      </c>
      <c r="Z12" s="361">
        <f t="shared" ref="Z12:AA21" ca="1" si="28">INDIRECT("'"&amp; MID(OFFSET(Z12,ROW(Z$3)-ROW(Z12),IF(OFFSET(Z12,ROW(Z$2)-ROW(Z12),2)="T",0,IF(OFFSET(Z12,ROW(Z$2)-ROW(Z12),1)="T",-1,-2))),1,6) &amp; "'!" &amp; ADDRESS(ROW(Z12),MATCH(INDIRECT(ADDRESS(2,COLUMN(Z12)+IF(OFFSET(Z12,ROW(Z$2)-ROW(Z12),2)="T",1,IF(OFFSET(Z12,ROW(Z$2)-ROW(Z12),1)="T",0,-1))),TRUE),INDIRECT("'"&amp; MID(OFFSET(Z12,ROW(Z$3)-ROW(Z12),IF(OFFSET(Z12,ROW(Z$2)-ROW(Z12),2)="T",0,IF(OFFSET(Z12,ROW(Z$2)-ROW(Z12),1)="T",-1,-2))),1,6) &amp; "'!2:2",TRUE),0)-IF(OFFSET(Z12,ROW(Z$2)-ROW(Z12),2)="T",1,IF(OFFSET(Z12,ROW(Z$2)-ROW(Z12),1)="T",0,-1))),TRUE)</f>
        <v>0</v>
      </c>
      <c r="AA12" s="362">
        <f t="shared" ca="1" si="28"/>
        <v>0</v>
      </c>
      <c r="AB12" s="363">
        <f t="shared" ca="1" si="16"/>
        <v>0</v>
      </c>
      <c r="AC12" s="360">
        <f t="shared" ca="1" si="4"/>
        <v>0</v>
      </c>
      <c r="AD12" s="361">
        <f t="shared" ref="AD12:AE21" ca="1" si="29">INDIRECT("'"&amp; MID(OFFSET(AD12,ROW(AD$3)-ROW(AD12),IF(OFFSET(AD12,ROW(AD$2)-ROW(AD12),2)="T",0,IF(OFFSET(AD12,ROW(AD$2)-ROW(AD12),1)="T",-1,-2))),1,6) &amp; "'!" &amp; ADDRESS(ROW(AD12),MATCH(INDIRECT(ADDRESS(2,COLUMN(AD12)+IF(OFFSET(AD12,ROW(AD$2)-ROW(AD12),2)="T",1,IF(OFFSET(AD12,ROW(AD$2)-ROW(AD12),1)="T",0,-1))),TRUE),INDIRECT("'"&amp; MID(OFFSET(AD12,ROW(AD$3)-ROW(AD12),IF(OFFSET(AD12,ROW(AD$2)-ROW(AD12),2)="T",0,IF(OFFSET(AD12,ROW(AD$2)-ROW(AD12),1)="T",-1,-2))),1,6) &amp; "'!2:2",TRUE),0)-IF(OFFSET(AD12,ROW(AD$2)-ROW(AD12),2)="T",1,IF(OFFSET(AD12,ROW(AD$2)-ROW(AD12),1)="T",0,-1))),TRUE)</f>
        <v>0</v>
      </c>
      <c r="AE12" s="362">
        <f t="shared" ca="1" si="29"/>
        <v>0</v>
      </c>
      <c r="AF12" s="363">
        <f t="shared" ca="1" si="17"/>
        <v>0</v>
      </c>
      <c r="AG12" s="360">
        <f t="shared" ca="1" si="5"/>
        <v>0</v>
      </c>
      <c r="AH12" s="361">
        <f t="shared" ref="AH12:AI21" ca="1" si="30">INDIRECT("'"&amp; MID(OFFSET(AH12,ROW(AH$3)-ROW(AH12),IF(OFFSET(AH12,ROW(AH$2)-ROW(AH12),2)="T",0,IF(OFFSET(AH12,ROW(AH$2)-ROW(AH12),1)="T",-1,-2))),1,6) &amp; "'!" &amp; ADDRESS(ROW(AH12),MATCH(INDIRECT(ADDRESS(2,COLUMN(AH12)+IF(OFFSET(AH12,ROW(AH$2)-ROW(AH12),2)="T",1,IF(OFFSET(AH12,ROW(AH$2)-ROW(AH12),1)="T",0,-1))),TRUE),INDIRECT("'"&amp; MID(OFFSET(AH12,ROW(AH$3)-ROW(AH12),IF(OFFSET(AH12,ROW(AH$2)-ROW(AH12),2)="T",0,IF(OFFSET(AH12,ROW(AH$2)-ROW(AH12),1)="T",-1,-2))),1,6) &amp; "'!2:2",TRUE),0)-IF(OFFSET(AH12,ROW(AH$2)-ROW(AH12),2)="T",1,IF(OFFSET(AH12,ROW(AH$2)-ROW(AH12),1)="T",0,-1))),TRUE)</f>
        <v>0</v>
      </c>
      <c r="AI12" s="362">
        <f t="shared" ca="1" si="30"/>
        <v>0</v>
      </c>
      <c r="AJ12" s="363">
        <f t="shared" ca="1" si="18"/>
        <v>0</v>
      </c>
      <c r="AK12" s="360">
        <f t="shared" ca="1" si="6"/>
        <v>0</v>
      </c>
      <c r="AL12" s="361">
        <f t="shared" ref="AL12:AM21" ca="1" si="31">INDIRECT("'"&amp; MID(OFFSET(AL12,ROW(AL$3)-ROW(AL12),IF(OFFSET(AL12,ROW(AL$2)-ROW(AL12),2)="T",0,IF(OFFSET(AL12,ROW(AL$2)-ROW(AL12),1)="T",-1,-2))),1,6) &amp; "'!" &amp; ADDRESS(ROW(AL12),MATCH(INDIRECT(ADDRESS(2,COLUMN(AL12)+IF(OFFSET(AL12,ROW(AL$2)-ROW(AL12),2)="T",1,IF(OFFSET(AL12,ROW(AL$2)-ROW(AL12),1)="T",0,-1))),TRUE),INDIRECT("'"&amp; MID(OFFSET(AL12,ROW(AL$3)-ROW(AL12),IF(OFFSET(AL12,ROW(AL$2)-ROW(AL12),2)="T",0,IF(OFFSET(AL12,ROW(AL$2)-ROW(AL12),1)="T",-1,-2))),1,6) &amp; "'!2:2",TRUE),0)-IF(OFFSET(AL12,ROW(AL$2)-ROW(AL12),2)="T",1,IF(OFFSET(AL12,ROW(AL$2)-ROW(AL12),1)="T",0,-1))),TRUE)</f>
        <v>0</v>
      </c>
      <c r="AM12" s="362">
        <f t="shared" ca="1" si="31"/>
        <v>0</v>
      </c>
      <c r="AN12" s="363">
        <f t="shared" ca="1" si="19"/>
        <v>0</v>
      </c>
      <c r="AO12" s="360">
        <f t="shared" ca="1" si="7"/>
        <v>0</v>
      </c>
      <c r="AP12" s="361">
        <f t="shared" ref="AP12:AQ21" ca="1" si="32">INDIRECT("'"&amp; MID(OFFSET(AP12,ROW(AP$3)-ROW(AP12),IF(OFFSET(AP12,ROW(AP$2)-ROW(AP12),2)="T",0,IF(OFFSET(AP12,ROW(AP$2)-ROW(AP12),1)="T",-1,-2))),1,6) &amp; "'!" &amp; ADDRESS(ROW(AP12),MATCH(INDIRECT(ADDRESS(2,COLUMN(AP12)+IF(OFFSET(AP12,ROW(AP$2)-ROW(AP12),2)="T",1,IF(OFFSET(AP12,ROW(AP$2)-ROW(AP12),1)="T",0,-1))),TRUE),INDIRECT("'"&amp; MID(OFFSET(AP12,ROW(AP$3)-ROW(AP12),IF(OFFSET(AP12,ROW(AP$2)-ROW(AP12),2)="T",0,IF(OFFSET(AP12,ROW(AP$2)-ROW(AP12),1)="T",-1,-2))),1,6) &amp; "'!2:2",TRUE),0)-IF(OFFSET(AP12,ROW(AP$2)-ROW(AP12),2)="T",1,IF(OFFSET(AP12,ROW(AP$2)-ROW(AP12),1)="T",0,-1))),TRUE)</f>
        <v>0</v>
      </c>
      <c r="AQ12" s="362">
        <f t="shared" ca="1" si="32"/>
        <v>0</v>
      </c>
      <c r="AR12" s="363">
        <f t="shared" ca="1" si="20"/>
        <v>0</v>
      </c>
      <c r="AS12" s="360">
        <f t="shared" ca="1" si="8"/>
        <v>0</v>
      </c>
      <c r="AT12" s="361">
        <f t="shared" ref="AT12:AU21" ca="1" si="33">INDIRECT("'"&amp; MID(OFFSET(AT12,ROW(AT$3)-ROW(AT12),IF(OFFSET(AT12,ROW(AT$2)-ROW(AT12),2)="T",0,IF(OFFSET(AT12,ROW(AT$2)-ROW(AT12),1)="T",-1,-2))),1,6) &amp; "'!" &amp; ADDRESS(ROW(AT12),MATCH(INDIRECT(ADDRESS(2,COLUMN(AT12)+IF(OFFSET(AT12,ROW(AT$2)-ROW(AT12),2)="T",1,IF(OFFSET(AT12,ROW(AT$2)-ROW(AT12),1)="T",0,-1))),TRUE),INDIRECT("'"&amp; MID(OFFSET(AT12,ROW(AT$3)-ROW(AT12),IF(OFFSET(AT12,ROW(AT$2)-ROW(AT12),2)="T",0,IF(OFFSET(AT12,ROW(AT$2)-ROW(AT12),1)="T",-1,-2))),1,6) &amp; "'!2:2",TRUE),0)-IF(OFFSET(AT12,ROW(AT$2)-ROW(AT12),2)="T",1,IF(OFFSET(AT12,ROW(AT$2)-ROW(AT12),1)="T",0,-1))),TRUE)</f>
        <v>0</v>
      </c>
      <c r="AU12" s="362">
        <f t="shared" ca="1" si="33"/>
        <v>0</v>
      </c>
      <c r="AV12" s="363">
        <f t="shared" ca="1" si="21"/>
        <v>0</v>
      </c>
      <c r="AW12" s="360">
        <f t="shared" ca="1" si="9"/>
        <v>0</v>
      </c>
      <c r="AX12" s="361">
        <f t="shared" ref="AX12:AY21" ca="1" si="34">INDIRECT("'"&amp; MID(OFFSET(AX12,ROW(AX$3)-ROW(AX12),IF(OFFSET(AX12,ROW(AX$2)-ROW(AX12),2)="T",0,IF(OFFSET(AX12,ROW(AX$2)-ROW(AX12),1)="T",-1,-2))),1,6) &amp; "'!" &amp; ADDRESS(ROW(AX12),MATCH(INDIRECT(ADDRESS(2,COLUMN(AX12)+IF(OFFSET(AX12,ROW(AX$2)-ROW(AX12),2)="T",1,IF(OFFSET(AX12,ROW(AX$2)-ROW(AX12),1)="T",0,-1))),TRUE),INDIRECT("'"&amp; MID(OFFSET(AX12,ROW(AX$3)-ROW(AX12),IF(OFFSET(AX12,ROW(AX$2)-ROW(AX12),2)="T",0,IF(OFFSET(AX12,ROW(AX$2)-ROW(AX12),1)="T",-1,-2))),1,6) &amp; "'!2:2",TRUE),0)-IF(OFFSET(AX12,ROW(AX$2)-ROW(AX12),2)="T",1,IF(OFFSET(AX12,ROW(AX$2)-ROW(AX12),1)="T",0,-1))),TRUE)</f>
        <v>0</v>
      </c>
      <c r="AY12" s="362">
        <f t="shared" ca="1" si="34"/>
        <v>0</v>
      </c>
      <c r="AZ12" s="363">
        <f t="shared" ca="1" si="22"/>
        <v>0</v>
      </c>
      <c r="BA12" s="360">
        <f t="shared" ca="1" si="10"/>
        <v>0</v>
      </c>
      <c r="BB12" s="361">
        <f t="shared" ref="BB12:BC21" ca="1" si="35">INDIRECT("'"&amp; MID(OFFSET(BB12,ROW(BB$3)-ROW(BB12),IF(OFFSET(BB12,ROW(BB$2)-ROW(BB12),2)="T",0,IF(OFFSET(BB12,ROW(BB$2)-ROW(BB12),1)="T",-1,-2))),1,6) &amp; "'!" &amp; ADDRESS(ROW(BB12),MATCH(INDIRECT(ADDRESS(2,COLUMN(BB12)+IF(OFFSET(BB12,ROW(BB$2)-ROW(BB12),2)="T",1,IF(OFFSET(BB12,ROW(BB$2)-ROW(BB12),1)="T",0,-1))),TRUE),INDIRECT("'"&amp; MID(OFFSET(BB12,ROW(BB$3)-ROW(BB12),IF(OFFSET(BB12,ROW(BB$2)-ROW(BB12),2)="T",0,IF(OFFSET(BB12,ROW(BB$2)-ROW(BB12),1)="T",-1,-2))),1,6) &amp; "'!2:2",TRUE),0)-IF(OFFSET(BB12,ROW(BB$2)-ROW(BB12),2)="T",1,IF(OFFSET(BB12,ROW(BB$2)-ROW(BB12),1)="T",0,-1))),TRUE)</f>
        <v>0</v>
      </c>
      <c r="BC12" s="362">
        <f t="shared" ca="1" si="35"/>
        <v>0</v>
      </c>
      <c r="BD12" s="363">
        <f t="shared" ca="1" si="23"/>
        <v>0</v>
      </c>
      <c r="BE12" s="360">
        <f t="shared" ca="1" si="11"/>
        <v>0</v>
      </c>
      <c r="BF12" s="361">
        <f t="shared" ref="BF12:BG21" ca="1" si="36">INDIRECT("'"&amp; MID(OFFSET(BF12,ROW(BF$3)-ROW(BF12),IF(OFFSET(BF12,ROW(BF$2)-ROW(BF12),2)="T",0,IF(OFFSET(BF12,ROW(BF$2)-ROW(BF12),1)="T",-1,-2))),1,6) &amp; "'!" &amp; ADDRESS(ROW(BF12),MATCH(INDIRECT(ADDRESS(2,COLUMN(BF12)+IF(OFFSET(BF12,ROW(BF$2)-ROW(BF12),2)="T",1,IF(OFFSET(BF12,ROW(BF$2)-ROW(BF12),1)="T",0,-1))),TRUE),INDIRECT("'"&amp; MID(OFFSET(BF12,ROW(BF$3)-ROW(BF12),IF(OFFSET(BF12,ROW(BF$2)-ROW(BF12),2)="T",0,IF(OFFSET(BF12,ROW(BF$2)-ROW(BF12),1)="T",-1,-2))),1,6) &amp; "'!2:2",TRUE),0)-IF(OFFSET(BF12,ROW(BF$2)-ROW(BF12),2)="T",1,IF(OFFSET(BF12,ROW(BF$2)-ROW(BF12),1)="T",0,-1))),TRUE)</f>
        <v>0</v>
      </c>
      <c r="BG12" s="362">
        <f t="shared" ca="1" si="36"/>
        <v>0</v>
      </c>
      <c r="BH12" s="363">
        <f t="shared" ca="1" si="24"/>
        <v>0</v>
      </c>
      <c r="BI12" s="360">
        <f t="shared" ca="1" si="12"/>
        <v>0</v>
      </c>
      <c r="BJ12" s="361">
        <f t="shared" ref="BJ12:BK21" ca="1" si="37">INDIRECT("'"&amp; MID(OFFSET(BJ12,ROW(BJ$3)-ROW(BJ12),IF(OFFSET(BJ12,ROW(BJ$2)-ROW(BJ12),2)="T",0,IF(OFFSET(BJ12,ROW(BJ$2)-ROW(BJ12),1)="T",-1,-2))),1,6) &amp; "'!" &amp; ADDRESS(ROW(BJ12),MATCH(INDIRECT(ADDRESS(2,COLUMN(BJ12)+IF(OFFSET(BJ12,ROW(BJ$2)-ROW(BJ12),2)="T",1,IF(OFFSET(BJ12,ROW(BJ$2)-ROW(BJ12),1)="T",0,-1))),TRUE),INDIRECT("'"&amp; MID(OFFSET(BJ12,ROW(BJ$3)-ROW(BJ12),IF(OFFSET(BJ12,ROW(BJ$2)-ROW(BJ12),2)="T",0,IF(OFFSET(BJ12,ROW(BJ$2)-ROW(BJ12),1)="T",-1,-2))),1,6) &amp; "'!2:2",TRUE),0)-IF(OFFSET(BJ12,ROW(BJ$2)-ROW(BJ12),2)="T",1,IF(OFFSET(BJ12,ROW(BJ$2)-ROW(BJ12),1)="T",0,-1))),TRUE)</f>
        <v>0</v>
      </c>
      <c r="BK12" s="362">
        <f t="shared" ca="1" si="37"/>
        <v>0</v>
      </c>
      <c r="BL12" s="363">
        <f t="shared" ca="1" si="25"/>
        <v>0</v>
      </c>
      <c r="BM12" s="360">
        <f t="shared" ca="1" si="13"/>
        <v>0</v>
      </c>
      <c r="BN12" s="360">
        <f t="shared" ca="1" si="13"/>
        <v>0</v>
      </c>
      <c r="BP12" s="246"/>
    </row>
    <row r="13" spans="1:68">
      <c r="A13" s="221" t="str">
        <f t="shared" ca="1" si="0"/>
        <v>WP001</v>
      </c>
      <c r="B13" s="221" t="str">
        <f t="shared" ca="1" si="1"/>
        <v>WP001</v>
      </c>
      <c r="C13" s="221">
        <v>7</v>
      </c>
      <c r="D13" s="221" t="s">
        <v>81</v>
      </c>
      <c r="L13" s="221" t="s">
        <v>77</v>
      </c>
      <c r="M13" s="221" t="s">
        <v>80</v>
      </c>
      <c r="N13" s="461"/>
      <c r="O13" s="247"/>
      <c r="P13" s="248"/>
      <c r="Q13" s="249" t="str">
        <f>EMP_TYPE2</f>
        <v>Type 2</v>
      </c>
      <c r="R13" s="361">
        <f t="shared" ca="1" si="26"/>
        <v>0</v>
      </c>
      <c r="S13" s="362">
        <f t="shared" ca="1" si="26"/>
        <v>0</v>
      </c>
      <c r="T13" s="363">
        <f t="shared" ca="1" si="14"/>
        <v>0</v>
      </c>
      <c r="U13" s="360">
        <f t="shared" ca="1" si="2"/>
        <v>0</v>
      </c>
      <c r="V13" s="361">
        <f t="shared" ca="1" si="27"/>
        <v>0</v>
      </c>
      <c r="W13" s="362">
        <f t="shared" ca="1" si="27"/>
        <v>0</v>
      </c>
      <c r="X13" s="363">
        <f t="shared" ca="1" si="15"/>
        <v>0</v>
      </c>
      <c r="Y13" s="360">
        <f t="shared" ca="1" si="3"/>
        <v>0</v>
      </c>
      <c r="Z13" s="361">
        <f t="shared" ca="1" si="28"/>
        <v>0</v>
      </c>
      <c r="AA13" s="362">
        <f t="shared" ca="1" si="28"/>
        <v>0</v>
      </c>
      <c r="AB13" s="363">
        <f t="shared" ca="1" si="16"/>
        <v>0</v>
      </c>
      <c r="AC13" s="360">
        <f t="shared" ca="1" si="4"/>
        <v>0</v>
      </c>
      <c r="AD13" s="361">
        <f t="shared" ca="1" si="29"/>
        <v>0</v>
      </c>
      <c r="AE13" s="362">
        <f t="shared" ca="1" si="29"/>
        <v>0</v>
      </c>
      <c r="AF13" s="363">
        <f t="shared" ca="1" si="17"/>
        <v>0</v>
      </c>
      <c r="AG13" s="360">
        <f t="shared" ca="1" si="5"/>
        <v>0</v>
      </c>
      <c r="AH13" s="361">
        <f t="shared" ca="1" si="30"/>
        <v>0</v>
      </c>
      <c r="AI13" s="362">
        <f t="shared" ca="1" si="30"/>
        <v>0</v>
      </c>
      <c r="AJ13" s="363">
        <f t="shared" ca="1" si="18"/>
        <v>0</v>
      </c>
      <c r="AK13" s="360">
        <f t="shared" ca="1" si="6"/>
        <v>0</v>
      </c>
      <c r="AL13" s="361">
        <f t="shared" ca="1" si="31"/>
        <v>0</v>
      </c>
      <c r="AM13" s="362">
        <f t="shared" ca="1" si="31"/>
        <v>0</v>
      </c>
      <c r="AN13" s="363">
        <f t="shared" ca="1" si="19"/>
        <v>0</v>
      </c>
      <c r="AO13" s="360">
        <f t="shared" ca="1" si="7"/>
        <v>0</v>
      </c>
      <c r="AP13" s="361">
        <f t="shared" ca="1" si="32"/>
        <v>0</v>
      </c>
      <c r="AQ13" s="362">
        <f t="shared" ca="1" si="32"/>
        <v>0</v>
      </c>
      <c r="AR13" s="363">
        <f t="shared" ca="1" si="20"/>
        <v>0</v>
      </c>
      <c r="AS13" s="360">
        <f t="shared" ca="1" si="8"/>
        <v>0</v>
      </c>
      <c r="AT13" s="361">
        <f t="shared" ca="1" si="33"/>
        <v>0</v>
      </c>
      <c r="AU13" s="362">
        <f t="shared" ca="1" si="33"/>
        <v>0</v>
      </c>
      <c r="AV13" s="363">
        <f t="shared" ca="1" si="21"/>
        <v>0</v>
      </c>
      <c r="AW13" s="360">
        <f t="shared" ca="1" si="9"/>
        <v>0</v>
      </c>
      <c r="AX13" s="361">
        <f t="shared" ca="1" si="34"/>
        <v>0</v>
      </c>
      <c r="AY13" s="362">
        <f t="shared" ca="1" si="34"/>
        <v>0</v>
      </c>
      <c r="AZ13" s="363">
        <f t="shared" ca="1" si="22"/>
        <v>0</v>
      </c>
      <c r="BA13" s="360">
        <f t="shared" ca="1" si="10"/>
        <v>0</v>
      </c>
      <c r="BB13" s="361">
        <f t="shared" ca="1" si="35"/>
        <v>0</v>
      </c>
      <c r="BC13" s="362">
        <f t="shared" ca="1" si="35"/>
        <v>0</v>
      </c>
      <c r="BD13" s="363">
        <f t="shared" ca="1" si="23"/>
        <v>0</v>
      </c>
      <c r="BE13" s="360">
        <f t="shared" ca="1" si="11"/>
        <v>0</v>
      </c>
      <c r="BF13" s="361">
        <f t="shared" ca="1" si="36"/>
        <v>0</v>
      </c>
      <c r="BG13" s="362">
        <f t="shared" ca="1" si="36"/>
        <v>0</v>
      </c>
      <c r="BH13" s="363">
        <f t="shared" ca="1" si="24"/>
        <v>0</v>
      </c>
      <c r="BI13" s="360">
        <f t="shared" ca="1" si="12"/>
        <v>0</v>
      </c>
      <c r="BJ13" s="361">
        <f t="shared" ca="1" si="37"/>
        <v>0</v>
      </c>
      <c r="BK13" s="362">
        <f t="shared" ca="1" si="37"/>
        <v>0</v>
      </c>
      <c r="BL13" s="363">
        <f t="shared" ca="1" si="25"/>
        <v>0</v>
      </c>
      <c r="BM13" s="360">
        <f t="shared" ca="1" si="13"/>
        <v>0</v>
      </c>
      <c r="BN13" s="360">
        <f t="shared" ca="1" si="13"/>
        <v>0</v>
      </c>
      <c r="BP13" s="246"/>
    </row>
    <row r="14" spans="1:68">
      <c r="A14" s="221" t="str">
        <f t="shared" ca="1" si="0"/>
        <v>WP001</v>
      </c>
      <c r="B14" s="221" t="str">
        <f t="shared" ca="1" si="1"/>
        <v>WP001</v>
      </c>
      <c r="C14" s="221">
        <v>7</v>
      </c>
      <c r="D14" s="221" t="s">
        <v>82</v>
      </c>
      <c r="L14" s="221" t="s">
        <v>77</v>
      </c>
      <c r="M14" s="221" t="s">
        <v>80</v>
      </c>
      <c r="N14" s="461"/>
      <c r="O14" s="247"/>
      <c r="P14" s="248"/>
      <c r="Q14" s="249" t="str">
        <f>EMP_TYPE3</f>
        <v>Type 3</v>
      </c>
      <c r="R14" s="361">
        <f t="shared" ca="1" si="26"/>
        <v>0</v>
      </c>
      <c r="S14" s="362">
        <f t="shared" ca="1" si="26"/>
        <v>0</v>
      </c>
      <c r="T14" s="363">
        <f t="shared" ca="1" si="14"/>
        <v>0</v>
      </c>
      <c r="U14" s="360">
        <f t="shared" ca="1" si="2"/>
        <v>0</v>
      </c>
      <c r="V14" s="361">
        <f t="shared" ca="1" si="27"/>
        <v>0</v>
      </c>
      <c r="W14" s="362">
        <f t="shared" ca="1" si="27"/>
        <v>0</v>
      </c>
      <c r="X14" s="363">
        <f t="shared" ca="1" si="15"/>
        <v>0</v>
      </c>
      <c r="Y14" s="360">
        <f t="shared" ca="1" si="3"/>
        <v>0</v>
      </c>
      <c r="Z14" s="361">
        <f t="shared" ca="1" si="28"/>
        <v>0</v>
      </c>
      <c r="AA14" s="362">
        <f t="shared" ca="1" si="28"/>
        <v>0</v>
      </c>
      <c r="AB14" s="363">
        <f t="shared" ca="1" si="16"/>
        <v>0</v>
      </c>
      <c r="AC14" s="360">
        <f t="shared" ca="1" si="4"/>
        <v>0</v>
      </c>
      <c r="AD14" s="361">
        <f t="shared" ca="1" si="29"/>
        <v>0</v>
      </c>
      <c r="AE14" s="362">
        <f t="shared" ca="1" si="29"/>
        <v>0</v>
      </c>
      <c r="AF14" s="363">
        <f t="shared" ca="1" si="17"/>
        <v>0</v>
      </c>
      <c r="AG14" s="360">
        <f t="shared" ca="1" si="5"/>
        <v>0</v>
      </c>
      <c r="AH14" s="361">
        <f t="shared" ca="1" si="30"/>
        <v>0</v>
      </c>
      <c r="AI14" s="362">
        <f t="shared" ca="1" si="30"/>
        <v>0</v>
      </c>
      <c r="AJ14" s="363">
        <f t="shared" ca="1" si="18"/>
        <v>0</v>
      </c>
      <c r="AK14" s="360">
        <f t="shared" ca="1" si="6"/>
        <v>0</v>
      </c>
      <c r="AL14" s="361">
        <f t="shared" ca="1" si="31"/>
        <v>0</v>
      </c>
      <c r="AM14" s="362">
        <f t="shared" ca="1" si="31"/>
        <v>0</v>
      </c>
      <c r="AN14" s="363">
        <f t="shared" ca="1" si="19"/>
        <v>0</v>
      </c>
      <c r="AO14" s="360">
        <f t="shared" ca="1" si="7"/>
        <v>0</v>
      </c>
      <c r="AP14" s="361">
        <f t="shared" ca="1" si="32"/>
        <v>0</v>
      </c>
      <c r="AQ14" s="362">
        <f t="shared" ca="1" si="32"/>
        <v>0</v>
      </c>
      <c r="AR14" s="363">
        <f t="shared" ca="1" si="20"/>
        <v>0</v>
      </c>
      <c r="AS14" s="360">
        <f t="shared" ca="1" si="8"/>
        <v>0</v>
      </c>
      <c r="AT14" s="361">
        <f t="shared" ca="1" si="33"/>
        <v>0</v>
      </c>
      <c r="AU14" s="362">
        <f t="shared" ca="1" si="33"/>
        <v>0</v>
      </c>
      <c r="AV14" s="363">
        <f t="shared" ca="1" si="21"/>
        <v>0</v>
      </c>
      <c r="AW14" s="360">
        <f t="shared" ca="1" si="9"/>
        <v>0</v>
      </c>
      <c r="AX14" s="361">
        <f t="shared" ca="1" si="34"/>
        <v>0</v>
      </c>
      <c r="AY14" s="362">
        <f t="shared" ca="1" si="34"/>
        <v>0</v>
      </c>
      <c r="AZ14" s="363">
        <f t="shared" ca="1" si="22"/>
        <v>0</v>
      </c>
      <c r="BA14" s="360">
        <f t="shared" ca="1" si="10"/>
        <v>0</v>
      </c>
      <c r="BB14" s="361">
        <f t="shared" ca="1" si="35"/>
        <v>0</v>
      </c>
      <c r="BC14" s="362">
        <f t="shared" ca="1" si="35"/>
        <v>0</v>
      </c>
      <c r="BD14" s="363">
        <f t="shared" ca="1" si="23"/>
        <v>0</v>
      </c>
      <c r="BE14" s="360">
        <f t="shared" ca="1" si="11"/>
        <v>0</v>
      </c>
      <c r="BF14" s="361">
        <f t="shared" ca="1" si="36"/>
        <v>0</v>
      </c>
      <c r="BG14" s="362">
        <f t="shared" ca="1" si="36"/>
        <v>0</v>
      </c>
      <c r="BH14" s="363">
        <f t="shared" ca="1" si="24"/>
        <v>0</v>
      </c>
      <c r="BI14" s="360">
        <f t="shared" ca="1" si="12"/>
        <v>0</v>
      </c>
      <c r="BJ14" s="361">
        <f t="shared" ca="1" si="37"/>
        <v>0</v>
      </c>
      <c r="BK14" s="362">
        <f t="shared" ca="1" si="37"/>
        <v>0</v>
      </c>
      <c r="BL14" s="363">
        <f t="shared" ca="1" si="25"/>
        <v>0</v>
      </c>
      <c r="BM14" s="360">
        <f t="shared" ca="1" si="13"/>
        <v>0</v>
      </c>
      <c r="BN14" s="360">
        <f t="shared" ca="1" si="13"/>
        <v>0</v>
      </c>
      <c r="BP14" s="246"/>
    </row>
    <row r="15" spans="1:68">
      <c r="A15" s="221" t="str">
        <f t="shared" ca="1" si="0"/>
        <v>WP001</v>
      </c>
      <c r="B15" s="221" t="str">
        <f t="shared" ca="1" si="1"/>
        <v>WP001</v>
      </c>
      <c r="C15" s="221">
        <v>7</v>
      </c>
      <c r="D15" s="221" t="s">
        <v>83</v>
      </c>
      <c r="L15" s="221" t="s">
        <v>77</v>
      </c>
      <c r="M15" s="221" t="s">
        <v>80</v>
      </c>
      <c r="N15" s="461"/>
      <c r="O15" s="247"/>
      <c r="P15" s="248"/>
      <c r="Q15" s="249" t="str">
        <f>EMP_TYPE4</f>
        <v>Type 4</v>
      </c>
      <c r="R15" s="361">
        <f t="shared" ca="1" si="26"/>
        <v>0</v>
      </c>
      <c r="S15" s="362">
        <f t="shared" ca="1" si="26"/>
        <v>0</v>
      </c>
      <c r="T15" s="363">
        <f t="shared" ca="1" si="14"/>
        <v>0</v>
      </c>
      <c r="U15" s="360">
        <f t="shared" ca="1" si="2"/>
        <v>0</v>
      </c>
      <c r="V15" s="361">
        <f t="shared" ca="1" si="27"/>
        <v>0</v>
      </c>
      <c r="W15" s="362">
        <f t="shared" ca="1" si="27"/>
        <v>0</v>
      </c>
      <c r="X15" s="363">
        <f t="shared" ca="1" si="15"/>
        <v>0</v>
      </c>
      <c r="Y15" s="360">
        <f t="shared" ca="1" si="3"/>
        <v>0</v>
      </c>
      <c r="Z15" s="361">
        <f t="shared" ca="1" si="28"/>
        <v>0</v>
      </c>
      <c r="AA15" s="362">
        <f t="shared" ca="1" si="28"/>
        <v>0</v>
      </c>
      <c r="AB15" s="363">
        <f t="shared" ca="1" si="16"/>
        <v>0</v>
      </c>
      <c r="AC15" s="360">
        <f t="shared" ca="1" si="4"/>
        <v>0</v>
      </c>
      <c r="AD15" s="361">
        <f t="shared" ca="1" si="29"/>
        <v>0</v>
      </c>
      <c r="AE15" s="362">
        <f t="shared" ca="1" si="29"/>
        <v>0</v>
      </c>
      <c r="AF15" s="363">
        <f t="shared" ca="1" si="17"/>
        <v>0</v>
      </c>
      <c r="AG15" s="360">
        <f t="shared" ca="1" si="5"/>
        <v>0</v>
      </c>
      <c r="AH15" s="361">
        <f t="shared" ca="1" si="30"/>
        <v>0</v>
      </c>
      <c r="AI15" s="362">
        <f t="shared" ca="1" si="30"/>
        <v>0</v>
      </c>
      <c r="AJ15" s="363">
        <f t="shared" ca="1" si="18"/>
        <v>0</v>
      </c>
      <c r="AK15" s="360">
        <f t="shared" ca="1" si="6"/>
        <v>0</v>
      </c>
      <c r="AL15" s="361">
        <f t="shared" ca="1" si="31"/>
        <v>0</v>
      </c>
      <c r="AM15" s="362">
        <f t="shared" ca="1" si="31"/>
        <v>0</v>
      </c>
      <c r="AN15" s="363">
        <f t="shared" ca="1" si="19"/>
        <v>0</v>
      </c>
      <c r="AO15" s="360">
        <f t="shared" ca="1" si="7"/>
        <v>0</v>
      </c>
      <c r="AP15" s="361">
        <f t="shared" ca="1" si="32"/>
        <v>0</v>
      </c>
      <c r="AQ15" s="362">
        <f t="shared" ca="1" si="32"/>
        <v>0</v>
      </c>
      <c r="AR15" s="363">
        <f t="shared" ca="1" si="20"/>
        <v>0</v>
      </c>
      <c r="AS15" s="360">
        <f t="shared" ca="1" si="8"/>
        <v>0</v>
      </c>
      <c r="AT15" s="361">
        <f t="shared" ca="1" si="33"/>
        <v>0</v>
      </c>
      <c r="AU15" s="362">
        <f t="shared" ca="1" si="33"/>
        <v>0</v>
      </c>
      <c r="AV15" s="363">
        <f t="shared" ca="1" si="21"/>
        <v>0</v>
      </c>
      <c r="AW15" s="360">
        <f t="shared" ca="1" si="9"/>
        <v>0</v>
      </c>
      <c r="AX15" s="361">
        <f t="shared" ca="1" si="34"/>
        <v>0</v>
      </c>
      <c r="AY15" s="362">
        <f t="shared" ca="1" si="34"/>
        <v>0</v>
      </c>
      <c r="AZ15" s="363">
        <f t="shared" ca="1" si="22"/>
        <v>0</v>
      </c>
      <c r="BA15" s="360">
        <f t="shared" ca="1" si="10"/>
        <v>0</v>
      </c>
      <c r="BB15" s="361">
        <f t="shared" ca="1" si="35"/>
        <v>0</v>
      </c>
      <c r="BC15" s="362">
        <f t="shared" ca="1" si="35"/>
        <v>0</v>
      </c>
      <c r="BD15" s="363">
        <f t="shared" ca="1" si="23"/>
        <v>0</v>
      </c>
      <c r="BE15" s="360">
        <f t="shared" ca="1" si="11"/>
        <v>0</v>
      </c>
      <c r="BF15" s="361">
        <f t="shared" ca="1" si="36"/>
        <v>0</v>
      </c>
      <c r="BG15" s="362">
        <f t="shared" ca="1" si="36"/>
        <v>0</v>
      </c>
      <c r="BH15" s="363">
        <f t="shared" ca="1" si="24"/>
        <v>0</v>
      </c>
      <c r="BI15" s="360">
        <f t="shared" ca="1" si="12"/>
        <v>0</v>
      </c>
      <c r="BJ15" s="361">
        <f t="shared" ca="1" si="37"/>
        <v>0</v>
      </c>
      <c r="BK15" s="362">
        <f t="shared" ca="1" si="37"/>
        <v>0</v>
      </c>
      <c r="BL15" s="363">
        <f t="shared" ca="1" si="25"/>
        <v>0</v>
      </c>
      <c r="BM15" s="360">
        <f t="shared" ca="1" si="13"/>
        <v>0</v>
      </c>
      <c r="BN15" s="360">
        <f t="shared" ca="1" si="13"/>
        <v>0</v>
      </c>
      <c r="BP15" s="246"/>
    </row>
    <row r="16" spans="1:68">
      <c r="A16" s="221" t="str">
        <f t="shared" ca="1" si="0"/>
        <v>WP001</v>
      </c>
      <c r="B16" s="221" t="str">
        <f t="shared" ca="1" si="1"/>
        <v>WP001</v>
      </c>
      <c r="C16" s="221">
        <v>7</v>
      </c>
      <c r="D16" s="221" t="s">
        <v>84</v>
      </c>
      <c r="L16" s="221" t="s">
        <v>77</v>
      </c>
      <c r="M16" s="221" t="s">
        <v>80</v>
      </c>
      <c r="N16" s="461"/>
      <c r="O16" s="247"/>
      <c r="P16" s="248"/>
      <c r="Q16" s="249" t="str">
        <f>EMP_OTHER</f>
        <v>Type 5</v>
      </c>
      <c r="R16" s="361">
        <f t="shared" ca="1" si="26"/>
        <v>0</v>
      </c>
      <c r="S16" s="362">
        <f t="shared" ca="1" si="26"/>
        <v>0</v>
      </c>
      <c r="T16" s="363">
        <f t="shared" ca="1" si="14"/>
        <v>0</v>
      </c>
      <c r="U16" s="360">
        <f t="shared" ca="1" si="2"/>
        <v>0</v>
      </c>
      <c r="V16" s="361">
        <f t="shared" ca="1" si="27"/>
        <v>0</v>
      </c>
      <c r="W16" s="362">
        <f t="shared" ca="1" si="27"/>
        <v>0</v>
      </c>
      <c r="X16" s="363">
        <f t="shared" ca="1" si="15"/>
        <v>0</v>
      </c>
      <c r="Y16" s="360">
        <f t="shared" ca="1" si="3"/>
        <v>0</v>
      </c>
      <c r="Z16" s="361">
        <f t="shared" ca="1" si="28"/>
        <v>0</v>
      </c>
      <c r="AA16" s="362">
        <f t="shared" ca="1" si="28"/>
        <v>0</v>
      </c>
      <c r="AB16" s="363">
        <f t="shared" ca="1" si="16"/>
        <v>0</v>
      </c>
      <c r="AC16" s="360">
        <f t="shared" ca="1" si="4"/>
        <v>0</v>
      </c>
      <c r="AD16" s="361">
        <f t="shared" ca="1" si="29"/>
        <v>0</v>
      </c>
      <c r="AE16" s="362">
        <f t="shared" ca="1" si="29"/>
        <v>0</v>
      </c>
      <c r="AF16" s="363">
        <f t="shared" ca="1" si="17"/>
        <v>0</v>
      </c>
      <c r="AG16" s="360">
        <f t="shared" ca="1" si="5"/>
        <v>0</v>
      </c>
      <c r="AH16" s="361">
        <f t="shared" ca="1" si="30"/>
        <v>0</v>
      </c>
      <c r="AI16" s="362">
        <f t="shared" ca="1" si="30"/>
        <v>0</v>
      </c>
      <c r="AJ16" s="363">
        <f t="shared" ca="1" si="18"/>
        <v>0</v>
      </c>
      <c r="AK16" s="360">
        <f t="shared" ca="1" si="6"/>
        <v>0</v>
      </c>
      <c r="AL16" s="361">
        <f t="shared" ca="1" si="31"/>
        <v>0</v>
      </c>
      <c r="AM16" s="362">
        <f t="shared" ca="1" si="31"/>
        <v>0</v>
      </c>
      <c r="AN16" s="363">
        <f t="shared" ca="1" si="19"/>
        <v>0</v>
      </c>
      <c r="AO16" s="360">
        <f t="shared" ca="1" si="7"/>
        <v>0</v>
      </c>
      <c r="AP16" s="361">
        <f t="shared" ca="1" si="32"/>
        <v>0</v>
      </c>
      <c r="AQ16" s="362">
        <f t="shared" ca="1" si="32"/>
        <v>0</v>
      </c>
      <c r="AR16" s="363">
        <f t="shared" ca="1" si="20"/>
        <v>0</v>
      </c>
      <c r="AS16" s="360">
        <f t="shared" ca="1" si="8"/>
        <v>0</v>
      </c>
      <c r="AT16" s="361">
        <f t="shared" ca="1" si="33"/>
        <v>0</v>
      </c>
      <c r="AU16" s="362">
        <f t="shared" ca="1" si="33"/>
        <v>0</v>
      </c>
      <c r="AV16" s="363">
        <f t="shared" ca="1" si="21"/>
        <v>0</v>
      </c>
      <c r="AW16" s="360">
        <f t="shared" ca="1" si="9"/>
        <v>0</v>
      </c>
      <c r="AX16" s="361">
        <f t="shared" ca="1" si="34"/>
        <v>0</v>
      </c>
      <c r="AY16" s="362">
        <f t="shared" ca="1" si="34"/>
        <v>0</v>
      </c>
      <c r="AZ16" s="363">
        <f t="shared" ca="1" si="22"/>
        <v>0</v>
      </c>
      <c r="BA16" s="360">
        <f t="shared" ca="1" si="10"/>
        <v>0</v>
      </c>
      <c r="BB16" s="361">
        <f t="shared" ca="1" si="35"/>
        <v>0</v>
      </c>
      <c r="BC16" s="362">
        <f t="shared" ca="1" si="35"/>
        <v>0</v>
      </c>
      <c r="BD16" s="363">
        <f t="shared" ca="1" si="23"/>
        <v>0</v>
      </c>
      <c r="BE16" s="360">
        <f t="shared" ca="1" si="11"/>
        <v>0</v>
      </c>
      <c r="BF16" s="361">
        <f t="shared" ca="1" si="36"/>
        <v>0</v>
      </c>
      <c r="BG16" s="362">
        <f t="shared" ca="1" si="36"/>
        <v>0</v>
      </c>
      <c r="BH16" s="363">
        <f t="shared" ca="1" si="24"/>
        <v>0</v>
      </c>
      <c r="BI16" s="360">
        <f t="shared" ca="1" si="12"/>
        <v>0</v>
      </c>
      <c r="BJ16" s="361">
        <f t="shared" ca="1" si="37"/>
        <v>0</v>
      </c>
      <c r="BK16" s="362">
        <f t="shared" ca="1" si="37"/>
        <v>0</v>
      </c>
      <c r="BL16" s="363">
        <f t="shared" ca="1" si="25"/>
        <v>0</v>
      </c>
      <c r="BM16" s="360">
        <f t="shared" ca="1" si="13"/>
        <v>0</v>
      </c>
      <c r="BN16" s="360">
        <f t="shared" ca="1" si="13"/>
        <v>0</v>
      </c>
      <c r="BP16" s="246"/>
    </row>
    <row r="17" spans="1:68">
      <c r="A17" s="221" t="str">
        <f t="shared" ca="1" si="0"/>
        <v>WP001</v>
      </c>
      <c r="B17" s="221" t="str">
        <f t="shared" ca="1" si="1"/>
        <v>WP001</v>
      </c>
      <c r="C17" s="221">
        <v>6</v>
      </c>
      <c r="D17" s="221" t="s">
        <v>85</v>
      </c>
      <c r="J17" s="222" t="s">
        <v>75</v>
      </c>
      <c r="M17" s="221" t="s">
        <v>80</v>
      </c>
      <c r="N17" s="461"/>
      <c r="O17" s="250"/>
      <c r="P17" s="458" t="s">
        <v>86</v>
      </c>
      <c r="Q17" s="456"/>
      <c r="R17" s="364">
        <f t="shared" ca="1" si="26"/>
        <v>0</v>
      </c>
      <c r="S17" s="358">
        <f t="shared" ca="1" si="26"/>
        <v>0</v>
      </c>
      <c r="T17" s="359">
        <f t="shared" ca="1" si="14"/>
        <v>0</v>
      </c>
      <c r="U17" s="360">
        <f t="shared" ca="1" si="2"/>
        <v>0</v>
      </c>
      <c r="V17" s="364">
        <f t="shared" ca="1" si="27"/>
        <v>0</v>
      </c>
      <c r="W17" s="358">
        <f t="shared" ca="1" si="27"/>
        <v>0</v>
      </c>
      <c r="X17" s="359">
        <f t="shared" ca="1" si="15"/>
        <v>0</v>
      </c>
      <c r="Y17" s="360">
        <f t="shared" ca="1" si="3"/>
        <v>0</v>
      </c>
      <c r="Z17" s="364">
        <f t="shared" ca="1" si="28"/>
        <v>0</v>
      </c>
      <c r="AA17" s="358">
        <f t="shared" ca="1" si="28"/>
        <v>0</v>
      </c>
      <c r="AB17" s="359">
        <f t="shared" ca="1" si="16"/>
        <v>0</v>
      </c>
      <c r="AC17" s="360">
        <f t="shared" ca="1" si="4"/>
        <v>0</v>
      </c>
      <c r="AD17" s="364">
        <f t="shared" ca="1" si="29"/>
        <v>0</v>
      </c>
      <c r="AE17" s="358">
        <f t="shared" ca="1" si="29"/>
        <v>0</v>
      </c>
      <c r="AF17" s="359">
        <f t="shared" ca="1" si="17"/>
        <v>0</v>
      </c>
      <c r="AG17" s="360">
        <f t="shared" ca="1" si="5"/>
        <v>0</v>
      </c>
      <c r="AH17" s="364">
        <f t="shared" ca="1" si="30"/>
        <v>0</v>
      </c>
      <c r="AI17" s="358">
        <f t="shared" ca="1" si="30"/>
        <v>0</v>
      </c>
      <c r="AJ17" s="359">
        <f t="shared" ca="1" si="18"/>
        <v>0</v>
      </c>
      <c r="AK17" s="360">
        <f t="shared" ca="1" si="6"/>
        <v>0</v>
      </c>
      <c r="AL17" s="364">
        <f t="shared" ca="1" si="31"/>
        <v>0</v>
      </c>
      <c r="AM17" s="358">
        <f t="shared" ca="1" si="31"/>
        <v>0</v>
      </c>
      <c r="AN17" s="359">
        <f t="shared" ca="1" si="19"/>
        <v>0</v>
      </c>
      <c r="AO17" s="360">
        <f t="shared" ca="1" si="7"/>
        <v>0</v>
      </c>
      <c r="AP17" s="364">
        <f t="shared" ca="1" si="32"/>
        <v>0</v>
      </c>
      <c r="AQ17" s="358">
        <f t="shared" ca="1" si="32"/>
        <v>0</v>
      </c>
      <c r="AR17" s="359">
        <f t="shared" ca="1" si="20"/>
        <v>0</v>
      </c>
      <c r="AS17" s="360">
        <f t="shared" ca="1" si="8"/>
        <v>0</v>
      </c>
      <c r="AT17" s="364">
        <f t="shared" ca="1" si="33"/>
        <v>0</v>
      </c>
      <c r="AU17" s="358">
        <f t="shared" ca="1" si="33"/>
        <v>0</v>
      </c>
      <c r="AV17" s="359">
        <f t="shared" ca="1" si="21"/>
        <v>0</v>
      </c>
      <c r="AW17" s="360">
        <f t="shared" ca="1" si="9"/>
        <v>0</v>
      </c>
      <c r="AX17" s="364">
        <f t="shared" ca="1" si="34"/>
        <v>0</v>
      </c>
      <c r="AY17" s="358">
        <f t="shared" ca="1" si="34"/>
        <v>0</v>
      </c>
      <c r="AZ17" s="359">
        <f t="shared" ca="1" si="22"/>
        <v>0</v>
      </c>
      <c r="BA17" s="360">
        <f t="shared" ca="1" si="10"/>
        <v>0</v>
      </c>
      <c r="BB17" s="364">
        <f t="shared" ca="1" si="35"/>
        <v>0</v>
      </c>
      <c r="BC17" s="358">
        <f t="shared" ca="1" si="35"/>
        <v>0</v>
      </c>
      <c r="BD17" s="359">
        <f t="shared" ca="1" si="23"/>
        <v>0</v>
      </c>
      <c r="BE17" s="360">
        <f t="shared" ca="1" si="11"/>
        <v>0</v>
      </c>
      <c r="BF17" s="364">
        <f t="shared" ca="1" si="36"/>
        <v>0</v>
      </c>
      <c r="BG17" s="358">
        <f t="shared" ca="1" si="36"/>
        <v>0</v>
      </c>
      <c r="BH17" s="359">
        <f t="shared" ca="1" si="24"/>
        <v>0</v>
      </c>
      <c r="BI17" s="360">
        <f t="shared" ca="1" si="12"/>
        <v>0</v>
      </c>
      <c r="BJ17" s="364">
        <f t="shared" ca="1" si="37"/>
        <v>0</v>
      </c>
      <c r="BK17" s="358">
        <f t="shared" ca="1" si="37"/>
        <v>0</v>
      </c>
      <c r="BL17" s="359">
        <f t="shared" ca="1" si="25"/>
        <v>0</v>
      </c>
      <c r="BM17" s="360">
        <f t="shared" ca="1" si="13"/>
        <v>0</v>
      </c>
      <c r="BN17" s="360">
        <f t="shared" ca="1" si="13"/>
        <v>0</v>
      </c>
      <c r="BP17" s="246"/>
    </row>
    <row r="18" spans="1:68">
      <c r="A18" s="221" t="str">
        <f t="shared" ca="1" si="0"/>
        <v>WP001</v>
      </c>
      <c r="B18" s="221" t="str">
        <f t="shared" ca="1" si="1"/>
        <v>WP001</v>
      </c>
      <c r="C18" s="221">
        <v>6</v>
      </c>
      <c r="D18" s="221" t="s">
        <v>87</v>
      </c>
      <c r="J18" s="222" t="s">
        <v>75</v>
      </c>
      <c r="M18" s="221" t="s">
        <v>80</v>
      </c>
      <c r="N18" s="461"/>
      <c r="O18" s="250"/>
      <c r="P18" s="458" t="s">
        <v>88</v>
      </c>
      <c r="Q18" s="456"/>
      <c r="R18" s="364">
        <f t="shared" ca="1" si="26"/>
        <v>0</v>
      </c>
      <c r="S18" s="358">
        <f t="shared" ca="1" si="26"/>
        <v>0</v>
      </c>
      <c r="T18" s="359">
        <f t="shared" ca="1" si="14"/>
        <v>0</v>
      </c>
      <c r="U18" s="360">
        <f t="shared" ca="1" si="2"/>
        <v>0</v>
      </c>
      <c r="V18" s="364">
        <f t="shared" ca="1" si="27"/>
        <v>0</v>
      </c>
      <c r="W18" s="358">
        <f t="shared" ca="1" si="27"/>
        <v>0</v>
      </c>
      <c r="X18" s="359">
        <f t="shared" ca="1" si="15"/>
        <v>0</v>
      </c>
      <c r="Y18" s="360">
        <f t="shared" ca="1" si="3"/>
        <v>0</v>
      </c>
      <c r="Z18" s="364">
        <f t="shared" ca="1" si="28"/>
        <v>0</v>
      </c>
      <c r="AA18" s="358">
        <f t="shared" ca="1" si="28"/>
        <v>0</v>
      </c>
      <c r="AB18" s="359">
        <f t="shared" ca="1" si="16"/>
        <v>0</v>
      </c>
      <c r="AC18" s="360">
        <f t="shared" ca="1" si="4"/>
        <v>0</v>
      </c>
      <c r="AD18" s="364">
        <f t="shared" ca="1" si="29"/>
        <v>0</v>
      </c>
      <c r="AE18" s="358">
        <f t="shared" ca="1" si="29"/>
        <v>0</v>
      </c>
      <c r="AF18" s="359">
        <f t="shared" ca="1" si="17"/>
        <v>0</v>
      </c>
      <c r="AG18" s="360">
        <f t="shared" ca="1" si="5"/>
        <v>0</v>
      </c>
      <c r="AH18" s="364">
        <f t="shared" ca="1" si="30"/>
        <v>0</v>
      </c>
      <c r="AI18" s="358">
        <f t="shared" ca="1" si="30"/>
        <v>0</v>
      </c>
      <c r="AJ18" s="359">
        <f t="shared" ca="1" si="18"/>
        <v>0</v>
      </c>
      <c r="AK18" s="360">
        <f t="shared" ca="1" si="6"/>
        <v>0</v>
      </c>
      <c r="AL18" s="364">
        <f t="shared" ca="1" si="31"/>
        <v>0</v>
      </c>
      <c r="AM18" s="358">
        <f t="shared" ca="1" si="31"/>
        <v>0</v>
      </c>
      <c r="AN18" s="359">
        <f t="shared" ca="1" si="19"/>
        <v>0</v>
      </c>
      <c r="AO18" s="360">
        <f t="shared" ca="1" si="7"/>
        <v>0</v>
      </c>
      <c r="AP18" s="364">
        <f t="shared" ca="1" si="32"/>
        <v>0</v>
      </c>
      <c r="AQ18" s="358">
        <f t="shared" ca="1" si="32"/>
        <v>0</v>
      </c>
      <c r="AR18" s="359">
        <f t="shared" ca="1" si="20"/>
        <v>0</v>
      </c>
      <c r="AS18" s="360">
        <f t="shared" ca="1" si="8"/>
        <v>0</v>
      </c>
      <c r="AT18" s="364">
        <f t="shared" ca="1" si="33"/>
        <v>0</v>
      </c>
      <c r="AU18" s="358">
        <f t="shared" ca="1" si="33"/>
        <v>0</v>
      </c>
      <c r="AV18" s="359">
        <f t="shared" ca="1" si="21"/>
        <v>0</v>
      </c>
      <c r="AW18" s="360">
        <f t="shared" ca="1" si="9"/>
        <v>0</v>
      </c>
      <c r="AX18" s="364">
        <f t="shared" ca="1" si="34"/>
        <v>0</v>
      </c>
      <c r="AY18" s="358">
        <f t="shared" ca="1" si="34"/>
        <v>0</v>
      </c>
      <c r="AZ18" s="359">
        <f t="shared" ca="1" si="22"/>
        <v>0</v>
      </c>
      <c r="BA18" s="360">
        <f t="shared" ca="1" si="10"/>
        <v>0</v>
      </c>
      <c r="BB18" s="364">
        <f t="shared" ca="1" si="35"/>
        <v>0</v>
      </c>
      <c r="BC18" s="358">
        <f t="shared" ca="1" si="35"/>
        <v>0</v>
      </c>
      <c r="BD18" s="359">
        <f t="shared" ca="1" si="23"/>
        <v>0</v>
      </c>
      <c r="BE18" s="360">
        <f t="shared" ca="1" si="11"/>
        <v>0</v>
      </c>
      <c r="BF18" s="364">
        <f t="shared" ca="1" si="36"/>
        <v>0</v>
      </c>
      <c r="BG18" s="358">
        <f t="shared" ca="1" si="36"/>
        <v>0</v>
      </c>
      <c r="BH18" s="359">
        <f t="shared" ca="1" si="24"/>
        <v>0</v>
      </c>
      <c r="BI18" s="360">
        <f t="shared" ca="1" si="12"/>
        <v>0</v>
      </c>
      <c r="BJ18" s="364">
        <f t="shared" ca="1" si="37"/>
        <v>0</v>
      </c>
      <c r="BK18" s="358">
        <f t="shared" ca="1" si="37"/>
        <v>0</v>
      </c>
      <c r="BL18" s="359">
        <f t="shared" ca="1" si="25"/>
        <v>0</v>
      </c>
      <c r="BM18" s="360">
        <f t="shared" ca="1" si="13"/>
        <v>0</v>
      </c>
      <c r="BN18" s="360">
        <f t="shared" ca="1" si="13"/>
        <v>0</v>
      </c>
      <c r="BP18" s="246"/>
    </row>
    <row r="19" spans="1:68">
      <c r="A19" s="221" t="str">
        <f t="shared" ca="1" si="0"/>
        <v>WP001</v>
      </c>
      <c r="B19" s="221" t="str">
        <f t="shared" ca="1" si="1"/>
        <v>WP001</v>
      </c>
      <c r="C19" s="221">
        <v>6</v>
      </c>
      <c r="D19" s="221" t="s">
        <v>89</v>
      </c>
      <c r="J19" s="222" t="s">
        <v>75</v>
      </c>
      <c r="M19" s="221" t="s">
        <v>80</v>
      </c>
      <c r="N19" s="461"/>
      <c r="O19" s="250"/>
      <c r="P19" s="458" t="s">
        <v>90</v>
      </c>
      <c r="Q19" s="456"/>
      <c r="R19" s="364">
        <f t="shared" ca="1" si="26"/>
        <v>0</v>
      </c>
      <c r="S19" s="358">
        <f t="shared" ca="1" si="26"/>
        <v>0</v>
      </c>
      <c r="T19" s="359">
        <f t="shared" ca="1" si="14"/>
        <v>0</v>
      </c>
      <c r="U19" s="360">
        <f t="shared" ca="1" si="2"/>
        <v>0</v>
      </c>
      <c r="V19" s="364">
        <f t="shared" ca="1" si="27"/>
        <v>0</v>
      </c>
      <c r="W19" s="358">
        <f t="shared" ca="1" si="27"/>
        <v>0</v>
      </c>
      <c r="X19" s="359">
        <f t="shared" ca="1" si="15"/>
        <v>0</v>
      </c>
      <c r="Y19" s="360">
        <f t="shared" ca="1" si="3"/>
        <v>0</v>
      </c>
      <c r="Z19" s="364">
        <f t="shared" ca="1" si="28"/>
        <v>0</v>
      </c>
      <c r="AA19" s="358">
        <f t="shared" ca="1" si="28"/>
        <v>0</v>
      </c>
      <c r="AB19" s="359">
        <f t="shared" ca="1" si="16"/>
        <v>0</v>
      </c>
      <c r="AC19" s="360">
        <f t="shared" ca="1" si="4"/>
        <v>0</v>
      </c>
      <c r="AD19" s="364">
        <f t="shared" ca="1" si="29"/>
        <v>0</v>
      </c>
      <c r="AE19" s="358">
        <f t="shared" ca="1" si="29"/>
        <v>0</v>
      </c>
      <c r="AF19" s="359">
        <f t="shared" ca="1" si="17"/>
        <v>0</v>
      </c>
      <c r="AG19" s="360">
        <f t="shared" ca="1" si="5"/>
        <v>0</v>
      </c>
      <c r="AH19" s="364">
        <f t="shared" ca="1" si="30"/>
        <v>0</v>
      </c>
      <c r="AI19" s="358">
        <f t="shared" ca="1" si="30"/>
        <v>0</v>
      </c>
      <c r="AJ19" s="359">
        <f t="shared" ca="1" si="18"/>
        <v>0</v>
      </c>
      <c r="AK19" s="360">
        <f t="shared" ca="1" si="6"/>
        <v>0</v>
      </c>
      <c r="AL19" s="364">
        <f t="shared" ca="1" si="31"/>
        <v>0</v>
      </c>
      <c r="AM19" s="358">
        <f t="shared" ca="1" si="31"/>
        <v>0</v>
      </c>
      <c r="AN19" s="359">
        <f t="shared" ca="1" si="19"/>
        <v>0</v>
      </c>
      <c r="AO19" s="360">
        <f t="shared" ca="1" si="7"/>
        <v>0</v>
      </c>
      <c r="AP19" s="364">
        <f t="shared" ca="1" si="32"/>
        <v>0</v>
      </c>
      <c r="AQ19" s="358">
        <f t="shared" ca="1" si="32"/>
        <v>0</v>
      </c>
      <c r="AR19" s="359">
        <f t="shared" ca="1" si="20"/>
        <v>0</v>
      </c>
      <c r="AS19" s="360">
        <f t="shared" ca="1" si="8"/>
        <v>0</v>
      </c>
      <c r="AT19" s="364">
        <f t="shared" ca="1" si="33"/>
        <v>0</v>
      </c>
      <c r="AU19" s="358">
        <f t="shared" ca="1" si="33"/>
        <v>0</v>
      </c>
      <c r="AV19" s="359">
        <f t="shared" ca="1" si="21"/>
        <v>0</v>
      </c>
      <c r="AW19" s="360">
        <f t="shared" ca="1" si="9"/>
        <v>0</v>
      </c>
      <c r="AX19" s="364">
        <f t="shared" ca="1" si="34"/>
        <v>0</v>
      </c>
      <c r="AY19" s="358">
        <f t="shared" ca="1" si="34"/>
        <v>0</v>
      </c>
      <c r="AZ19" s="359">
        <f t="shared" ca="1" si="22"/>
        <v>0</v>
      </c>
      <c r="BA19" s="360">
        <f t="shared" ca="1" si="10"/>
        <v>0</v>
      </c>
      <c r="BB19" s="364">
        <f t="shared" ca="1" si="35"/>
        <v>0</v>
      </c>
      <c r="BC19" s="358">
        <f t="shared" ca="1" si="35"/>
        <v>0</v>
      </c>
      <c r="BD19" s="359">
        <f t="shared" ca="1" si="23"/>
        <v>0</v>
      </c>
      <c r="BE19" s="360">
        <f t="shared" ca="1" si="11"/>
        <v>0</v>
      </c>
      <c r="BF19" s="364">
        <f t="shared" ca="1" si="36"/>
        <v>0</v>
      </c>
      <c r="BG19" s="358">
        <f t="shared" ca="1" si="36"/>
        <v>0</v>
      </c>
      <c r="BH19" s="359">
        <f t="shared" ca="1" si="24"/>
        <v>0</v>
      </c>
      <c r="BI19" s="360">
        <f t="shared" ca="1" si="12"/>
        <v>0</v>
      </c>
      <c r="BJ19" s="364">
        <f t="shared" ca="1" si="37"/>
        <v>0</v>
      </c>
      <c r="BK19" s="358">
        <f t="shared" ca="1" si="37"/>
        <v>0</v>
      </c>
      <c r="BL19" s="359">
        <f t="shared" ca="1" si="25"/>
        <v>0</v>
      </c>
      <c r="BM19" s="360">
        <f t="shared" ca="1" si="13"/>
        <v>0</v>
      </c>
      <c r="BN19" s="360">
        <f t="shared" ca="1" si="13"/>
        <v>0</v>
      </c>
      <c r="BP19" s="246"/>
    </row>
    <row r="20" spans="1:68">
      <c r="A20" s="221" t="str">
        <f t="shared" ca="1" si="0"/>
        <v>WP001</v>
      </c>
      <c r="B20" s="221" t="str">
        <f t="shared" ca="1" si="1"/>
        <v>WP001</v>
      </c>
      <c r="C20" s="221">
        <v>6</v>
      </c>
      <c r="D20" s="221" t="s">
        <v>91</v>
      </c>
      <c r="J20" s="222" t="s">
        <v>75</v>
      </c>
      <c r="M20" s="221" t="s">
        <v>80</v>
      </c>
      <c r="N20" s="461"/>
      <c r="O20" s="250"/>
      <c r="P20" s="458" t="s">
        <v>92</v>
      </c>
      <c r="Q20" s="456"/>
      <c r="R20" s="364">
        <f t="shared" ca="1" si="26"/>
        <v>0</v>
      </c>
      <c r="S20" s="358">
        <f t="shared" ca="1" si="26"/>
        <v>0</v>
      </c>
      <c r="T20" s="359">
        <f t="shared" ca="1" si="14"/>
        <v>0</v>
      </c>
      <c r="U20" s="360">
        <f t="shared" ca="1" si="2"/>
        <v>0</v>
      </c>
      <c r="V20" s="364">
        <f t="shared" ca="1" si="27"/>
        <v>0</v>
      </c>
      <c r="W20" s="358">
        <f t="shared" ca="1" si="27"/>
        <v>0</v>
      </c>
      <c r="X20" s="359">
        <f t="shared" ca="1" si="15"/>
        <v>0</v>
      </c>
      <c r="Y20" s="360">
        <f t="shared" ca="1" si="3"/>
        <v>0</v>
      </c>
      <c r="Z20" s="364">
        <f t="shared" ca="1" si="28"/>
        <v>0</v>
      </c>
      <c r="AA20" s="358">
        <f t="shared" ca="1" si="28"/>
        <v>0</v>
      </c>
      <c r="AB20" s="359">
        <f t="shared" ca="1" si="16"/>
        <v>0</v>
      </c>
      <c r="AC20" s="360">
        <f t="shared" ca="1" si="4"/>
        <v>0</v>
      </c>
      <c r="AD20" s="364">
        <f t="shared" ca="1" si="29"/>
        <v>0</v>
      </c>
      <c r="AE20" s="358">
        <f t="shared" ca="1" si="29"/>
        <v>0</v>
      </c>
      <c r="AF20" s="359">
        <f t="shared" ca="1" si="17"/>
        <v>0</v>
      </c>
      <c r="AG20" s="360">
        <f t="shared" ca="1" si="5"/>
        <v>0</v>
      </c>
      <c r="AH20" s="364">
        <f t="shared" ca="1" si="30"/>
        <v>0</v>
      </c>
      <c r="AI20" s="358">
        <f t="shared" ca="1" si="30"/>
        <v>0</v>
      </c>
      <c r="AJ20" s="359">
        <f t="shared" ca="1" si="18"/>
        <v>0</v>
      </c>
      <c r="AK20" s="360">
        <f t="shared" ca="1" si="6"/>
        <v>0</v>
      </c>
      <c r="AL20" s="364">
        <f t="shared" ca="1" si="31"/>
        <v>0</v>
      </c>
      <c r="AM20" s="358">
        <f t="shared" ca="1" si="31"/>
        <v>0</v>
      </c>
      <c r="AN20" s="359">
        <f t="shared" ca="1" si="19"/>
        <v>0</v>
      </c>
      <c r="AO20" s="360">
        <f t="shared" ca="1" si="7"/>
        <v>0</v>
      </c>
      <c r="AP20" s="364">
        <f t="shared" ca="1" si="32"/>
        <v>0</v>
      </c>
      <c r="AQ20" s="358">
        <f t="shared" ca="1" si="32"/>
        <v>0</v>
      </c>
      <c r="AR20" s="359">
        <f t="shared" ca="1" si="20"/>
        <v>0</v>
      </c>
      <c r="AS20" s="360">
        <f t="shared" ca="1" si="8"/>
        <v>0</v>
      </c>
      <c r="AT20" s="364">
        <f t="shared" ca="1" si="33"/>
        <v>0</v>
      </c>
      <c r="AU20" s="358">
        <f t="shared" ca="1" si="33"/>
        <v>0</v>
      </c>
      <c r="AV20" s="359">
        <f t="shared" ca="1" si="21"/>
        <v>0</v>
      </c>
      <c r="AW20" s="360">
        <f t="shared" ca="1" si="9"/>
        <v>0</v>
      </c>
      <c r="AX20" s="364">
        <f t="shared" ca="1" si="34"/>
        <v>0</v>
      </c>
      <c r="AY20" s="358">
        <f t="shared" ca="1" si="34"/>
        <v>0</v>
      </c>
      <c r="AZ20" s="359">
        <f t="shared" ca="1" si="22"/>
        <v>0</v>
      </c>
      <c r="BA20" s="360">
        <f t="shared" ca="1" si="10"/>
        <v>0</v>
      </c>
      <c r="BB20" s="364">
        <f t="shared" ca="1" si="35"/>
        <v>0</v>
      </c>
      <c r="BC20" s="358">
        <f t="shared" ca="1" si="35"/>
        <v>0</v>
      </c>
      <c r="BD20" s="359">
        <f t="shared" ca="1" si="23"/>
        <v>0</v>
      </c>
      <c r="BE20" s="360">
        <f t="shared" ca="1" si="11"/>
        <v>0</v>
      </c>
      <c r="BF20" s="364">
        <f t="shared" ca="1" si="36"/>
        <v>0</v>
      </c>
      <c r="BG20" s="358">
        <f t="shared" ca="1" si="36"/>
        <v>0</v>
      </c>
      <c r="BH20" s="359">
        <f t="shared" ca="1" si="24"/>
        <v>0</v>
      </c>
      <c r="BI20" s="360">
        <f t="shared" ca="1" si="12"/>
        <v>0</v>
      </c>
      <c r="BJ20" s="364">
        <f t="shared" ca="1" si="37"/>
        <v>0</v>
      </c>
      <c r="BK20" s="358">
        <f t="shared" ca="1" si="37"/>
        <v>0</v>
      </c>
      <c r="BL20" s="359">
        <f t="shared" ca="1" si="25"/>
        <v>0</v>
      </c>
      <c r="BM20" s="360">
        <f t="shared" ca="1" si="13"/>
        <v>0</v>
      </c>
      <c r="BN20" s="360">
        <f t="shared" ca="1" si="13"/>
        <v>0</v>
      </c>
    </row>
    <row r="21" spans="1:68">
      <c r="A21" s="221" t="str">
        <f t="shared" ca="1" si="0"/>
        <v>WP001</v>
      </c>
      <c r="B21" s="221" t="str">
        <f t="shared" ca="1" si="1"/>
        <v>WP001</v>
      </c>
      <c r="C21" s="221">
        <v>4</v>
      </c>
      <c r="D21" s="221" t="s">
        <v>93</v>
      </c>
      <c r="H21" s="221" t="s">
        <v>74</v>
      </c>
      <c r="I21" s="221" t="s">
        <v>94</v>
      </c>
      <c r="M21" s="221" t="s">
        <v>80</v>
      </c>
      <c r="N21" s="461"/>
      <c r="O21" s="452" t="s">
        <v>65</v>
      </c>
      <c r="P21" s="453"/>
      <c r="Q21" s="453"/>
      <c r="R21" s="365">
        <f t="shared" ca="1" si="26"/>
        <v>0</v>
      </c>
      <c r="S21" s="354">
        <f t="shared" ca="1" si="26"/>
        <v>0</v>
      </c>
      <c r="T21" s="355">
        <f t="shared" ca="1" si="14"/>
        <v>0</v>
      </c>
      <c r="U21" s="356">
        <f t="shared" ca="1" si="2"/>
        <v>0</v>
      </c>
      <c r="V21" s="365">
        <f t="shared" ca="1" si="27"/>
        <v>0</v>
      </c>
      <c r="W21" s="354">
        <f t="shared" ca="1" si="27"/>
        <v>0</v>
      </c>
      <c r="X21" s="355">
        <f t="shared" ca="1" si="15"/>
        <v>0</v>
      </c>
      <c r="Y21" s="356">
        <f t="shared" ca="1" si="3"/>
        <v>0</v>
      </c>
      <c r="Z21" s="365">
        <f t="shared" ca="1" si="28"/>
        <v>0</v>
      </c>
      <c r="AA21" s="354">
        <f t="shared" ca="1" si="28"/>
        <v>0</v>
      </c>
      <c r="AB21" s="355">
        <f t="shared" ca="1" si="16"/>
        <v>0</v>
      </c>
      <c r="AC21" s="356">
        <f t="shared" ca="1" si="4"/>
        <v>0</v>
      </c>
      <c r="AD21" s="365">
        <f t="shared" ca="1" si="29"/>
        <v>0</v>
      </c>
      <c r="AE21" s="354">
        <f t="shared" ca="1" si="29"/>
        <v>0</v>
      </c>
      <c r="AF21" s="355">
        <f t="shared" ca="1" si="17"/>
        <v>0</v>
      </c>
      <c r="AG21" s="356">
        <f t="shared" ca="1" si="5"/>
        <v>0</v>
      </c>
      <c r="AH21" s="365">
        <f t="shared" ca="1" si="30"/>
        <v>0</v>
      </c>
      <c r="AI21" s="354">
        <f t="shared" ca="1" si="30"/>
        <v>0</v>
      </c>
      <c r="AJ21" s="355">
        <f t="shared" ca="1" si="18"/>
        <v>0</v>
      </c>
      <c r="AK21" s="356">
        <f t="shared" ca="1" si="6"/>
        <v>0</v>
      </c>
      <c r="AL21" s="365">
        <f t="shared" ca="1" si="31"/>
        <v>0</v>
      </c>
      <c r="AM21" s="354">
        <f t="shared" ca="1" si="31"/>
        <v>0</v>
      </c>
      <c r="AN21" s="355">
        <f t="shared" ca="1" si="19"/>
        <v>0</v>
      </c>
      <c r="AO21" s="356">
        <f t="shared" ca="1" si="7"/>
        <v>0</v>
      </c>
      <c r="AP21" s="365">
        <f t="shared" ca="1" si="32"/>
        <v>0</v>
      </c>
      <c r="AQ21" s="354">
        <f t="shared" ca="1" si="32"/>
        <v>0</v>
      </c>
      <c r="AR21" s="355">
        <f t="shared" ca="1" si="20"/>
        <v>0</v>
      </c>
      <c r="AS21" s="356">
        <f t="shared" ca="1" si="8"/>
        <v>0</v>
      </c>
      <c r="AT21" s="365">
        <f t="shared" ca="1" si="33"/>
        <v>0</v>
      </c>
      <c r="AU21" s="354">
        <f t="shared" ca="1" si="33"/>
        <v>0</v>
      </c>
      <c r="AV21" s="355">
        <f t="shared" ca="1" si="21"/>
        <v>0</v>
      </c>
      <c r="AW21" s="356">
        <f t="shared" ca="1" si="9"/>
        <v>0</v>
      </c>
      <c r="AX21" s="365">
        <f t="shared" ca="1" si="34"/>
        <v>0</v>
      </c>
      <c r="AY21" s="354">
        <f t="shared" ca="1" si="34"/>
        <v>0</v>
      </c>
      <c r="AZ21" s="355">
        <f t="shared" ca="1" si="22"/>
        <v>0</v>
      </c>
      <c r="BA21" s="356">
        <f t="shared" ca="1" si="10"/>
        <v>0</v>
      </c>
      <c r="BB21" s="365">
        <f t="shared" ca="1" si="35"/>
        <v>0</v>
      </c>
      <c r="BC21" s="354">
        <f t="shared" ca="1" si="35"/>
        <v>0</v>
      </c>
      <c r="BD21" s="355">
        <f t="shared" ca="1" si="23"/>
        <v>0</v>
      </c>
      <c r="BE21" s="356">
        <f t="shared" ca="1" si="11"/>
        <v>0</v>
      </c>
      <c r="BF21" s="365">
        <f t="shared" ca="1" si="36"/>
        <v>0</v>
      </c>
      <c r="BG21" s="354">
        <f t="shared" ca="1" si="36"/>
        <v>0</v>
      </c>
      <c r="BH21" s="355">
        <f t="shared" ca="1" si="24"/>
        <v>0</v>
      </c>
      <c r="BI21" s="356">
        <f t="shared" ca="1" si="12"/>
        <v>0</v>
      </c>
      <c r="BJ21" s="365">
        <f t="shared" ca="1" si="37"/>
        <v>0</v>
      </c>
      <c r="BK21" s="354">
        <f t="shared" ca="1" si="37"/>
        <v>0</v>
      </c>
      <c r="BL21" s="355">
        <f t="shared" ca="1" si="25"/>
        <v>0</v>
      </c>
      <c r="BM21" s="356">
        <f t="shared" ca="1" si="13"/>
        <v>0</v>
      </c>
      <c r="BN21" s="356">
        <f t="shared" ca="1" si="13"/>
        <v>0</v>
      </c>
    </row>
    <row r="22" spans="1:68">
      <c r="A22" s="221" t="str">
        <f t="shared" ca="1" si="0"/>
        <v>WP001</v>
      </c>
      <c r="B22" s="221" t="str">
        <f t="shared" ca="1" si="1"/>
        <v>WP001</v>
      </c>
      <c r="C22" s="221">
        <v>4</v>
      </c>
      <c r="D22" s="221" t="s">
        <v>95</v>
      </c>
      <c r="H22" s="221" t="s">
        <v>74</v>
      </c>
      <c r="I22" s="221" t="s">
        <v>96</v>
      </c>
      <c r="M22" s="221" t="s">
        <v>46</v>
      </c>
      <c r="N22" s="461"/>
      <c r="O22" s="452" t="s">
        <v>97</v>
      </c>
      <c r="P22" s="453"/>
      <c r="Q22" s="453"/>
      <c r="R22" s="353"/>
      <c r="S22" s="354"/>
      <c r="T22" s="355">
        <f t="shared" ca="1" si="14"/>
        <v>0</v>
      </c>
      <c r="U22" s="356">
        <f t="shared" ca="1" si="2"/>
        <v>0</v>
      </c>
      <c r="V22" s="353"/>
      <c r="W22" s="354"/>
      <c r="X22" s="355">
        <f t="shared" ca="1" si="15"/>
        <v>0</v>
      </c>
      <c r="Y22" s="356">
        <f t="shared" ca="1" si="3"/>
        <v>0</v>
      </c>
      <c r="Z22" s="353"/>
      <c r="AA22" s="354"/>
      <c r="AB22" s="355">
        <f t="shared" ca="1" si="16"/>
        <v>0</v>
      </c>
      <c r="AC22" s="356">
        <f t="shared" ca="1" si="4"/>
        <v>0</v>
      </c>
      <c r="AD22" s="353"/>
      <c r="AE22" s="354"/>
      <c r="AF22" s="355">
        <f t="shared" ca="1" si="17"/>
        <v>0</v>
      </c>
      <c r="AG22" s="356">
        <f t="shared" ca="1" si="5"/>
        <v>0</v>
      </c>
      <c r="AH22" s="353"/>
      <c r="AI22" s="354"/>
      <c r="AJ22" s="355">
        <f t="shared" ca="1" si="18"/>
        <v>0</v>
      </c>
      <c r="AK22" s="356">
        <f t="shared" ca="1" si="6"/>
        <v>0</v>
      </c>
      <c r="AL22" s="353"/>
      <c r="AM22" s="354"/>
      <c r="AN22" s="355">
        <f t="shared" ca="1" si="19"/>
        <v>0</v>
      </c>
      <c r="AO22" s="356">
        <f t="shared" ca="1" si="7"/>
        <v>0</v>
      </c>
      <c r="AP22" s="353"/>
      <c r="AQ22" s="354"/>
      <c r="AR22" s="355">
        <f t="shared" ca="1" si="20"/>
        <v>0</v>
      </c>
      <c r="AS22" s="356">
        <f t="shared" ca="1" si="8"/>
        <v>0</v>
      </c>
      <c r="AT22" s="353"/>
      <c r="AU22" s="354"/>
      <c r="AV22" s="355">
        <f t="shared" ca="1" si="21"/>
        <v>0</v>
      </c>
      <c r="AW22" s="356">
        <f t="shared" ca="1" si="9"/>
        <v>0</v>
      </c>
      <c r="AX22" s="353"/>
      <c r="AY22" s="354"/>
      <c r="AZ22" s="355">
        <f t="shared" ca="1" si="22"/>
        <v>0</v>
      </c>
      <c r="BA22" s="356">
        <f t="shared" ca="1" si="10"/>
        <v>0</v>
      </c>
      <c r="BB22" s="353"/>
      <c r="BC22" s="354"/>
      <c r="BD22" s="355">
        <f t="shared" ca="1" si="23"/>
        <v>0</v>
      </c>
      <c r="BE22" s="356">
        <f t="shared" ca="1" si="11"/>
        <v>0</v>
      </c>
      <c r="BF22" s="353"/>
      <c r="BG22" s="354"/>
      <c r="BH22" s="355">
        <f t="shared" ca="1" si="24"/>
        <v>0</v>
      </c>
      <c r="BI22" s="356">
        <f t="shared" ca="1" si="12"/>
        <v>0</v>
      </c>
      <c r="BJ22" s="353"/>
      <c r="BK22" s="354"/>
      <c r="BL22" s="355">
        <f t="shared" ca="1" si="25"/>
        <v>0</v>
      </c>
      <c r="BM22" s="356">
        <f t="shared" ca="1" si="13"/>
        <v>0</v>
      </c>
      <c r="BN22" s="356">
        <f t="shared" ca="1" si="13"/>
        <v>0</v>
      </c>
    </row>
    <row r="23" spans="1:68">
      <c r="A23" s="221" t="str">
        <f t="shared" ca="1" si="0"/>
        <v>WP001</v>
      </c>
      <c r="B23" s="221" t="str">
        <f t="shared" ca="1" si="1"/>
        <v>WP001</v>
      </c>
      <c r="C23" s="221">
        <v>6</v>
      </c>
      <c r="D23" s="221" t="s">
        <v>98</v>
      </c>
      <c r="J23" s="222" t="s">
        <v>96</v>
      </c>
      <c r="K23" s="221" t="s">
        <v>99</v>
      </c>
      <c r="M23" s="221" t="s">
        <v>46</v>
      </c>
      <c r="N23" s="461"/>
      <c r="O23" s="251"/>
      <c r="P23" s="456" t="s">
        <v>100</v>
      </c>
      <c r="Q23" s="456"/>
      <c r="R23" s="357"/>
      <c r="S23" s="358"/>
      <c r="T23" s="359">
        <f t="shared" ca="1" si="14"/>
        <v>0</v>
      </c>
      <c r="U23" s="360">
        <f t="shared" ca="1" si="2"/>
        <v>0</v>
      </c>
      <c r="V23" s="357"/>
      <c r="W23" s="358"/>
      <c r="X23" s="359">
        <f t="shared" ca="1" si="15"/>
        <v>0</v>
      </c>
      <c r="Y23" s="360">
        <f t="shared" ca="1" si="3"/>
        <v>0</v>
      </c>
      <c r="Z23" s="357"/>
      <c r="AA23" s="358"/>
      <c r="AB23" s="359">
        <f t="shared" ca="1" si="16"/>
        <v>0</v>
      </c>
      <c r="AC23" s="360">
        <f t="shared" ca="1" si="4"/>
        <v>0</v>
      </c>
      <c r="AD23" s="357"/>
      <c r="AE23" s="358"/>
      <c r="AF23" s="359">
        <f t="shared" ca="1" si="17"/>
        <v>0</v>
      </c>
      <c r="AG23" s="360">
        <f t="shared" ca="1" si="5"/>
        <v>0</v>
      </c>
      <c r="AH23" s="357"/>
      <c r="AI23" s="358"/>
      <c r="AJ23" s="359">
        <f t="shared" ca="1" si="18"/>
        <v>0</v>
      </c>
      <c r="AK23" s="360">
        <f t="shared" ca="1" si="6"/>
        <v>0</v>
      </c>
      <c r="AL23" s="357"/>
      <c r="AM23" s="358"/>
      <c r="AN23" s="359">
        <f t="shared" ca="1" si="19"/>
        <v>0</v>
      </c>
      <c r="AO23" s="360">
        <f t="shared" ca="1" si="7"/>
        <v>0</v>
      </c>
      <c r="AP23" s="357"/>
      <c r="AQ23" s="358"/>
      <c r="AR23" s="359">
        <f t="shared" ca="1" si="20"/>
        <v>0</v>
      </c>
      <c r="AS23" s="360">
        <f t="shared" ca="1" si="8"/>
        <v>0</v>
      </c>
      <c r="AT23" s="357"/>
      <c r="AU23" s="358"/>
      <c r="AV23" s="359">
        <f t="shared" ca="1" si="21"/>
        <v>0</v>
      </c>
      <c r="AW23" s="360">
        <f t="shared" ca="1" si="9"/>
        <v>0</v>
      </c>
      <c r="AX23" s="357"/>
      <c r="AY23" s="358"/>
      <c r="AZ23" s="359">
        <f t="shared" ca="1" si="22"/>
        <v>0</v>
      </c>
      <c r="BA23" s="360">
        <f t="shared" ca="1" si="10"/>
        <v>0</v>
      </c>
      <c r="BB23" s="357"/>
      <c r="BC23" s="358"/>
      <c r="BD23" s="359">
        <f t="shared" ca="1" si="23"/>
        <v>0</v>
      </c>
      <c r="BE23" s="360">
        <f t="shared" ca="1" si="11"/>
        <v>0</v>
      </c>
      <c r="BF23" s="357"/>
      <c r="BG23" s="358"/>
      <c r="BH23" s="359">
        <f t="shared" ca="1" si="24"/>
        <v>0</v>
      </c>
      <c r="BI23" s="360">
        <f t="shared" ca="1" si="12"/>
        <v>0</v>
      </c>
      <c r="BJ23" s="357"/>
      <c r="BK23" s="358"/>
      <c r="BL23" s="359">
        <f t="shared" ca="1" si="25"/>
        <v>0</v>
      </c>
      <c r="BM23" s="360">
        <f t="shared" ca="1" si="13"/>
        <v>0</v>
      </c>
      <c r="BN23" s="360">
        <f t="shared" ca="1" si="13"/>
        <v>0</v>
      </c>
    </row>
    <row r="24" spans="1:68">
      <c r="A24" s="221" t="str">
        <f t="shared" ca="1" si="0"/>
        <v>WP001</v>
      </c>
      <c r="B24" s="221" t="str">
        <f t="shared" ca="1" si="1"/>
        <v>WP001</v>
      </c>
      <c r="C24" s="221">
        <v>7</v>
      </c>
      <c r="D24" s="221" t="s">
        <v>101</v>
      </c>
      <c r="L24" s="221" t="s">
        <v>99</v>
      </c>
      <c r="M24" s="221" t="s">
        <v>80</v>
      </c>
      <c r="N24" s="461"/>
      <c r="O24" s="252"/>
      <c r="P24" s="253"/>
      <c r="Q24" s="254" t="s">
        <v>102</v>
      </c>
      <c r="R24" s="361">
        <f t="shared" ref="R24:S27" ca="1" si="38">INDIRECT("'"&amp; MID(OFFSET(R24,ROW(R$3)-ROW(R24),IF(OFFSET(R24,ROW(R$2)-ROW(R24),2)="T",0,IF(OFFSET(R24,ROW(R$2)-ROW(R24),1)="T",-1,-2))),1,6) &amp; "'!" &amp; ADDRESS(ROW(R24),MATCH(INDIRECT(ADDRESS(2,COLUMN(R24)+IF(OFFSET(R24,ROW(R$2)-ROW(R24),2)="T",1,IF(OFFSET(R24,ROW(R$2)-ROW(R24),1)="T",0,-1))),TRUE),INDIRECT("'"&amp; MID(OFFSET(R24,ROW(R$3)-ROW(R24),IF(OFFSET(R24,ROW(R$2)-ROW(R24),2)="T",0,IF(OFFSET(R24,ROW(R$2)-ROW(R24),1)="T",-1,-2))),1,6) &amp; "'!2:2",TRUE),0)-IF(OFFSET(R24,ROW(R$2)-ROW(R24),2)="T",1,IF(OFFSET(R24,ROW(R$2)-ROW(R24),1)="T",0,-1))),TRUE)</f>
        <v>0</v>
      </c>
      <c r="S24" s="362">
        <f t="shared" ca="1" si="38"/>
        <v>0</v>
      </c>
      <c r="T24" s="363">
        <f t="shared" ca="1" si="14"/>
        <v>0</v>
      </c>
      <c r="U24" s="360">
        <f t="shared" ca="1" si="2"/>
        <v>0</v>
      </c>
      <c r="V24" s="361">
        <f t="shared" ref="V24:W27" ca="1" si="39">INDIRECT("'"&amp; MID(OFFSET(V24,ROW(V$3)-ROW(V24),IF(OFFSET(V24,ROW(V$2)-ROW(V24),2)="T",0,IF(OFFSET(V24,ROW(V$2)-ROW(V24),1)="T",-1,-2))),1,6) &amp; "'!" &amp; ADDRESS(ROW(V24),MATCH(INDIRECT(ADDRESS(2,COLUMN(V24)+IF(OFFSET(V24,ROW(V$2)-ROW(V24),2)="T",1,IF(OFFSET(V24,ROW(V$2)-ROW(V24),1)="T",0,-1))),TRUE),INDIRECT("'"&amp; MID(OFFSET(V24,ROW(V$3)-ROW(V24),IF(OFFSET(V24,ROW(V$2)-ROW(V24),2)="T",0,IF(OFFSET(V24,ROW(V$2)-ROW(V24),1)="T",-1,-2))),1,6) &amp; "'!2:2",TRUE),0)-IF(OFFSET(V24,ROW(V$2)-ROW(V24),2)="T",1,IF(OFFSET(V24,ROW(V$2)-ROW(V24),1)="T",0,-1))),TRUE)</f>
        <v>0</v>
      </c>
      <c r="W24" s="362">
        <f t="shared" ca="1" si="39"/>
        <v>0</v>
      </c>
      <c r="X24" s="363">
        <f t="shared" ca="1" si="15"/>
        <v>0</v>
      </c>
      <c r="Y24" s="360">
        <f t="shared" ca="1" si="3"/>
        <v>0</v>
      </c>
      <c r="Z24" s="361">
        <f t="shared" ref="Z24:AA27" ca="1" si="40">INDIRECT("'"&amp; MID(OFFSET(Z24,ROW(Z$3)-ROW(Z24),IF(OFFSET(Z24,ROW(Z$2)-ROW(Z24),2)="T",0,IF(OFFSET(Z24,ROW(Z$2)-ROW(Z24),1)="T",-1,-2))),1,6) &amp; "'!" &amp; ADDRESS(ROW(Z24),MATCH(INDIRECT(ADDRESS(2,COLUMN(Z24)+IF(OFFSET(Z24,ROW(Z$2)-ROW(Z24),2)="T",1,IF(OFFSET(Z24,ROW(Z$2)-ROW(Z24),1)="T",0,-1))),TRUE),INDIRECT("'"&amp; MID(OFFSET(Z24,ROW(Z$3)-ROW(Z24),IF(OFFSET(Z24,ROW(Z$2)-ROW(Z24),2)="T",0,IF(OFFSET(Z24,ROW(Z$2)-ROW(Z24),1)="T",-1,-2))),1,6) &amp; "'!2:2",TRUE),0)-IF(OFFSET(Z24,ROW(Z$2)-ROW(Z24),2)="T",1,IF(OFFSET(Z24,ROW(Z$2)-ROW(Z24),1)="T",0,-1))),TRUE)</f>
        <v>0</v>
      </c>
      <c r="AA24" s="362">
        <f t="shared" ca="1" si="40"/>
        <v>0</v>
      </c>
      <c r="AB24" s="363">
        <f t="shared" ca="1" si="16"/>
        <v>0</v>
      </c>
      <c r="AC24" s="360">
        <f t="shared" ca="1" si="4"/>
        <v>0</v>
      </c>
      <c r="AD24" s="361">
        <f t="shared" ref="AD24:AE27" ca="1" si="41">INDIRECT("'"&amp; MID(OFFSET(AD24,ROW(AD$3)-ROW(AD24),IF(OFFSET(AD24,ROW(AD$2)-ROW(AD24),2)="T",0,IF(OFFSET(AD24,ROW(AD$2)-ROW(AD24),1)="T",-1,-2))),1,6) &amp; "'!" &amp; ADDRESS(ROW(AD24),MATCH(INDIRECT(ADDRESS(2,COLUMN(AD24)+IF(OFFSET(AD24,ROW(AD$2)-ROW(AD24),2)="T",1,IF(OFFSET(AD24,ROW(AD$2)-ROW(AD24),1)="T",0,-1))),TRUE),INDIRECT("'"&amp; MID(OFFSET(AD24,ROW(AD$3)-ROW(AD24),IF(OFFSET(AD24,ROW(AD$2)-ROW(AD24),2)="T",0,IF(OFFSET(AD24,ROW(AD$2)-ROW(AD24),1)="T",-1,-2))),1,6) &amp; "'!2:2",TRUE),0)-IF(OFFSET(AD24,ROW(AD$2)-ROW(AD24),2)="T",1,IF(OFFSET(AD24,ROW(AD$2)-ROW(AD24),1)="T",0,-1))),TRUE)</f>
        <v>0</v>
      </c>
      <c r="AE24" s="362">
        <f t="shared" ca="1" si="41"/>
        <v>0</v>
      </c>
      <c r="AF24" s="363">
        <f t="shared" ca="1" si="17"/>
        <v>0</v>
      </c>
      <c r="AG24" s="360">
        <f t="shared" ca="1" si="5"/>
        <v>0</v>
      </c>
      <c r="AH24" s="361">
        <f t="shared" ref="AH24:AI27" ca="1" si="42">INDIRECT("'"&amp; MID(OFFSET(AH24,ROW(AH$3)-ROW(AH24),IF(OFFSET(AH24,ROW(AH$2)-ROW(AH24),2)="T",0,IF(OFFSET(AH24,ROW(AH$2)-ROW(AH24),1)="T",-1,-2))),1,6) &amp; "'!" &amp; ADDRESS(ROW(AH24),MATCH(INDIRECT(ADDRESS(2,COLUMN(AH24)+IF(OFFSET(AH24,ROW(AH$2)-ROW(AH24),2)="T",1,IF(OFFSET(AH24,ROW(AH$2)-ROW(AH24),1)="T",0,-1))),TRUE),INDIRECT("'"&amp; MID(OFFSET(AH24,ROW(AH$3)-ROW(AH24),IF(OFFSET(AH24,ROW(AH$2)-ROW(AH24),2)="T",0,IF(OFFSET(AH24,ROW(AH$2)-ROW(AH24),1)="T",-1,-2))),1,6) &amp; "'!2:2",TRUE),0)-IF(OFFSET(AH24,ROW(AH$2)-ROW(AH24),2)="T",1,IF(OFFSET(AH24,ROW(AH$2)-ROW(AH24),1)="T",0,-1))),TRUE)</f>
        <v>0</v>
      </c>
      <c r="AI24" s="362">
        <f t="shared" ca="1" si="42"/>
        <v>0</v>
      </c>
      <c r="AJ24" s="363">
        <f t="shared" ca="1" si="18"/>
        <v>0</v>
      </c>
      <c r="AK24" s="360">
        <f t="shared" ca="1" si="6"/>
        <v>0</v>
      </c>
      <c r="AL24" s="361">
        <f t="shared" ref="AL24:AM27" ca="1" si="43">INDIRECT("'"&amp; MID(OFFSET(AL24,ROW(AL$3)-ROW(AL24),IF(OFFSET(AL24,ROW(AL$2)-ROW(AL24),2)="T",0,IF(OFFSET(AL24,ROW(AL$2)-ROW(AL24),1)="T",-1,-2))),1,6) &amp; "'!" &amp; ADDRESS(ROW(AL24),MATCH(INDIRECT(ADDRESS(2,COLUMN(AL24)+IF(OFFSET(AL24,ROW(AL$2)-ROW(AL24),2)="T",1,IF(OFFSET(AL24,ROW(AL$2)-ROW(AL24),1)="T",0,-1))),TRUE),INDIRECT("'"&amp; MID(OFFSET(AL24,ROW(AL$3)-ROW(AL24),IF(OFFSET(AL24,ROW(AL$2)-ROW(AL24),2)="T",0,IF(OFFSET(AL24,ROW(AL$2)-ROW(AL24),1)="T",-1,-2))),1,6) &amp; "'!2:2",TRUE),0)-IF(OFFSET(AL24,ROW(AL$2)-ROW(AL24),2)="T",1,IF(OFFSET(AL24,ROW(AL$2)-ROW(AL24),1)="T",0,-1))),TRUE)</f>
        <v>0</v>
      </c>
      <c r="AM24" s="362">
        <f t="shared" ca="1" si="43"/>
        <v>0</v>
      </c>
      <c r="AN24" s="363">
        <f t="shared" ca="1" si="19"/>
        <v>0</v>
      </c>
      <c r="AO24" s="360">
        <f t="shared" ca="1" si="7"/>
        <v>0</v>
      </c>
      <c r="AP24" s="361">
        <f t="shared" ref="AP24:AQ27" ca="1" si="44">INDIRECT("'"&amp; MID(OFFSET(AP24,ROW(AP$3)-ROW(AP24),IF(OFFSET(AP24,ROW(AP$2)-ROW(AP24),2)="T",0,IF(OFFSET(AP24,ROW(AP$2)-ROW(AP24),1)="T",-1,-2))),1,6) &amp; "'!" &amp; ADDRESS(ROW(AP24),MATCH(INDIRECT(ADDRESS(2,COLUMN(AP24)+IF(OFFSET(AP24,ROW(AP$2)-ROW(AP24),2)="T",1,IF(OFFSET(AP24,ROW(AP$2)-ROW(AP24),1)="T",0,-1))),TRUE),INDIRECT("'"&amp; MID(OFFSET(AP24,ROW(AP$3)-ROW(AP24),IF(OFFSET(AP24,ROW(AP$2)-ROW(AP24),2)="T",0,IF(OFFSET(AP24,ROW(AP$2)-ROW(AP24),1)="T",-1,-2))),1,6) &amp; "'!2:2",TRUE),0)-IF(OFFSET(AP24,ROW(AP$2)-ROW(AP24),2)="T",1,IF(OFFSET(AP24,ROW(AP$2)-ROW(AP24),1)="T",0,-1))),TRUE)</f>
        <v>0</v>
      </c>
      <c r="AQ24" s="362">
        <f t="shared" ca="1" si="44"/>
        <v>0</v>
      </c>
      <c r="AR24" s="363">
        <f t="shared" ca="1" si="20"/>
        <v>0</v>
      </c>
      <c r="AS24" s="360">
        <f t="shared" ca="1" si="8"/>
        <v>0</v>
      </c>
      <c r="AT24" s="361">
        <f t="shared" ref="AT24:AU27" ca="1" si="45">INDIRECT("'"&amp; MID(OFFSET(AT24,ROW(AT$3)-ROW(AT24),IF(OFFSET(AT24,ROW(AT$2)-ROW(AT24),2)="T",0,IF(OFFSET(AT24,ROW(AT$2)-ROW(AT24),1)="T",-1,-2))),1,6) &amp; "'!" &amp; ADDRESS(ROW(AT24),MATCH(INDIRECT(ADDRESS(2,COLUMN(AT24)+IF(OFFSET(AT24,ROW(AT$2)-ROW(AT24),2)="T",1,IF(OFFSET(AT24,ROW(AT$2)-ROW(AT24),1)="T",0,-1))),TRUE),INDIRECT("'"&amp; MID(OFFSET(AT24,ROW(AT$3)-ROW(AT24),IF(OFFSET(AT24,ROW(AT$2)-ROW(AT24),2)="T",0,IF(OFFSET(AT24,ROW(AT$2)-ROW(AT24),1)="T",-1,-2))),1,6) &amp; "'!2:2",TRUE),0)-IF(OFFSET(AT24,ROW(AT$2)-ROW(AT24),2)="T",1,IF(OFFSET(AT24,ROW(AT$2)-ROW(AT24),1)="T",0,-1))),TRUE)</f>
        <v>0</v>
      </c>
      <c r="AU24" s="362">
        <f t="shared" ca="1" si="45"/>
        <v>0</v>
      </c>
      <c r="AV24" s="363">
        <f t="shared" ca="1" si="21"/>
        <v>0</v>
      </c>
      <c r="AW24" s="360">
        <f t="shared" ca="1" si="9"/>
        <v>0</v>
      </c>
      <c r="AX24" s="361">
        <f t="shared" ref="AX24:AY27" ca="1" si="46">INDIRECT("'"&amp; MID(OFFSET(AX24,ROW(AX$3)-ROW(AX24),IF(OFFSET(AX24,ROW(AX$2)-ROW(AX24),2)="T",0,IF(OFFSET(AX24,ROW(AX$2)-ROW(AX24),1)="T",-1,-2))),1,6) &amp; "'!" &amp; ADDRESS(ROW(AX24),MATCH(INDIRECT(ADDRESS(2,COLUMN(AX24)+IF(OFFSET(AX24,ROW(AX$2)-ROW(AX24),2)="T",1,IF(OFFSET(AX24,ROW(AX$2)-ROW(AX24),1)="T",0,-1))),TRUE),INDIRECT("'"&amp; MID(OFFSET(AX24,ROW(AX$3)-ROW(AX24),IF(OFFSET(AX24,ROW(AX$2)-ROW(AX24),2)="T",0,IF(OFFSET(AX24,ROW(AX$2)-ROW(AX24),1)="T",-1,-2))),1,6) &amp; "'!2:2",TRUE),0)-IF(OFFSET(AX24,ROW(AX$2)-ROW(AX24),2)="T",1,IF(OFFSET(AX24,ROW(AX$2)-ROW(AX24),1)="T",0,-1))),TRUE)</f>
        <v>0</v>
      </c>
      <c r="AY24" s="362">
        <f t="shared" ca="1" si="46"/>
        <v>0</v>
      </c>
      <c r="AZ24" s="363">
        <f t="shared" ca="1" si="22"/>
        <v>0</v>
      </c>
      <c r="BA24" s="360">
        <f t="shared" ca="1" si="10"/>
        <v>0</v>
      </c>
      <c r="BB24" s="361">
        <f t="shared" ref="BB24:BC27" ca="1" si="47">INDIRECT("'"&amp; MID(OFFSET(BB24,ROW(BB$3)-ROW(BB24),IF(OFFSET(BB24,ROW(BB$2)-ROW(BB24),2)="T",0,IF(OFFSET(BB24,ROW(BB$2)-ROW(BB24),1)="T",-1,-2))),1,6) &amp; "'!" &amp; ADDRESS(ROW(BB24),MATCH(INDIRECT(ADDRESS(2,COLUMN(BB24)+IF(OFFSET(BB24,ROW(BB$2)-ROW(BB24),2)="T",1,IF(OFFSET(BB24,ROW(BB$2)-ROW(BB24),1)="T",0,-1))),TRUE),INDIRECT("'"&amp; MID(OFFSET(BB24,ROW(BB$3)-ROW(BB24),IF(OFFSET(BB24,ROW(BB$2)-ROW(BB24),2)="T",0,IF(OFFSET(BB24,ROW(BB$2)-ROW(BB24),1)="T",-1,-2))),1,6) &amp; "'!2:2",TRUE),0)-IF(OFFSET(BB24,ROW(BB$2)-ROW(BB24),2)="T",1,IF(OFFSET(BB24,ROW(BB$2)-ROW(BB24),1)="T",0,-1))),TRUE)</f>
        <v>0</v>
      </c>
      <c r="BC24" s="362">
        <f t="shared" ca="1" si="47"/>
        <v>0</v>
      </c>
      <c r="BD24" s="363">
        <f t="shared" ca="1" si="23"/>
        <v>0</v>
      </c>
      <c r="BE24" s="360">
        <f t="shared" ca="1" si="11"/>
        <v>0</v>
      </c>
      <c r="BF24" s="361">
        <f t="shared" ref="BF24:BG27" ca="1" si="48">INDIRECT("'"&amp; MID(OFFSET(BF24,ROW(BF$3)-ROW(BF24),IF(OFFSET(BF24,ROW(BF$2)-ROW(BF24),2)="T",0,IF(OFFSET(BF24,ROW(BF$2)-ROW(BF24),1)="T",-1,-2))),1,6) &amp; "'!" &amp; ADDRESS(ROW(BF24),MATCH(INDIRECT(ADDRESS(2,COLUMN(BF24)+IF(OFFSET(BF24,ROW(BF$2)-ROW(BF24),2)="T",1,IF(OFFSET(BF24,ROW(BF$2)-ROW(BF24),1)="T",0,-1))),TRUE),INDIRECT("'"&amp; MID(OFFSET(BF24,ROW(BF$3)-ROW(BF24),IF(OFFSET(BF24,ROW(BF$2)-ROW(BF24),2)="T",0,IF(OFFSET(BF24,ROW(BF$2)-ROW(BF24),1)="T",-1,-2))),1,6) &amp; "'!2:2",TRUE),0)-IF(OFFSET(BF24,ROW(BF$2)-ROW(BF24),2)="T",1,IF(OFFSET(BF24,ROW(BF$2)-ROW(BF24),1)="T",0,-1))),TRUE)</f>
        <v>0</v>
      </c>
      <c r="BG24" s="362">
        <f t="shared" ca="1" si="48"/>
        <v>0</v>
      </c>
      <c r="BH24" s="363">
        <f t="shared" ca="1" si="24"/>
        <v>0</v>
      </c>
      <c r="BI24" s="360">
        <f t="shared" ca="1" si="12"/>
        <v>0</v>
      </c>
      <c r="BJ24" s="361">
        <f t="shared" ref="BJ24:BK27" ca="1" si="49">INDIRECT("'"&amp; MID(OFFSET(BJ24,ROW(BJ$3)-ROW(BJ24),IF(OFFSET(BJ24,ROW(BJ$2)-ROW(BJ24),2)="T",0,IF(OFFSET(BJ24,ROW(BJ$2)-ROW(BJ24),1)="T",-1,-2))),1,6) &amp; "'!" &amp; ADDRESS(ROW(BJ24),MATCH(INDIRECT(ADDRESS(2,COLUMN(BJ24)+IF(OFFSET(BJ24,ROW(BJ$2)-ROW(BJ24),2)="T",1,IF(OFFSET(BJ24,ROW(BJ$2)-ROW(BJ24),1)="T",0,-1))),TRUE),INDIRECT("'"&amp; MID(OFFSET(BJ24,ROW(BJ$3)-ROW(BJ24),IF(OFFSET(BJ24,ROW(BJ$2)-ROW(BJ24),2)="T",0,IF(OFFSET(BJ24,ROW(BJ$2)-ROW(BJ24),1)="T",-1,-2))),1,6) &amp; "'!2:2",TRUE),0)-IF(OFFSET(BJ24,ROW(BJ$2)-ROW(BJ24),2)="T",1,IF(OFFSET(BJ24,ROW(BJ$2)-ROW(BJ24),1)="T",0,-1))),TRUE)</f>
        <v>0</v>
      </c>
      <c r="BK24" s="362">
        <f t="shared" ca="1" si="49"/>
        <v>0</v>
      </c>
      <c r="BL24" s="363">
        <f t="shared" ca="1" si="25"/>
        <v>0</v>
      </c>
      <c r="BM24" s="360">
        <f t="shared" ca="1" si="13"/>
        <v>0</v>
      </c>
      <c r="BN24" s="360">
        <f t="shared" ca="1" si="13"/>
        <v>0</v>
      </c>
    </row>
    <row r="25" spans="1:68">
      <c r="A25" s="221" t="str">
        <f t="shared" ca="1" si="0"/>
        <v>WP001</v>
      </c>
      <c r="B25" s="221" t="str">
        <f t="shared" ca="1" si="1"/>
        <v>WP001</v>
      </c>
      <c r="C25" s="221">
        <v>7</v>
      </c>
      <c r="D25" s="221" t="s">
        <v>103</v>
      </c>
      <c r="L25" s="221" t="s">
        <v>99</v>
      </c>
      <c r="M25" s="221" t="s">
        <v>80</v>
      </c>
      <c r="N25" s="461"/>
      <c r="O25" s="252"/>
      <c r="P25" s="253"/>
      <c r="Q25" s="254" t="s">
        <v>104</v>
      </c>
      <c r="R25" s="361">
        <f t="shared" ca="1" si="38"/>
        <v>0</v>
      </c>
      <c r="S25" s="362">
        <f t="shared" ca="1" si="38"/>
        <v>0</v>
      </c>
      <c r="T25" s="363">
        <f t="shared" ca="1" si="14"/>
        <v>0</v>
      </c>
      <c r="U25" s="360">
        <f t="shared" ca="1" si="2"/>
        <v>0</v>
      </c>
      <c r="V25" s="361">
        <f t="shared" ca="1" si="39"/>
        <v>0</v>
      </c>
      <c r="W25" s="362">
        <f t="shared" ca="1" si="39"/>
        <v>0</v>
      </c>
      <c r="X25" s="363">
        <f t="shared" ca="1" si="15"/>
        <v>0</v>
      </c>
      <c r="Y25" s="360">
        <f t="shared" ca="1" si="3"/>
        <v>0</v>
      </c>
      <c r="Z25" s="361">
        <f t="shared" ca="1" si="40"/>
        <v>0</v>
      </c>
      <c r="AA25" s="362">
        <f t="shared" ca="1" si="40"/>
        <v>0</v>
      </c>
      <c r="AB25" s="363">
        <f t="shared" ca="1" si="16"/>
        <v>0</v>
      </c>
      <c r="AC25" s="360">
        <f t="shared" ca="1" si="4"/>
        <v>0</v>
      </c>
      <c r="AD25" s="361">
        <f t="shared" ca="1" si="41"/>
        <v>0</v>
      </c>
      <c r="AE25" s="362">
        <f t="shared" ca="1" si="41"/>
        <v>0</v>
      </c>
      <c r="AF25" s="363">
        <f t="shared" ca="1" si="17"/>
        <v>0</v>
      </c>
      <c r="AG25" s="360">
        <f t="shared" ca="1" si="5"/>
        <v>0</v>
      </c>
      <c r="AH25" s="361">
        <f t="shared" ca="1" si="42"/>
        <v>0</v>
      </c>
      <c r="AI25" s="362">
        <f t="shared" ca="1" si="42"/>
        <v>0</v>
      </c>
      <c r="AJ25" s="363">
        <f t="shared" ca="1" si="18"/>
        <v>0</v>
      </c>
      <c r="AK25" s="360">
        <f t="shared" ca="1" si="6"/>
        <v>0</v>
      </c>
      <c r="AL25" s="361">
        <f t="shared" ca="1" si="43"/>
        <v>0</v>
      </c>
      <c r="AM25" s="362">
        <f t="shared" ca="1" si="43"/>
        <v>0</v>
      </c>
      <c r="AN25" s="363">
        <f t="shared" ca="1" si="19"/>
        <v>0</v>
      </c>
      <c r="AO25" s="360">
        <f t="shared" ca="1" si="7"/>
        <v>0</v>
      </c>
      <c r="AP25" s="361">
        <f t="shared" ca="1" si="44"/>
        <v>0</v>
      </c>
      <c r="AQ25" s="362">
        <f t="shared" ca="1" si="44"/>
        <v>0</v>
      </c>
      <c r="AR25" s="363">
        <f t="shared" ca="1" si="20"/>
        <v>0</v>
      </c>
      <c r="AS25" s="360">
        <f t="shared" ca="1" si="8"/>
        <v>0</v>
      </c>
      <c r="AT25" s="361">
        <f t="shared" ca="1" si="45"/>
        <v>0</v>
      </c>
      <c r="AU25" s="362">
        <f t="shared" ca="1" si="45"/>
        <v>0</v>
      </c>
      <c r="AV25" s="363">
        <f t="shared" ca="1" si="21"/>
        <v>0</v>
      </c>
      <c r="AW25" s="360">
        <f t="shared" ca="1" si="9"/>
        <v>0</v>
      </c>
      <c r="AX25" s="361">
        <f t="shared" ca="1" si="46"/>
        <v>0</v>
      </c>
      <c r="AY25" s="362">
        <f t="shared" ca="1" si="46"/>
        <v>0</v>
      </c>
      <c r="AZ25" s="363">
        <f t="shared" ca="1" si="22"/>
        <v>0</v>
      </c>
      <c r="BA25" s="360">
        <f t="shared" ca="1" si="10"/>
        <v>0</v>
      </c>
      <c r="BB25" s="361">
        <f t="shared" ca="1" si="47"/>
        <v>0</v>
      </c>
      <c r="BC25" s="362">
        <f t="shared" ca="1" si="47"/>
        <v>0</v>
      </c>
      <c r="BD25" s="363">
        <f t="shared" ca="1" si="23"/>
        <v>0</v>
      </c>
      <c r="BE25" s="360">
        <f t="shared" ca="1" si="11"/>
        <v>0</v>
      </c>
      <c r="BF25" s="361">
        <f t="shared" ca="1" si="48"/>
        <v>0</v>
      </c>
      <c r="BG25" s="362">
        <f t="shared" ca="1" si="48"/>
        <v>0</v>
      </c>
      <c r="BH25" s="363">
        <f t="shared" ca="1" si="24"/>
        <v>0</v>
      </c>
      <c r="BI25" s="360">
        <f t="shared" ca="1" si="12"/>
        <v>0</v>
      </c>
      <c r="BJ25" s="361">
        <f t="shared" ca="1" si="49"/>
        <v>0</v>
      </c>
      <c r="BK25" s="362">
        <f t="shared" ca="1" si="49"/>
        <v>0</v>
      </c>
      <c r="BL25" s="363">
        <f t="shared" ca="1" si="25"/>
        <v>0</v>
      </c>
      <c r="BM25" s="360">
        <f t="shared" ca="1" si="13"/>
        <v>0</v>
      </c>
      <c r="BN25" s="360">
        <f t="shared" ca="1" si="13"/>
        <v>0</v>
      </c>
    </row>
    <row r="26" spans="1:68">
      <c r="A26" s="221" t="str">
        <f t="shared" ca="1" si="0"/>
        <v>WP001</v>
      </c>
      <c r="B26" s="221" t="str">
        <f t="shared" ca="1" si="1"/>
        <v>WP001</v>
      </c>
      <c r="C26" s="221">
        <v>7</v>
      </c>
      <c r="D26" s="221" t="s">
        <v>105</v>
      </c>
      <c r="L26" s="221" t="s">
        <v>99</v>
      </c>
      <c r="M26" s="221" t="s">
        <v>80</v>
      </c>
      <c r="N26" s="461"/>
      <c r="O26" s="252"/>
      <c r="P26" s="253"/>
      <c r="Q26" s="254" t="s">
        <v>106</v>
      </c>
      <c r="R26" s="361">
        <f t="shared" ca="1" si="38"/>
        <v>0</v>
      </c>
      <c r="S26" s="362">
        <f t="shared" ca="1" si="38"/>
        <v>0</v>
      </c>
      <c r="T26" s="363">
        <f t="shared" ca="1" si="14"/>
        <v>0</v>
      </c>
      <c r="U26" s="360">
        <f t="shared" ca="1" si="2"/>
        <v>0</v>
      </c>
      <c r="V26" s="361">
        <f t="shared" ca="1" si="39"/>
        <v>0</v>
      </c>
      <c r="W26" s="362">
        <f t="shared" ca="1" si="39"/>
        <v>0</v>
      </c>
      <c r="X26" s="363">
        <f t="shared" ca="1" si="15"/>
        <v>0</v>
      </c>
      <c r="Y26" s="360">
        <f t="shared" ca="1" si="3"/>
        <v>0</v>
      </c>
      <c r="Z26" s="361">
        <f t="shared" ca="1" si="40"/>
        <v>0</v>
      </c>
      <c r="AA26" s="362">
        <f t="shared" ca="1" si="40"/>
        <v>0</v>
      </c>
      <c r="AB26" s="363">
        <f t="shared" ca="1" si="16"/>
        <v>0</v>
      </c>
      <c r="AC26" s="360">
        <f t="shared" ca="1" si="4"/>
        <v>0</v>
      </c>
      <c r="AD26" s="361">
        <f t="shared" ca="1" si="41"/>
        <v>0</v>
      </c>
      <c r="AE26" s="362">
        <f t="shared" ca="1" si="41"/>
        <v>0</v>
      </c>
      <c r="AF26" s="363">
        <f t="shared" ca="1" si="17"/>
        <v>0</v>
      </c>
      <c r="AG26" s="360">
        <f t="shared" ca="1" si="5"/>
        <v>0</v>
      </c>
      <c r="AH26" s="361">
        <f t="shared" ca="1" si="42"/>
        <v>0</v>
      </c>
      <c r="AI26" s="362">
        <f t="shared" ca="1" si="42"/>
        <v>0</v>
      </c>
      <c r="AJ26" s="363">
        <f t="shared" ca="1" si="18"/>
        <v>0</v>
      </c>
      <c r="AK26" s="360">
        <f t="shared" ca="1" si="6"/>
        <v>0</v>
      </c>
      <c r="AL26" s="361">
        <f t="shared" ca="1" si="43"/>
        <v>0</v>
      </c>
      <c r="AM26" s="362">
        <f t="shared" ca="1" si="43"/>
        <v>0</v>
      </c>
      <c r="AN26" s="363">
        <f t="shared" ca="1" si="19"/>
        <v>0</v>
      </c>
      <c r="AO26" s="360">
        <f t="shared" ca="1" si="7"/>
        <v>0</v>
      </c>
      <c r="AP26" s="361">
        <f t="shared" ca="1" si="44"/>
        <v>0</v>
      </c>
      <c r="AQ26" s="362">
        <f t="shared" ca="1" si="44"/>
        <v>0</v>
      </c>
      <c r="AR26" s="363">
        <f t="shared" ca="1" si="20"/>
        <v>0</v>
      </c>
      <c r="AS26" s="360">
        <f t="shared" ca="1" si="8"/>
        <v>0</v>
      </c>
      <c r="AT26" s="361">
        <f t="shared" ca="1" si="45"/>
        <v>0</v>
      </c>
      <c r="AU26" s="362">
        <f t="shared" ca="1" si="45"/>
        <v>0</v>
      </c>
      <c r="AV26" s="363">
        <f t="shared" ca="1" si="21"/>
        <v>0</v>
      </c>
      <c r="AW26" s="360">
        <f t="shared" ca="1" si="9"/>
        <v>0</v>
      </c>
      <c r="AX26" s="361">
        <f t="shared" ca="1" si="46"/>
        <v>0</v>
      </c>
      <c r="AY26" s="362">
        <f t="shared" ca="1" si="46"/>
        <v>0</v>
      </c>
      <c r="AZ26" s="363">
        <f t="shared" ca="1" si="22"/>
        <v>0</v>
      </c>
      <c r="BA26" s="360">
        <f t="shared" ca="1" si="10"/>
        <v>0</v>
      </c>
      <c r="BB26" s="361">
        <f t="shared" ca="1" si="47"/>
        <v>0</v>
      </c>
      <c r="BC26" s="362">
        <f t="shared" ca="1" si="47"/>
        <v>0</v>
      </c>
      <c r="BD26" s="363">
        <f t="shared" ca="1" si="23"/>
        <v>0</v>
      </c>
      <c r="BE26" s="360">
        <f t="shared" ca="1" si="11"/>
        <v>0</v>
      </c>
      <c r="BF26" s="361">
        <f t="shared" ca="1" si="48"/>
        <v>0</v>
      </c>
      <c r="BG26" s="362">
        <f t="shared" ca="1" si="48"/>
        <v>0</v>
      </c>
      <c r="BH26" s="363">
        <f t="shared" ca="1" si="24"/>
        <v>0</v>
      </c>
      <c r="BI26" s="360">
        <f t="shared" ca="1" si="12"/>
        <v>0</v>
      </c>
      <c r="BJ26" s="361">
        <f t="shared" ca="1" si="49"/>
        <v>0</v>
      </c>
      <c r="BK26" s="362">
        <f t="shared" ca="1" si="49"/>
        <v>0</v>
      </c>
      <c r="BL26" s="363">
        <f t="shared" ca="1" si="25"/>
        <v>0</v>
      </c>
      <c r="BM26" s="360">
        <f t="shared" ca="1" si="13"/>
        <v>0</v>
      </c>
      <c r="BN26" s="360">
        <f t="shared" ca="1" si="13"/>
        <v>0</v>
      </c>
    </row>
    <row r="27" spans="1:68">
      <c r="A27" s="221" t="str">
        <f t="shared" ca="1" si="0"/>
        <v>WP001</v>
      </c>
      <c r="B27" s="221" t="str">
        <f t="shared" ca="1" si="1"/>
        <v>WP001</v>
      </c>
      <c r="C27" s="221">
        <v>5</v>
      </c>
      <c r="D27" s="221" t="s">
        <v>107</v>
      </c>
      <c r="J27" s="222" t="s">
        <v>96</v>
      </c>
      <c r="M27" s="221" t="s">
        <v>80</v>
      </c>
      <c r="N27" s="461"/>
      <c r="O27" s="255"/>
      <c r="P27" s="456" t="s">
        <v>108</v>
      </c>
      <c r="Q27" s="456"/>
      <c r="R27" s="364">
        <f t="shared" ca="1" si="38"/>
        <v>0</v>
      </c>
      <c r="S27" s="358">
        <f t="shared" ca="1" si="38"/>
        <v>0</v>
      </c>
      <c r="T27" s="359">
        <f t="shared" ca="1" si="14"/>
        <v>0</v>
      </c>
      <c r="U27" s="360">
        <f t="shared" ca="1" si="2"/>
        <v>0</v>
      </c>
      <c r="V27" s="364">
        <f t="shared" ca="1" si="39"/>
        <v>0</v>
      </c>
      <c r="W27" s="358">
        <f t="shared" ca="1" si="39"/>
        <v>0</v>
      </c>
      <c r="X27" s="359">
        <f t="shared" ca="1" si="15"/>
        <v>0</v>
      </c>
      <c r="Y27" s="360">
        <f t="shared" ca="1" si="3"/>
        <v>0</v>
      </c>
      <c r="Z27" s="364">
        <f t="shared" ca="1" si="40"/>
        <v>0</v>
      </c>
      <c r="AA27" s="358">
        <f t="shared" ca="1" si="40"/>
        <v>0</v>
      </c>
      <c r="AB27" s="359">
        <f t="shared" ca="1" si="16"/>
        <v>0</v>
      </c>
      <c r="AC27" s="360">
        <f t="shared" ca="1" si="4"/>
        <v>0</v>
      </c>
      <c r="AD27" s="364">
        <f t="shared" ca="1" si="41"/>
        <v>0</v>
      </c>
      <c r="AE27" s="358">
        <f t="shared" ca="1" si="41"/>
        <v>0</v>
      </c>
      <c r="AF27" s="359">
        <f t="shared" ca="1" si="17"/>
        <v>0</v>
      </c>
      <c r="AG27" s="360">
        <f t="shared" ca="1" si="5"/>
        <v>0</v>
      </c>
      <c r="AH27" s="364">
        <f t="shared" ca="1" si="42"/>
        <v>0</v>
      </c>
      <c r="AI27" s="358">
        <f t="shared" ca="1" si="42"/>
        <v>0</v>
      </c>
      <c r="AJ27" s="359">
        <f t="shared" ca="1" si="18"/>
        <v>0</v>
      </c>
      <c r="AK27" s="360">
        <f t="shared" ca="1" si="6"/>
        <v>0</v>
      </c>
      <c r="AL27" s="364">
        <f t="shared" ca="1" si="43"/>
        <v>0</v>
      </c>
      <c r="AM27" s="358">
        <f t="shared" ca="1" si="43"/>
        <v>0</v>
      </c>
      <c r="AN27" s="359">
        <f t="shared" ca="1" si="19"/>
        <v>0</v>
      </c>
      <c r="AO27" s="360">
        <f t="shared" ca="1" si="7"/>
        <v>0</v>
      </c>
      <c r="AP27" s="364">
        <f t="shared" ca="1" si="44"/>
        <v>0</v>
      </c>
      <c r="AQ27" s="358">
        <f t="shared" ca="1" si="44"/>
        <v>0</v>
      </c>
      <c r="AR27" s="359">
        <f t="shared" ca="1" si="20"/>
        <v>0</v>
      </c>
      <c r="AS27" s="360">
        <f t="shared" ca="1" si="8"/>
        <v>0</v>
      </c>
      <c r="AT27" s="364">
        <f t="shared" ca="1" si="45"/>
        <v>0</v>
      </c>
      <c r="AU27" s="358">
        <f t="shared" ca="1" si="45"/>
        <v>0</v>
      </c>
      <c r="AV27" s="359">
        <f t="shared" ca="1" si="21"/>
        <v>0</v>
      </c>
      <c r="AW27" s="360">
        <f t="shared" ca="1" si="9"/>
        <v>0</v>
      </c>
      <c r="AX27" s="364">
        <f t="shared" ca="1" si="46"/>
        <v>0</v>
      </c>
      <c r="AY27" s="358">
        <f t="shared" ca="1" si="46"/>
        <v>0</v>
      </c>
      <c r="AZ27" s="359">
        <f t="shared" ca="1" si="22"/>
        <v>0</v>
      </c>
      <c r="BA27" s="360">
        <f t="shared" ca="1" si="10"/>
        <v>0</v>
      </c>
      <c r="BB27" s="364">
        <f t="shared" ca="1" si="47"/>
        <v>0</v>
      </c>
      <c r="BC27" s="358">
        <f t="shared" ca="1" si="47"/>
        <v>0</v>
      </c>
      <c r="BD27" s="359">
        <f t="shared" ca="1" si="23"/>
        <v>0</v>
      </c>
      <c r="BE27" s="360">
        <f t="shared" ca="1" si="11"/>
        <v>0</v>
      </c>
      <c r="BF27" s="364">
        <f t="shared" ca="1" si="48"/>
        <v>0</v>
      </c>
      <c r="BG27" s="358">
        <f t="shared" ca="1" si="48"/>
        <v>0</v>
      </c>
      <c r="BH27" s="359">
        <f t="shared" ca="1" si="24"/>
        <v>0</v>
      </c>
      <c r="BI27" s="360">
        <f t="shared" ca="1" si="12"/>
        <v>0</v>
      </c>
      <c r="BJ27" s="364">
        <f t="shared" ca="1" si="49"/>
        <v>0</v>
      </c>
      <c r="BK27" s="358">
        <f t="shared" ca="1" si="49"/>
        <v>0</v>
      </c>
      <c r="BL27" s="359">
        <f t="shared" ca="1" si="25"/>
        <v>0</v>
      </c>
      <c r="BM27" s="360">
        <f t="shared" ca="1" si="13"/>
        <v>0</v>
      </c>
      <c r="BN27" s="360">
        <f t="shared" ca="1" si="13"/>
        <v>0</v>
      </c>
    </row>
    <row r="28" spans="1:68">
      <c r="A28" s="221" t="str">
        <f t="shared" ca="1" si="0"/>
        <v>WP001</v>
      </c>
      <c r="B28" s="221" t="str">
        <f t="shared" ca="1" si="1"/>
        <v>WP001</v>
      </c>
      <c r="C28" s="221">
        <v>6</v>
      </c>
      <c r="D28" s="221" t="s">
        <v>109</v>
      </c>
      <c r="J28" s="222" t="s">
        <v>96</v>
      </c>
      <c r="K28" s="221" t="s">
        <v>110</v>
      </c>
      <c r="M28" s="221" t="s">
        <v>46</v>
      </c>
      <c r="N28" s="461"/>
      <c r="O28" s="255"/>
      <c r="P28" s="456" t="s">
        <v>111</v>
      </c>
      <c r="Q28" s="456"/>
      <c r="R28" s="364"/>
      <c r="S28" s="358"/>
      <c r="T28" s="359">
        <f t="shared" ca="1" si="14"/>
        <v>0</v>
      </c>
      <c r="U28" s="360">
        <f t="shared" ca="1" si="2"/>
        <v>0</v>
      </c>
      <c r="V28" s="364"/>
      <c r="W28" s="358"/>
      <c r="X28" s="359">
        <f t="shared" ca="1" si="15"/>
        <v>0</v>
      </c>
      <c r="Y28" s="360">
        <f t="shared" ca="1" si="3"/>
        <v>0</v>
      </c>
      <c r="Z28" s="364"/>
      <c r="AA28" s="358"/>
      <c r="AB28" s="359">
        <f t="shared" ca="1" si="16"/>
        <v>0</v>
      </c>
      <c r="AC28" s="360">
        <f t="shared" ca="1" si="4"/>
        <v>0</v>
      </c>
      <c r="AD28" s="364"/>
      <c r="AE28" s="358"/>
      <c r="AF28" s="359">
        <f t="shared" ca="1" si="17"/>
        <v>0</v>
      </c>
      <c r="AG28" s="360">
        <f t="shared" ca="1" si="5"/>
        <v>0</v>
      </c>
      <c r="AH28" s="364"/>
      <c r="AI28" s="358"/>
      <c r="AJ28" s="359">
        <f t="shared" ca="1" si="18"/>
        <v>0</v>
      </c>
      <c r="AK28" s="360">
        <f t="shared" ca="1" si="6"/>
        <v>0</v>
      </c>
      <c r="AL28" s="364"/>
      <c r="AM28" s="358"/>
      <c r="AN28" s="359">
        <f t="shared" ca="1" si="19"/>
        <v>0</v>
      </c>
      <c r="AO28" s="360">
        <f t="shared" ca="1" si="7"/>
        <v>0</v>
      </c>
      <c r="AP28" s="364"/>
      <c r="AQ28" s="358"/>
      <c r="AR28" s="359">
        <f t="shared" ca="1" si="20"/>
        <v>0</v>
      </c>
      <c r="AS28" s="360">
        <f t="shared" ca="1" si="8"/>
        <v>0</v>
      </c>
      <c r="AT28" s="364"/>
      <c r="AU28" s="358"/>
      <c r="AV28" s="359">
        <f t="shared" ca="1" si="21"/>
        <v>0</v>
      </c>
      <c r="AW28" s="360">
        <f t="shared" ca="1" si="9"/>
        <v>0</v>
      </c>
      <c r="AX28" s="364"/>
      <c r="AY28" s="358"/>
      <c r="AZ28" s="359">
        <f t="shared" ca="1" si="22"/>
        <v>0</v>
      </c>
      <c r="BA28" s="360">
        <f t="shared" ca="1" si="10"/>
        <v>0</v>
      </c>
      <c r="BB28" s="364"/>
      <c r="BC28" s="358"/>
      <c r="BD28" s="359">
        <f t="shared" ca="1" si="23"/>
        <v>0</v>
      </c>
      <c r="BE28" s="360">
        <f t="shared" ca="1" si="11"/>
        <v>0</v>
      </c>
      <c r="BF28" s="364"/>
      <c r="BG28" s="358"/>
      <c r="BH28" s="359">
        <f t="shared" ca="1" si="24"/>
        <v>0</v>
      </c>
      <c r="BI28" s="360">
        <f t="shared" ca="1" si="12"/>
        <v>0</v>
      </c>
      <c r="BJ28" s="364"/>
      <c r="BK28" s="358"/>
      <c r="BL28" s="359">
        <f t="shared" ca="1" si="25"/>
        <v>0</v>
      </c>
      <c r="BM28" s="360">
        <f t="shared" ca="1" si="13"/>
        <v>0</v>
      </c>
      <c r="BN28" s="360">
        <f t="shared" ca="1" si="13"/>
        <v>0</v>
      </c>
    </row>
    <row r="29" spans="1:68">
      <c r="A29" s="221" t="str">
        <f t="shared" ca="1" si="0"/>
        <v>WP001</v>
      </c>
      <c r="B29" s="221" t="str">
        <f t="shared" ca="1" si="1"/>
        <v>WP001</v>
      </c>
      <c r="C29" s="221">
        <v>7</v>
      </c>
      <c r="D29" s="221" t="s">
        <v>112</v>
      </c>
      <c r="L29" s="221" t="s">
        <v>110</v>
      </c>
      <c r="M29" s="221" t="s">
        <v>80</v>
      </c>
      <c r="N29" s="461"/>
      <c r="O29" s="255"/>
      <c r="P29" s="389"/>
      <c r="Q29" s="254" t="s">
        <v>113</v>
      </c>
      <c r="R29" s="361">
        <f t="shared" ref="R29:S34" ca="1" si="50">INDIRECT("'"&amp; MID(OFFSET(R29,ROW(R$3)-ROW(R29),IF(OFFSET(R29,ROW(R$2)-ROW(R29),2)="T",0,IF(OFFSET(R29,ROW(R$2)-ROW(R29),1)="T",-1,-2))),1,6) &amp; "'!" &amp; ADDRESS(ROW(R29),MATCH(INDIRECT(ADDRESS(2,COLUMN(R29)+IF(OFFSET(R29,ROW(R$2)-ROW(R29),2)="T",1,IF(OFFSET(R29,ROW(R$2)-ROW(R29),1)="T",0,-1))),TRUE),INDIRECT("'"&amp; MID(OFFSET(R29,ROW(R$3)-ROW(R29),IF(OFFSET(R29,ROW(R$2)-ROW(R29),2)="T",0,IF(OFFSET(R29,ROW(R$2)-ROW(R29),1)="T",-1,-2))),1,6) &amp; "'!2:2",TRUE),0)-IF(OFFSET(R29,ROW(R$2)-ROW(R29),2)="T",1,IF(OFFSET(R29,ROW(R$2)-ROW(R29),1)="T",0,-1))),TRUE)</f>
        <v>0</v>
      </c>
      <c r="S29" s="362">
        <f t="shared" ca="1" si="50"/>
        <v>0</v>
      </c>
      <c r="T29" s="363">
        <f t="shared" ca="1" si="14"/>
        <v>0</v>
      </c>
      <c r="U29" s="360">
        <f t="shared" ca="1" si="2"/>
        <v>0</v>
      </c>
      <c r="V29" s="361">
        <f t="shared" ref="V29:W34" ca="1" si="51">INDIRECT("'"&amp; MID(OFFSET(V29,ROW(V$3)-ROW(V29),IF(OFFSET(V29,ROW(V$2)-ROW(V29),2)="T",0,IF(OFFSET(V29,ROW(V$2)-ROW(V29),1)="T",-1,-2))),1,6) &amp; "'!" &amp; ADDRESS(ROW(V29),MATCH(INDIRECT(ADDRESS(2,COLUMN(V29)+IF(OFFSET(V29,ROW(V$2)-ROW(V29),2)="T",1,IF(OFFSET(V29,ROW(V$2)-ROW(V29),1)="T",0,-1))),TRUE),INDIRECT("'"&amp; MID(OFFSET(V29,ROW(V$3)-ROW(V29),IF(OFFSET(V29,ROW(V$2)-ROW(V29),2)="T",0,IF(OFFSET(V29,ROW(V$2)-ROW(V29),1)="T",-1,-2))),1,6) &amp; "'!2:2",TRUE),0)-IF(OFFSET(V29,ROW(V$2)-ROW(V29),2)="T",1,IF(OFFSET(V29,ROW(V$2)-ROW(V29),1)="T",0,-1))),TRUE)</f>
        <v>0</v>
      </c>
      <c r="W29" s="362">
        <f t="shared" ca="1" si="51"/>
        <v>0</v>
      </c>
      <c r="X29" s="363">
        <f t="shared" ca="1" si="15"/>
        <v>0</v>
      </c>
      <c r="Y29" s="360">
        <f t="shared" ca="1" si="3"/>
        <v>0</v>
      </c>
      <c r="Z29" s="361">
        <f t="shared" ref="Z29:AA34" ca="1" si="52">INDIRECT("'"&amp; MID(OFFSET(Z29,ROW(Z$3)-ROW(Z29),IF(OFFSET(Z29,ROW(Z$2)-ROW(Z29),2)="T",0,IF(OFFSET(Z29,ROW(Z$2)-ROW(Z29),1)="T",-1,-2))),1,6) &amp; "'!" &amp; ADDRESS(ROW(Z29),MATCH(INDIRECT(ADDRESS(2,COLUMN(Z29)+IF(OFFSET(Z29,ROW(Z$2)-ROW(Z29),2)="T",1,IF(OFFSET(Z29,ROW(Z$2)-ROW(Z29),1)="T",0,-1))),TRUE),INDIRECT("'"&amp; MID(OFFSET(Z29,ROW(Z$3)-ROW(Z29),IF(OFFSET(Z29,ROW(Z$2)-ROW(Z29),2)="T",0,IF(OFFSET(Z29,ROW(Z$2)-ROW(Z29),1)="T",-1,-2))),1,6) &amp; "'!2:2",TRUE),0)-IF(OFFSET(Z29,ROW(Z$2)-ROW(Z29),2)="T",1,IF(OFFSET(Z29,ROW(Z$2)-ROW(Z29),1)="T",0,-1))),TRUE)</f>
        <v>0</v>
      </c>
      <c r="AA29" s="362">
        <f t="shared" ca="1" si="52"/>
        <v>0</v>
      </c>
      <c r="AB29" s="363">
        <f t="shared" ca="1" si="16"/>
        <v>0</v>
      </c>
      <c r="AC29" s="360">
        <f t="shared" ca="1" si="4"/>
        <v>0</v>
      </c>
      <c r="AD29" s="361">
        <f t="shared" ref="AD29:AE34" ca="1" si="53">INDIRECT("'"&amp; MID(OFFSET(AD29,ROW(AD$3)-ROW(AD29),IF(OFFSET(AD29,ROW(AD$2)-ROW(AD29),2)="T",0,IF(OFFSET(AD29,ROW(AD$2)-ROW(AD29),1)="T",-1,-2))),1,6) &amp; "'!" &amp; ADDRESS(ROW(AD29),MATCH(INDIRECT(ADDRESS(2,COLUMN(AD29)+IF(OFFSET(AD29,ROW(AD$2)-ROW(AD29),2)="T",1,IF(OFFSET(AD29,ROW(AD$2)-ROW(AD29),1)="T",0,-1))),TRUE),INDIRECT("'"&amp; MID(OFFSET(AD29,ROW(AD$3)-ROW(AD29),IF(OFFSET(AD29,ROW(AD$2)-ROW(AD29),2)="T",0,IF(OFFSET(AD29,ROW(AD$2)-ROW(AD29),1)="T",-1,-2))),1,6) &amp; "'!2:2",TRUE),0)-IF(OFFSET(AD29,ROW(AD$2)-ROW(AD29),2)="T",1,IF(OFFSET(AD29,ROW(AD$2)-ROW(AD29),1)="T",0,-1))),TRUE)</f>
        <v>0</v>
      </c>
      <c r="AE29" s="362">
        <f t="shared" ca="1" si="53"/>
        <v>0</v>
      </c>
      <c r="AF29" s="363">
        <f t="shared" ca="1" si="17"/>
        <v>0</v>
      </c>
      <c r="AG29" s="360">
        <f t="shared" ca="1" si="5"/>
        <v>0</v>
      </c>
      <c r="AH29" s="361">
        <f t="shared" ref="AH29:AI34" ca="1" si="54">INDIRECT("'"&amp; MID(OFFSET(AH29,ROW(AH$3)-ROW(AH29),IF(OFFSET(AH29,ROW(AH$2)-ROW(AH29),2)="T",0,IF(OFFSET(AH29,ROW(AH$2)-ROW(AH29),1)="T",-1,-2))),1,6) &amp; "'!" &amp; ADDRESS(ROW(AH29),MATCH(INDIRECT(ADDRESS(2,COLUMN(AH29)+IF(OFFSET(AH29,ROW(AH$2)-ROW(AH29),2)="T",1,IF(OFFSET(AH29,ROW(AH$2)-ROW(AH29),1)="T",0,-1))),TRUE),INDIRECT("'"&amp; MID(OFFSET(AH29,ROW(AH$3)-ROW(AH29),IF(OFFSET(AH29,ROW(AH$2)-ROW(AH29),2)="T",0,IF(OFFSET(AH29,ROW(AH$2)-ROW(AH29),1)="T",-1,-2))),1,6) &amp; "'!2:2",TRUE),0)-IF(OFFSET(AH29,ROW(AH$2)-ROW(AH29),2)="T",1,IF(OFFSET(AH29,ROW(AH$2)-ROW(AH29),1)="T",0,-1))),TRUE)</f>
        <v>0</v>
      </c>
      <c r="AI29" s="362">
        <f t="shared" ca="1" si="54"/>
        <v>0</v>
      </c>
      <c r="AJ29" s="363">
        <f t="shared" ca="1" si="18"/>
        <v>0</v>
      </c>
      <c r="AK29" s="360">
        <f t="shared" ca="1" si="6"/>
        <v>0</v>
      </c>
      <c r="AL29" s="361">
        <f t="shared" ref="AL29:AM34" ca="1" si="55">INDIRECT("'"&amp; MID(OFFSET(AL29,ROW(AL$3)-ROW(AL29),IF(OFFSET(AL29,ROW(AL$2)-ROW(AL29),2)="T",0,IF(OFFSET(AL29,ROW(AL$2)-ROW(AL29),1)="T",-1,-2))),1,6) &amp; "'!" &amp; ADDRESS(ROW(AL29),MATCH(INDIRECT(ADDRESS(2,COLUMN(AL29)+IF(OFFSET(AL29,ROW(AL$2)-ROW(AL29),2)="T",1,IF(OFFSET(AL29,ROW(AL$2)-ROW(AL29),1)="T",0,-1))),TRUE),INDIRECT("'"&amp; MID(OFFSET(AL29,ROW(AL$3)-ROW(AL29),IF(OFFSET(AL29,ROW(AL$2)-ROW(AL29),2)="T",0,IF(OFFSET(AL29,ROW(AL$2)-ROW(AL29),1)="T",-1,-2))),1,6) &amp; "'!2:2",TRUE),0)-IF(OFFSET(AL29,ROW(AL$2)-ROW(AL29),2)="T",1,IF(OFFSET(AL29,ROW(AL$2)-ROW(AL29),1)="T",0,-1))),TRUE)</f>
        <v>0</v>
      </c>
      <c r="AM29" s="362">
        <f t="shared" ca="1" si="55"/>
        <v>0</v>
      </c>
      <c r="AN29" s="363">
        <f t="shared" ca="1" si="19"/>
        <v>0</v>
      </c>
      <c r="AO29" s="360">
        <f t="shared" ca="1" si="7"/>
        <v>0</v>
      </c>
      <c r="AP29" s="361">
        <f t="shared" ref="AP29:AQ34" ca="1" si="56">INDIRECT("'"&amp; MID(OFFSET(AP29,ROW(AP$3)-ROW(AP29),IF(OFFSET(AP29,ROW(AP$2)-ROW(AP29),2)="T",0,IF(OFFSET(AP29,ROW(AP$2)-ROW(AP29),1)="T",-1,-2))),1,6) &amp; "'!" &amp; ADDRESS(ROW(AP29),MATCH(INDIRECT(ADDRESS(2,COLUMN(AP29)+IF(OFFSET(AP29,ROW(AP$2)-ROW(AP29),2)="T",1,IF(OFFSET(AP29,ROW(AP$2)-ROW(AP29),1)="T",0,-1))),TRUE),INDIRECT("'"&amp; MID(OFFSET(AP29,ROW(AP$3)-ROW(AP29),IF(OFFSET(AP29,ROW(AP$2)-ROW(AP29),2)="T",0,IF(OFFSET(AP29,ROW(AP$2)-ROW(AP29),1)="T",-1,-2))),1,6) &amp; "'!2:2",TRUE),0)-IF(OFFSET(AP29,ROW(AP$2)-ROW(AP29),2)="T",1,IF(OFFSET(AP29,ROW(AP$2)-ROW(AP29),1)="T",0,-1))),TRUE)</f>
        <v>0</v>
      </c>
      <c r="AQ29" s="362">
        <f t="shared" ca="1" si="56"/>
        <v>0</v>
      </c>
      <c r="AR29" s="363">
        <f t="shared" ca="1" si="20"/>
        <v>0</v>
      </c>
      <c r="AS29" s="360">
        <f t="shared" ca="1" si="8"/>
        <v>0</v>
      </c>
      <c r="AT29" s="361">
        <f t="shared" ref="AT29:AU34" ca="1" si="57">INDIRECT("'"&amp; MID(OFFSET(AT29,ROW(AT$3)-ROW(AT29),IF(OFFSET(AT29,ROW(AT$2)-ROW(AT29),2)="T",0,IF(OFFSET(AT29,ROW(AT$2)-ROW(AT29),1)="T",-1,-2))),1,6) &amp; "'!" &amp; ADDRESS(ROW(AT29),MATCH(INDIRECT(ADDRESS(2,COLUMN(AT29)+IF(OFFSET(AT29,ROW(AT$2)-ROW(AT29),2)="T",1,IF(OFFSET(AT29,ROW(AT$2)-ROW(AT29),1)="T",0,-1))),TRUE),INDIRECT("'"&amp; MID(OFFSET(AT29,ROW(AT$3)-ROW(AT29),IF(OFFSET(AT29,ROW(AT$2)-ROW(AT29),2)="T",0,IF(OFFSET(AT29,ROW(AT$2)-ROW(AT29),1)="T",-1,-2))),1,6) &amp; "'!2:2",TRUE),0)-IF(OFFSET(AT29,ROW(AT$2)-ROW(AT29),2)="T",1,IF(OFFSET(AT29,ROW(AT$2)-ROW(AT29),1)="T",0,-1))),TRUE)</f>
        <v>0</v>
      </c>
      <c r="AU29" s="362">
        <f t="shared" ca="1" si="57"/>
        <v>0</v>
      </c>
      <c r="AV29" s="363">
        <f t="shared" ca="1" si="21"/>
        <v>0</v>
      </c>
      <c r="AW29" s="360">
        <f t="shared" ca="1" si="9"/>
        <v>0</v>
      </c>
      <c r="AX29" s="361">
        <f t="shared" ref="AX29:AY34" ca="1" si="58">INDIRECT("'"&amp; MID(OFFSET(AX29,ROW(AX$3)-ROW(AX29),IF(OFFSET(AX29,ROW(AX$2)-ROW(AX29),2)="T",0,IF(OFFSET(AX29,ROW(AX$2)-ROW(AX29),1)="T",-1,-2))),1,6) &amp; "'!" &amp; ADDRESS(ROW(AX29),MATCH(INDIRECT(ADDRESS(2,COLUMN(AX29)+IF(OFFSET(AX29,ROW(AX$2)-ROW(AX29),2)="T",1,IF(OFFSET(AX29,ROW(AX$2)-ROW(AX29),1)="T",0,-1))),TRUE),INDIRECT("'"&amp; MID(OFFSET(AX29,ROW(AX$3)-ROW(AX29),IF(OFFSET(AX29,ROW(AX$2)-ROW(AX29),2)="T",0,IF(OFFSET(AX29,ROW(AX$2)-ROW(AX29),1)="T",-1,-2))),1,6) &amp; "'!2:2",TRUE),0)-IF(OFFSET(AX29,ROW(AX$2)-ROW(AX29),2)="T",1,IF(OFFSET(AX29,ROW(AX$2)-ROW(AX29),1)="T",0,-1))),TRUE)</f>
        <v>0</v>
      </c>
      <c r="AY29" s="362">
        <f t="shared" ca="1" si="58"/>
        <v>0</v>
      </c>
      <c r="AZ29" s="363">
        <f t="shared" ca="1" si="22"/>
        <v>0</v>
      </c>
      <c r="BA29" s="360">
        <f t="shared" ca="1" si="10"/>
        <v>0</v>
      </c>
      <c r="BB29" s="361">
        <f t="shared" ref="BB29:BC34" ca="1" si="59">INDIRECT("'"&amp; MID(OFFSET(BB29,ROW(BB$3)-ROW(BB29),IF(OFFSET(BB29,ROW(BB$2)-ROW(BB29),2)="T",0,IF(OFFSET(BB29,ROW(BB$2)-ROW(BB29),1)="T",-1,-2))),1,6) &amp; "'!" &amp; ADDRESS(ROW(BB29),MATCH(INDIRECT(ADDRESS(2,COLUMN(BB29)+IF(OFFSET(BB29,ROW(BB$2)-ROW(BB29),2)="T",1,IF(OFFSET(BB29,ROW(BB$2)-ROW(BB29),1)="T",0,-1))),TRUE),INDIRECT("'"&amp; MID(OFFSET(BB29,ROW(BB$3)-ROW(BB29),IF(OFFSET(BB29,ROW(BB$2)-ROW(BB29),2)="T",0,IF(OFFSET(BB29,ROW(BB$2)-ROW(BB29),1)="T",-1,-2))),1,6) &amp; "'!2:2",TRUE),0)-IF(OFFSET(BB29,ROW(BB$2)-ROW(BB29),2)="T",1,IF(OFFSET(BB29,ROW(BB$2)-ROW(BB29),1)="T",0,-1))),TRUE)</f>
        <v>0</v>
      </c>
      <c r="BC29" s="362">
        <f t="shared" ca="1" si="59"/>
        <v>0</v>
      </c>
      <c r="BD29" s="363">
        <f t="shared" ca="1" si="23"/>
        <v>0</v>
      </c>
      <c r="BE29" s="360">
        <f t="shared" ca="1" si="11"/>
        <v>0</v>
      </c>
      <c r="BF29" s="361">
        <f t="shared" ref="BF29:BG34" ca="1" si="60">INDIRECT("'"&amp; MID(OFFSET(BF29,ROW(BF$3)-ROW(BF29),IF(OFFSET(BF29,ROW(BF$2)-ROW(BF29),2)="T",0,IF(OFFSET(BF29,ROW(BF$2)-ROW(BF29),1)="T",-1,-2))),1,6) &amp; "'!" &amp; ADDRESS(ROW(BF29),MATCH(INDIRECT(ADDRESS(2,COLUMN(BF29)+IF(OFFSET(BF29,ROW(BF$2)-ROW(BF29),2)="T",1,IF(OFFSET(BF29,ROW(BF$2)-ROW(BF29),1)="T",0,-1))),TRUE),INDIRECT("'"&amp; MID(OFFSET(BF29,ROW(BF$3)-ROW(BF29),IF(OFFSET(BF29,ROW(BF$2)-ROW(BF29),2)="T",0,IF(OFFSET(BF29,ROW(BF$2)-ROW(BF29),1)="T",-1,-2))),1,6) &amp; "'!2:2",TRUE),0)-IF(OFFSET(BF29,ROW(BF$2)-ROW(BF29),2)="T",1,IF(OFFSET(BF29,ROW(BF$2)-ROW(BF29),1)="T",0,-1))),TRUE)</f>
        <v>0</v>
      </c>
      <c r="BG29" s="362">
        <f t="shared" ca="1" si="60"/>
        <v>0</v>
      </c>
      <c r="BH29" s="363">
        <f t="shared" ca="1" si="24"/>
        <v>0</v>
      </c>
      <c r="BI29" s="360">
        <f t="shared" ca="1" si="12"/>
        <v>0</v>
      </c>
      <c r="BJ29" s="361">
        <f t="shared" ref="BJ29:BK34" ca="1" si="61">INDIRECT("'"&amp; MID(OFFSET(BJ29,ROW(BJ$3)-ROW(BJ29),IF(OFFSET(BJ29,ROW(BJ$2)-ROW(BJ29),2)="T",0,IF(OFFSET(BJ29,ROW(BJ$2)-ROW(BJ29),1)="T",-1,-2))),1,6) &amp; "'!" &amp; ADDRESS(ROW(BJ29),MATCH(INDIRECT(ADDRESS(2,COLUMN(BJ29)+IF(OFFSET(BJ29,ROW(BJ$2)-ROW(BJ29),2)="T",1,IF(OFFSET(BJ29,ROW(BJ$2)-ROW(BJ29),1)="T",0,-1))),TRUE),INDIRECT("'"&amp; MID(OFFSET(BJ29,ROW(BJ$3)-ROW(BJ29),IF(OFFSET(BJ29,ROW(BJ$2)-ROW(BJ29),2)="T",0,IF(OFFSET(BJ29,ROW(BJ$2)-ROW(BJ29),1)="T",-1,-2))),1,6) &amp; "'!2:2",TRUE),0)-IF(OFFSET(BJ29,ROW(BJ$2)-ROW(BJ29),2)="T",1,IF(OFFSET(BJ29,ROW(BJ$2)-ROW(BJ29),1)="T",0,-1))),TRUE)</f>
        <v>0</v>
      </c>
      <c r="BK29" s="362">
        <f t="shared" ca="1" si="61"/>
        <v>0</v>
      </c>
      <c r="BL29" s="363">
        <f t="shared" ca="1" si="25"/>
        <v>0</v>
      </c>
      <c r="BM29" s="360">
        <f t="shared" ca="1" si="13"/>
        <v>0</v>
      </c>
      <c r="BN29" s="360">
        <f t="shared" ca="1" si="13"/>
        <v>0</v>
      </c>
    </row>
    <row r="30" spans="1:68">
      <c r="A30" s="221" t="str">
        <f t="shared" ca="1" si="0"/>
        <v>WP001</v>
      </c>
      <c r="B30" s="221" t="str">
        <f t="shared" ca="1" si="1"/>
        <v>WP001</v>
      </c>
      <c r="C30" s="221">
        <v>7</v>
      </c>
      <c r="D30" s="221" t="s">
        <v>114</v>
      </c>
      <c r="L30" s="221" t="s">
        <v>110</v>
      </c>
      <c r="M30" s="221" t="s">
        <v>80</v>
      </c>
      <c r="N30" s="461"/>
      <c r="O30" s="255"/>
      <c r="P30" s="389"/>
      <c r="Q30" s="254" t="s">
        <v>115</v>
      </c>
      <c r="R30" s="361">
        <f t="shared" ca="1" si="50"/>
        <v>0</v>
      </c>
      <c r="S30" s="362">
        <f t="shared" ca="1" si="50"/>
        <v>0</v>
      </c>
      <c r="T30" s="363">
        <f t="shared" ca="1" si="14"/>
        <v>0</v>
      </c>
      <c r="U30" s="360">
        <f t="shared" ca="1" si="2"/>
        <v>0</v>
      </c>
      <c r="V30" s="361">
        <f t="shared" ca="1" si="51"/>
        <v>0</v>
      </c>
      <c r="W30" s="362">
        <f t="shared" ca="1" si="51"/>
        <v>0</v>
      </c>
      <c r="X30" s="363">
        <f t="shared" ca="1" si="15"/>
        <v>0</v>
      </c>
      <c r="Y30" s="360">
        <f t="shared" ca="1" si="3"/>
        <v>0</v>
      </c>
      <c r="Z30" s="361">
        <f t="shared" ca="1" si="52"/>
        <v>0</v>
      </c>
      <c r="AA30" s="362">
        <f t="shared" ca="1" si="52"/>
        <v>0</v>
      </c>
      <c r="AB30" s="363">
        <f t="shared" ca="1" si="16"/>
        <v>0</v>
      </c>
      <c r="AC30" s="360">
        <f t="shared" ca="1" si="4"/>
        <v>0</v>
      </c>
      <c r="AD30" s="361">
        <f t="shared" ca="1" si="53"/>
        <v>0</v>
      </c>
      <c r="AE30" s="362">
        <f t="shared" ca="1" si="53"/>
        <v>0</v>
      </c>
      <c r="AF30" s="363">
        <f t="shared" ca="1" si="17"/>
        <v>0</v>
      </c>
      <c r="AG30" s="360">
        <f t="shared" ca="1" si="5"/>
        <v>0</v>
      </c>
      <c r="AH30" s="361">
        <f t="shared" ca="1" si="54"/>
        <v>0</v>
      </c>
      <c r="AI30" s="362">
        <f t="shared" ca="1" si="54"/>
        <v>0</v>
      </c>
      <c r="AJ30" s="363">
        <f t="shared" ca="1" si="18"/>
        <v>0</v>
      </c>
      <c r="AK30" s="360">
        <f t="shared" ca="1" si="6"/>
        <v>0</v>
      </c>
      <c r="AL30" s="361">
        <f t="shared" ca="1" si="55"/>
        <v>0</v>
      </c>
      <c r="AM30" s="362">
        <f t="shared" ca="1" si="55"/>
        <v>0</v>
      </c>
      <c r="AN30" s="363">
        <f t="shared" ca="1" si="19"/>
        <v>0</v>
      </c>
      <c r="AO30" s="360">
        <f t="shared" ca="1" si="7"/>
        <v>0</v>
      </c>
      <c r="AP30" s="361">
        <f t="shared" ca="1" si="56"/>
        <v>0</v>
      </c>
      <c r="AQ30" s="362">
        <f t="shared" ca="1" si="56"/>
        <v>0</v>
      </c>
      <c r="AR30" s="363">
        <f t="shared" ca="1" si="20"/>
        <v>0</v>
      </c>
      <c r="AS30" s="360">
        <f t="shared" ca="1" si="8"/>
        <v>0</v>
      </c>
      <c r="AT30" s="361">
        <f t="shared" ca="1" si="57"/>
        <v>0</v>
      </c>
      <c r="AU30" s="362">
        <f t="shared" ca="1" si="57"/>
        <v>0</v>
      </c>
      <c r="AV30" s="363">
        <f t="shared" ca="1" si="21"/>
        <v>0</v>
      </c>
      <c r="AW30" s="360">
        <f t="shared" ca="1" si="9"/>
        <v>0</v>
      </c>
      <c r="AX30" s="361">
        <f t="shared" ca="1" si="58"/>
        <v>0</v>
      </c>
      <c r="AY30" s="362">
        <f t="shared" ca="1" si="58"/>
        <v>0</v>
      </c>
      <c r="AZ30" s="363">
        <f t="shared" ca="1" si="22"/>
        <v>0</v>
      </c>
      <c r="BA30" s="360">
        <f t="shared" ca="1" si="10"/>
        <v>0</v>
      </c>
      <c r="BB30" s="361">
        <f t="shared" ca="1" si="59"/>
        <v>0</v>
      </c>
      <c r="BC30" s="362">
        <f t="shared" ca="1" si="59"/>
        <v>0</v>
      </c>
      <c r="BD30" s="363">
        <f t="shared" ca="1" si="23"/>
        <v>0</v>
      </c>
      <c r="BE30" s="360">
        <f t="shared" ca="1" si="11"/>
        <v>0</v>
      </c>
      <c r="BF30" s="361">
        <f t="shared" ca="1" si="60"/>
        <v>0</v>
      </c>
      <c r="BG30" s="362">
        <f t="shared" ca="1" si="60"/>
        <v>0</v>
      </c>
      <c r="BH30" s="363">
        <f t="shared" ca="1" si="24"/>
        <v>0</v>
      </c>
      <c r="BI30" s="360">
        <f t="shared" ca="1" si="12"/>
        <v>0</v>
      </c>
      <c r="BJ30" s="361">
        <f t="shared" ca="1" si="61"/>
        <v>0</v>
      </c>
      <c r="BK30" s="362">
        <f t="shared" ca="1" si="61"/>
        <v>0</v>
      </c>
      <c r="BL30" s="363">
        <f t="shared" ca="1" si="25"/>
        <v>0</v>
      </c>
      <c r="BM30" s="360">
        <f t="shared" ca="1" si="13"/>
        <v>0</v>
      </c>
      <c r="BN30" s="360">
        <f t="shared" ca="1" si="13"/>
        <v>0</v>
      </c>
    </row>
    <row r="31" spans="1:68">
      <c r="A31" s="221" t="str">
        <f t="shared" ca="1" si="0"/>
        <v>WP001</v>
      </c>
      <c r="B31" s="221" t="str">
        <f t="shared" ca="1" si="1"/>
        <v>WP001</v>
      </c>
      <c r="C31" s="221">
        <v>7</v>
      </c>
      <c r="D31" s="221" t="s">
        <v>116</v>
      </c>
      <c r="L31" s="221" t="s">
        <v>110</v>
      </c>
      <c r="M31" s="221" t="s">
        <v>80</v>
      </c>
      <c r="N31" s="461"/>
      <c r="O31" s="255"/>
      <c r="P31" s="389"/>
      <c r="Q31" s="254" t="s">
        <v>117</v>
      </c>
      <c r="R31" s="361">
        <f t="shared" ca="1" si="50"/>
        <v>0</v>
      </c>
      <c r="S31" s="362">
        <f t="shared" ca="1" si="50"/>
        <v>0</v>
      </c>
      <c r="T31" s="363">
        <f t="shared" ca="1" si="14"/>
        <v>0</v>
      </c>
      <c r="U31" s="360">
        <f t="shared" ca="1" si="2"/>
        <v>0</v>
      </c>
      <c r="V31" s="361">
        <f t="shared" ca="1" si="51"/>
        <v>0</v>
      </c>
      <c r="W31" s="362">
        <f t="shared" ca="1" si="51"/>
        <v>0</v>
      </c>
      <c r="X31" s="363">
        <f t="shared" ca="1" si="15"/>
        <v>0</v>
      </c>
      <c r="Y31" s="360">
        <f t="shared" ca="1" si="3"/>
        <v>0</v>
      </c>
      <c r="Z31" s="361">
        <f t="shared" ca="1" si="52"/>
        <v>0</v>
      </c>
      <c r="AA31" s="362">
        <f t="shared" ca="1" si="52"/>
        <v>0</v>
      </c>
      <c r="AB31" s="363">
        <f t="shared" ca="1" si="16"/>
        <v>0</v>
      </c>
      <c r="AC31" s="360">
        <f t="shared" ca="1" si="4"/>
        <v>0</v>
      </c>
      <c r="AD31" s="361">
        <f t="shared" ca="1" si="53"/>
        <v>0</v>
      </c>
      <c r="AE31" s="362">
        <f t="shared" ca="1" si="53"/>
        <v>0</v>
      </c>
      <c r="AF31" s="363">
        <f t="shared" ca="1" si="17"/>
        <v>0</v>
      </c>
      <c r="AG31" s="360">
        <f t="shared" ca="1" si="5"/>
        <v>0</v>
      </c>
      <c r="AH31" s="361">
        <f t="shared" ca="1" si="54"/>
        <v>0</v>
      </c>
      <c r="AI31" s="362">
        <f t="shared" ca="1" si="54"/>
        <v>0</v>
      </c>
      <c r="AJ31" s="363">
        <f t="shared" ca="1" si="18"/>
        <v>0</v>
      </c>
      <c r="AK31" s="360">
        <f t="shared" ca="1" si="6"/>
        <v>0</v>
      </c>
      <c r="AL31" s="361">
        <f t="shared" ca="1" si="55"/>
        <v>0</v>
      </c>
      <c r="AM31" s="362">
        <f t="shared" ca="1" si="55"/>
        <v>0</v>
      </c>
      <c r="AN31" s="363">
        <f t="shared" ca="1" si="19"/>
        <v>0</v>
      </c>
      <c r="AO31" s="360">
        <f t="shared" ca="1" si="7"/>
        <v>0</v>
      </c>
      <c r="AP31" s="361">
        <f t="shared" ca="1" si="56"/>
        <v>0</v>
      </c>
      <c r="AQ31" s="362">
        <f t="shared" ca="1" si="56"/>
        <v>0</v>
      </c>
      <c r="AR31" s="363">
        <f t="shared" ca="1" si="20"/>
        <v>0</v>
      </c>
      <c r="AS31" s="360">
        <f t="shared" ca="1" si="8"/>
        <v>0</v>
      </c>
      <c r="AT31" s="361">
        <f t="shared" ca="1" si="57"/>
        <v>0</v>
      </c>
      <c r="AU31" s="362">
        <f t="shared" ca="1" si="57"/>
        <v>0</v>
      </c>
      <c r="AV31" s="363">
        <f t="shared" ca="1" si="21"/>
        <v>0</v>
      </c>
      <c r="AW31" s="360">
        <f t="shared" ca="1" si="9"/>
        <v>0</v>
      </c>
      <c r="AX31" s="361">
        <f t="shared" ca="1" si="58"/>
        <v>0</v>
      </c>
      <c r="AY31" s="362">
        <f t="shared" ca="1" si="58"/>
        <v>0</v>
      </c>
      <c r="AZ31" s="363">
        <f t="shared" ca="1" si="22"/>
        <v>0</v>
      </c>
      <c r="BA31" s="360">
        <f t="shared" ca="1" si="10"/>
        <v>0</v>
      </c>
      <c r="BB31" s="361">
        <f t="shared" ca="1" si="59"/>
        <v>0</v>
      </c>
      <c r="BC31" s="362">
        <f t="shared" ca="1" si="59"/>
        <v>0</v>
      </c>
      <c r="BD31" s="363">
        <f t="shared" ca="1" si="23"/>
        <v>0</v>
      </c>
      <c r="BE31" s="360">
        <f t="shared" ca="1" si="11"/>
        <v>0</v>
      </c>
      <c r="BF31" s="361">
        <f t="shared" ca="1" si="60"/>
        <v>0</v>
      </c>
      <c r="BG31" s="362">
        <f t="shared" ca="1" si="60"/>
        <v>0</v>
      </c>
      <c r="BH31" s="363">
        <f t="shared" ca="1" si="24"/>
        <v>0</v>
      </c>
      <c r="BI31" s="360">
        <f t="shared" ca="1" si="12"/>
        <v>0</v>
      </c>
      <c r="BJ31" s="361">
        <f t="shared" ca="1" si="61"/>
        <v>0</v>
      </c>
      <c r="BK31" s="362">
        <f t="shared" ca="1" si="61"/>
        <v>0</v>
      </c>
      <c r="BL31" s="363">
        <f t="shared" ca="1" si="25"/>
        <v>0</v>
      </c>
      <c r="BM31" s="360">
        <f t="shared" ca="1" si="13"/>
        <v>0</v>
      </c>
      <c r="BN31" s="360">
        <f t="shared" ca="1" si="13"/>
        <v>0</v>
      </c>
    </row>
    <row r="32" spans="1:68">
      <c r="A32" s="221" t="str">
        <f t="shared" ca="1" si="0"/>
        <v>WP001</v>
      </c>
      <c r="B32" s="221" t="str">
        <f t="shared" ca="1" si="1"/>
        <v>WP001</v>
      </c>
      <c r="C32" s="221">
        <v>7</v>
      </c>
      <c r="D32" s="221" t="s">
        <v>118</v>
      </c>
      <c r="L32" s="221" t="s">
        <v>110</v>
      </c>
      <c r="M32" s="221" t="s">
        <v>80</v>
      </c>
      <c r="N32" s="461"/>
      <c r="O32" s="255"/>
      <c r="P32" s="389"/>
      <c r="Q32" s="254" t="s">
        <v>119</v>
      </c>
      <c r="R32" s="361">
        <f t="shared" ca="1" si="50"/>
        <v>0</v>
      </c>
      <c r="S32" s="362">
        <f t="shared" ca="1" si="50"/>
        <v>0</v>
      </c>
      <c r="T32" s="363">
        <f t="shared" ca="1" si="14"/>
        <v>0</v>
      </c>
      <c r="U32" s="360">
        <f t="shared" ca="1" si="2"/>
        <v>0</v>
      </c>
      <c r="V32" s="361">
        <f t="shared" ca="1" si="51"/>
        <v>0</v>
      </c>
      <c r="W32" s="362">
        <f t="shared" ca="1" si="51"/>
        <v>0</v>
      </c>
      <c r="X32" s="363">
        <f t="shared" ca="1" si="15"/>
        <v>0</v>
      </c>
      <c r="Y32" s="360">
        <f t="shared" ca="1" si="3"/>
        <v>0</v>
      </c>
      <c r="Z32" s="361">
        <f t="shared" ca="1" si="52"/>
        <v>0</v>
      </c>
      <c r="AA32" s="362">
        <f t="shared" ca="1" si="52"/>
        <v>0</v>
      </c>
      <c r="AB32" s="363">
        <f t="shared" ca="1" si="16"/>
        <v>0</v>
      </c>
      <c r="AC32" s="360">
        <f t="shared" ca="1" si="4"/>
        <v>0</v>
      </c>
      <c r="AD32" s="361">
        <f t="shared" ca="1" si="53"/>
        <v>0</v>
      </c>
      <c r="AE32" s="362">
        <f t="shared" ca="1" si="53"/>
        <v>0</v>
      </c>
      <c r="AF32" s="363">
        <f t="shared" ca="1" si="17"/>
        <v>0</v>
      </c>
      <c r="AG32" s="360">
        <f t="shared" ca="1" si="5"/>
        <v>0</v>
      </c>
      <c r="AH32" s="361">
        <f t="shared" ca="1" si="54"/>
        <v>0</v>
      </c>
      <c r="AI32" s="362">
        <f t="shared" ca="1" si="54"/>
        <v>0</v>
      </c>
      <c r="AJ32" s="363">
        <f t="shared" ca="1" si="18"/>
        <v>0</v>
      </c>
      <c r="AK32" s="360">
        <f t="shared" ca="1" si="6"/>
        <v>0</v>
      </c>
      <c r="AL32" s="361">
        <f t="shared" ca="1" si="55"/>
        <v>0</v>
      </c>
      <c r="AM32" s="362">
        <f t="shared" ca="1" si="55"/>
        <v>0</v>
      </c>
      <c r="AN32" s="363">
        <f t="shared" ca="1" si="19"/>
        <v>0</v>
      </c>
      <c r="AO32" s="360">
        <f t="shared" ca="1" si="7"/>
        <v>0</v>
      </c>
      <c r="AP32" s="361">
        <f t="shared" ca="1" si="56"/>
        <v>0</v>
      </c>
      <c r="AQ32" s="362">
        <f t="shared" ca="1" si="56"/>
        <v>0</v>
      </c>
      <c r="AR32" s="363">
        <f t="shared" ca="1" si="20"/>
        <v>0</v>
      </c>
      <c r="AS32" s="360">
        <f t="shared" ca="1" si="8"/>
        <v>0</v>
      </c>
      <c r="AT32" s="361">
        <f t="shared" ca="1" si="57"/>
        <v>0</v>
      </c>
      <c r="AU32" s="362">
        <f t="shared" ca="1" si="57"/>
        <v>0</v>
      </c>
      <c r="AV32" s="363">
        <f t="shared" ca="1" si="21"/>
        <v>0</v>
      </c>
      <c r="AW32" s="360">
        <f t="shared" ca="1" si="9"/>
        <v>0</v>
      </c>
      <c r="AX32" s="361">
        <f t="shared" ca="1" si="58"/>
        <v>0</v>
      </c>
      <c r="AY32" s="362">
        <f t="shared" ca="1" si="58"/>
        <v>0</v>
      </c>
      <c r="AZ32" s="363">
        <f t="shared" ca="1" si="22"/>
        <v>0</v>
      </c>
      <c r="BA32" s="360">
        <f t="shared" ca="1" si="10"/>
        <v>0</v>
      </c>
      <c r="BB32" s="361">
        <f t="shared" ca="1" si="59"/>
        <v>0</v>
      </c>
      <c r="BC32" s="362">
        <f t="shared" ca="1" si="59"/>
        <v>0</v>
      </c>
      <c r="BD32" s="363">
        <f t="shared" ca="1" si="23"/>
        <v>0</v>
      </c>
      <c r="BE32" s="360">
        <f t="shared" ca="1" si="11"/>
        <v>0</v>
      </c>
      <c r="BF32" s="361">
        <f t="shared" ca="1" si="60"/>
        <v>0</v>
      </c>
      <c r="BG32" s="362">
        <f t="shared" ca="1" si="60"/>
        <v>0</v>
      </c>
      <c r="BH32" s="363">
        <f t="shared" ca="1" si="24"/>
        <v>0</v>
      </c>
      <c r="BI32" s="360">
        <f t="shared" ca="1" si="12"/>
        <v>0</v>
      </c>
      <c r="BJ32" s="361">
        <f t="shared" ca="1" si="61"/>
        <v>0</v>
      </c>
      <c r="BK32" s="362">
        <f t="shared" ca="1" si="61"/>
        <v>0</v>
      </c>
      <c r="BL32" s="363">
        <f t="shared" ca="1" si="25"/>
        <v>0</v>
      </c>
      <c r="BM32" s="360">
        <f t="shared" ca="1" si="13"/>
        <v>0</v>
      </c>
      <c r="BN32" s="360">
        <f t="shared" ca="1" si="13"/>
        <v>0</v>
      </c>
    </row>
    <row r="33" spans="1:68">
      <c r="A33" s="221" t="str">
        <f t="shared" ca="1" si="0"/>
        <v>WP001</v>
      </c>
      <c r="B33" s="221" t="str">
        <f t="shared" ca="1" si="1"/>
        <v>WP001</v>
      </c>
      <c r="C33" s="221">
        <v>7</v>
      </c>
      <c r="D33" s="221" t="s">
        <v>120</v>
      </c>
      <c r="L33" s="221" t="s">
        <v>110</v>
      </c>
      <c r="M33" s="221" t="s">
        <v>80</v>
      </c>
      <c r="N33" s="461"/>
      <c r="O33" s="255"/>
      <c r="P33" s="389"/>
      <c r="Q33" s="254" t="s">
        <v>121</v>
      </c>
      <c r="R33" s="361">
        <f t="shared" ca="1" si="50"/>
        <v>0</v>
      </c>
      <c r="S33" s="362">
        <f t="shared" ca="1" si="50"/>
        <v>0</v>
      </c>
      <c r="T33" s="363">
        <f t="shared" ca="1" si="14"/>
        <v>0</v>
      </c>
      <c r="U33" s="360">
        <f t="shared" ca="1" si="2"/>
        <v>0</v>
      </c>
      <c r="V33" s="361">
        <f t="shared" ca="1" si="51"/>
        <v>0</v>
      </c>
      <c r="W33" s="362">
        <f t="shared" ca="1" si="51"/>
        <v>0</v>
      </c>
      <c r="X33" s="363">
        <f t="shared" ca="1" si="15"/>
        <v>0</v>
      </c>
      <c r="Y33" s="360">
        <f t="shared" ca="1" si="3"/>
        <v>0</v>
      </c>
      <c r="Z33" s="361">
        <f t="shared" ca="1" si="52"/>
        <v>0</v>
      </c>
      <c r="AA33" s="362">
        <f t="shared" ca="1" si="52"/>
        <v>0</v>
      </c>
      <c r="AB33" s="363">
        <f t="shared" ca="1" si="16"/>
        <v>0</v>
      </c>
      <c r="AC33" s="360">
        <f t="shared" ca="1" si="4"/>
        <v>0</v>
      </c>
      <c r="AD33" s="361">
        <f t="shared" ca="1" si="53"/>
        <v>0</v>
      </c>
      <c r="AE33" s="362">
        <f t="shared" ca="1" si="53"/>
        <v>0</v>
      </c>
      <c r="AF33" s="363">
        <f t="shared" ca="1" si="17"/>
        <v>0</v>
      </c>
      <c r="AG33" s="360">
        <f t="shared" ca="1" si="5"/>
        <v>0</v>
      </c>
      <c r="AH33" s="361">
        <f t="shared" ca="1" si="54"/>
        <v>0</v>
      </c>
      <c r="AI33" s="362">
        <f t="shared" ca="1" si="54"/>
        <v>0</v>
      </c>
      <c r="AJ33" s="363">
        <f t="shared" ca="1" si="18"/>
        <v>0</v>
      </c>
      <c r="AK33" s="360">
        <f t="shared" ca="1" si="6"/>
        <v>0</v>
      </c>
      <c r="AL33" s="361">
        <f t="shared" ca="1" si="55"/>
        <v>0</v>
      </c>
      <c r="AM33" s="362">
        <f t="shared" ca="1" si="55"/>
        <v>0</v>
      </c>
      <c r="AN33" s="363">
        <f t="shared" ca="1" si="19"/>
        <v>0</v>
      </c>
      <c r="AO33" s="360">
        <f t="shared" ca="1" si="7"/>
        <v>0</v>
      </c>
      <c r="AP33" s="361">
        <f t="shared" ca="1" si="56"/>
        <v>0</v>
      </c>
      <c r="AQ33" s="362">
        <f t="shared" ca="1" si="56"/>
        <v>0</v>
      </c>
      <c r="AR33" s="363">
        <f t="shared" ca="1" si="20"/>
        <v>0</v>
      </c>
      <c r="AS33" s="360">
        <f t="shared" ca="1" si="8"/>
        <v>0</v>
      </c>
      <c r="AT33" s="361">
        <f t="shared" ca="1" si="57"/>
        <v>0</v>
      </c>
      <c r="AU33" s="362">
        <f t="shared" ca="1" si="57"/>
        <v>0</v>
      </c>
      <c r="AV33" s="363">
        <f t="shared" ca="1" si="21"/>
        <v>0</v>
      </c>
      <c r="AW33" s="360">
        <f t="shared" ca="1" si="9"/>
        <v>0</v>
      </c>
      <c r="AX33" s="361">
        <f t="shared" ca="1" si="58"/>
        <v>0</v>
      </c>
      <c r="AY33" s="362">
        <f t="shared" ca="1" si="58"/>
        <v>0</v>
      </c>
      <c r="AZ33" s="363">
        <f t="shared" ca="1" si="22"/>
        <v>0</v>
      </c>
      <c r="BA33" s="360">
        <f t="shared" ca="1" si="10"/>
        <v>0</v>
      </c>
      <c r="BB33" s="361">
        <f t="shared" ca="1" si="59"/>
        <v>0</v>
      </c>
      <c r="BC33" s="362">
        <f t="shared" ca="1" si="59"/>
        <v>0</v>
      </c>
      <c r="BD33" s="363">
        <f t="shared" ca="1" si="23"/>
        <v>0</v>
      </c>
      <c r="BE33" s="360">
        <f t="shared" ca="1" si="11"/>
        <v>0</v>
      </c>
      <c r="BF33" s="361">
        <f t="shared" ca="1" si="60"/>
        <v>0</v>
      </c>
      <c r="BG33" s="362">
        <f t="shared" ca="1" si="60"/>
        <v>0</v>
      </c>
      <c r="BH33" s="363">
        <f t="shared" ca="1" si="24"/>
        <v>0</v>
      </c>
      <c r="BI33" s="360">
        <f t="shared" ca="1" si="12"/>
        <v>0</v>
      </c>
      <c r="BJ33" s="361">
        <f t="shared" ca="1" si="61"/>
        <v>0</v>
      </c>
      <c r="BK33" s="362">
        <f t="shared" ca="1" si="61"/>
        <v>0</v>
      </c>
      <c r="BL33" s="363">
        <f t="shared" ca="1" si="25"/>
        <v>0</v>
      </c>
      <c r="BM33" s="360">
        <f t="shared" ca="1" si="13"/>
        <v>0</v>
      </c>
      <c r="BN33" s="360">
        <f t="shared" ca="1" si="13"/>
        <v>0</v>
      </c>
    </row>
    <row r="34" spans="1:68">
      <c r="A34" s="221" t="str">
        <f t="shared" ca="1" si="0"/>
        <v>WP001</v>
      </c>
      <c r="B34" s="221" t="str">
        <f t="shared" ca="1" si="1"/>
        <v>WP001</v>
      </c>
      <c r="C34" s="221">
        <v>7</v>
      </c>
      <c r="D34" s="221" t="s">
        <v>122</v>
      </c>
      <c r="L34" s="221" t="s">
        <v>110</v>
      </c>
      <c r="M34" s="221" t="s">
        <v>80</v>
      </c>
      <c r="N34" s="461"/>
      <c r="O34" s="256"/>
      <c r="P34" s="389"/>
      <c r="Q34" s="254" t="s">
        <v>123</v>
      </c>
      <c r="R34" s="361">
        <f t="shared" ca="1" si="50"/>
        <v>0</v>
      </c>
      <c r="S34" s="362">
        <f t="shared" ca="1" si="50"/>
        <v>0</v>
      </c>
      <c r="T34" s="363">
        <f t="shared" ca="1" si="14"/>
        <v>0</v>
      </c>
      <c r="U34" s="360">
        <f t="shared" ca="1" si="2"/>
        <v>0</v>
      </c>
      <c r="V34" s="361">
        <f t="shared" ca="1" si="51"/>
        <v>0</v>
      </c>
      <c r="W34" s="362">
        <f t="shared" ca="1" si="51"/>
        <v>0</v>
      </c>
      <c r="X34" s="363">
        <f t="shared" ca="1" si="15"/>
        <v>0</v>
      </c>
      <c r="Y34" s="360">
        <f t="shared" ca="1" si="3"/>
        <v>0</v>
      </c>
      <c r="Z34" s="361">
        <f t="shared" ca="1" si="52"/>
        <v>0</v>
      </c>
      <c r="AA34" s="362">
        <f t="shared" ca="1" si="52"/>
        <v>0</v>
      </c>
      <c r="AB34" s="363">
        <f t="shared" ca="1" si="16"/>
        <v>0</v>
      </c>
      <c r="AC34" s="360">
        <f t="shared" ca="1" si="4"/>
        <v>0</v>
      </c>
      <c r="AD34" s="361">
        <f t="shared" ca="1" si="53"/>
        <v>0</v>
      </c>
      <c r="AE34" s="362">
        <f t="shared" ca="1" si="53"/>
        <v>0</v>
      </c>
      <c r="AF34" s="363">
        <f t="shared" ca="1" si="17"/>
        <v>0</v>
      </c>
      <c r="AG34" s="360">
        <f t="shared" ca="1" si="5"/>
        <v>0</v>
      </c>
      <c r="AH34" s="361">
        <f t="shared" ca="1" si="54"/>
        <v>0</v>
      </c>
      <c r="AI34" s="362">
        <f t="shared" ca="1" si="54"/>
        <v>0</v>
      </c>
      <c r="AJ34" s="363">
        <f t="shared" ca="1" si="18"/>
        <v>0</v>
      </c>
      <c r="AK34" s="360">
        <f t="shared" ca="1" si="6"/>
        <v>0</v>
      </c>
      <c r="AL34" s="361">
        <f t="shared" ca="1" si="55"/>
        <v>0</v>
      </c>
      <c r="AM34" s="362">
        <f t="shared" ca="1" si="55"/>
        <v>0</v>
      </c>
      <c r="AN34" s="363">
        <f t="shared" ca="1" si="19"/>
        <v>0</v>
      </c>
      <c r="AO34" s="360">
        <f t="shared" ca="1" si="7"/>
        <v>0</v>
      </c>
      <c r="AP34" s="361">
        <f t="shared" ca="1" si="56"/>
        <v>0</v>
      </c>
      <c r="AQ34" s="362">
        <f t="shared" ca="1" si="56"/>
        <v>0</v>
      </c>
      <c r="AR34" s="363">
        <f t="shared" ca="1" si="20"/>
        <v>0</v>
      </c>
      <c r="AS34" s="360">
        <f t="shared" ca="1" si="8"/>
        <v>0</v>
      </c>
      <c r="AT34" s="361">
        <f t="shared" ca="1" si="57"/>
        <v>0</v>
      </c>
      <c r="AU34" s="362">
        <f t="shared" ca="1" si="57"/>
        <v>0</v>
      </c>
      <c r="AV34" s="363">
        <f t="shared" ca="1" si="21"/>
        <v>0</v>
      </c>
      <c r="AW34" s="360">
        <f t="shared" ca="1" si="9"/>
        <v>0</v>
      </c>
      <c r="AX34" s="361">
        <f t="shared" ca="1" si="58"/>
        <v>0</v>
      </c>
      <c r="AY34" s="362">
        <f t="shared" ca="1" si="58"/>
        <v>0</v>
      </c>
      <c r="AZ34" s="363">
        <f t="shared" ca="1" si="22"/>
        <v>0</v>
      </c>
      <c r="BA34" s="360">
        <f t="shared" ca="1" si="10"/>
        <v>0</v>
      </c>
      <c r="BB34" s="361">
        <f t="shared" ca="1" si="59"/>
        <v>0</v>
      </c>
      <c r="BC34" s="362">
        <f t="shared" ca="1" si="59"/>
        <v>0</v>
      </c>
      <c r="BD34" s="363">
        <f t="shared" ca="1" si="23"/>
        <v>0</v>
      </c>
      <c r="BE34" s="360">
        <f t="shared" ca="1" si="11"/>
        <v>0</v>
      </c>
      <c r="BF34" s="361">
        <f t="shared" ca="1" si="60"/>
        <v>0</v>
      </c>
      <c r="BG34" s="362">
        <f t="shared" ca="1" si="60"/>
        <v>0</v>
      </c>
      <c r="BH34" s="363">
        <f t="shared" ca="1" si="24"/>
        <v>0</v>
      </c>
      <c r="BI34" s="360">
        <f t="shared" ca="1" si="12"/>
        <v>0</v>
      </c>
      <c r="BJ34" s="361">
        <f t="shared" ca="1" si="61"/>
        <v>0</v>
      </c>
      <c r="BK34" s="362">
        <f t="shared" ca="1" si="61"/>
        <v>0</v>
      </c>
      <c r="BL34" s="363">
        <f t="shared" ca="1" si="25"/>
        <v>0</v>
      </c>
      <c r="BM34" s="360">
        <f t="shared" ca="1" si="13"/>
        <v>0</v>
      </c>
      <c r="BN34" s="360">
        <f t="shared" ca="1" si="13"/>
        <v>0</v>
      </c>
    </row>
    <row r="35" spans="1:68">
      <c r="A35" s="221" t="str">
        <f t="shared" ca="1" si="0"/>
        <v>WP001</v>
      </c>
      <c r="B35" s="221" t="str">
        <f t="shared" ca="1" si="1"/>
        <v>WP001</v>
      </c>
      <c r="C35" s="221">
        <v>4</v>
      </c>
      <c r="D35" s="221" t="s">
        <v>124</v>
      </c>
      <c r="H35" s="221" t="s">
        <v>74</v>
      </c>
      <c r="I35" s="221" t="s">
        <v>125</v>
      </c>
      <c r="M35" s="221" t="s">
        <v>46</v>
      </c>
      <c r="N35" s="461"/>
      <c r="O35" s="452" t="s">
        <v>126</v>
      </c>
      <c r="P35" s="453"/>
      <c r="Q35" s="453"/>
      <c r="R35" s="353"/>
      <c r="S35" s="354"/>
      <c r="T35" s="355">
        <f t="shared" ca="1" si="14"/>
        <v>0</v>
      </c>
      <c r="U35" s="356">
        <f t="shared" ca="1" si="2"/>
        <v>0</v>
      </c>
      <c r="V35" s="353"/>
      <c r="W35" s="354"/>
      <c r="X35" s="355">
        <f t="shared" ca="1" si="15"/>
        <v>0</v>
      </c>
      <c r="Y35" s="356">
        <f t="shared" ca="1" si="3"/>
        <v>0</v>
      </c>
      <c r="Z35" s="353"/>
      <c r="AA35" s="354"/>
      <c r="AB35" s="355">
        <f t="shared" ca="1" si="16"/>
        <v>0</v>
      </c>
      <c r="AC35" s="356">
        <f t="shared" ca="1" si="4"/>
        <v>0</v>
      </c>
      <c r="AD35" s="353"/>
      <c r="AE35" s="354"/>
      <c r="AF35" s="355">
        <f t="shared" ca="1" si="17"/>
        <v>0</v>
      </c>
      <c r="AG35" s="356">
        <f t="shared" ca="1" si="5"/>
        <v>0</v>
      </c>
      <c r="AH35" s="353"/>
      <c r="AI35" s="354"/>
      <c r="AJ35" s="355">
        <f t="shared" ca="1" si="18"/>
        <v>0</v>
      </c>
      <c r="AK35" s="356">
        <f t="shared" ca="1" si="6"/>
        <v>0</v>
      </c>
      <c r="AL35" s="353"/>
      <c r="AM35" s="354"/>
      <c r="AN35" s="355">
        <f t="shared" ca="1" si="19"/>
        <v>0</v>
      </c>
      <c r="AO35" s="356">
        <f t="shared" ca="1" si="7"/>
        <v>0</v>
      </c>
      <c r="AP35" s="353"/>
      <c r="AQ35" s="354"/>
      <c r="AR35" s="355">
        <f t="shared" ca="1" si="20"/>
        <v>0</v>
      </c>
      <c r="AS35" s="356">
        <f t="shared" ca="1" si="8"/>
        <v>0</v>
      </c>
      <c r="AT35" s="353"/>
      <c r="AU35" s="354"/>
      <c r="AV35" s="355">
        <f t="shared" ca="1" si="21"/>
        <v>0</v>
      </c>
      <c r="AW35" s="356">
        <f t="shared" ca="1" si="9"/>
        <v>0</v>
      </c>
      <c r="AX35" s="353"/>
      <c r="AY35" s="354"/>
      <c r="AZ35" s="355">
        <f t="shared" ca="1" si="22"/>
        <v>0</v>
      </c>
      <c r="BA35" s="356">
        <f t="shared" ca="1" si="10"/>
        <v>0</v>
      </c>
      <c r="BB35" s="353"/>
      <c r="BC35" s="354"/>
      <c r="BD35" s="355">
        <f t="shared" ca="1" si="23"/>
        <v>0</v>
      </c>
      <c r="BE35" s="356">
        <f t="shared" ca="1" si="11"/>
        <v>0</v>
      </c>
      <c r="BF35" s="353"/>
      <c r="BG35" s="354"/>
      <c r="BH35" s="355">
        <f t="shared" ca="1" si="24"/>
        <v>0</v>
      </c>
      <c r="BI35" s="356">
        <f t="shared" ca="1" si="12"/>
        <v>0</v>
      </c>
      <c r="BJ35" s="353"/>
      <c r="BK35" s="354"/>
      <c r="BL35" s="355">
        <f t="shared" ca="1" si="25"/>
        <v>0</v>
      </c>
      <c r="BM35" s="356">
        <f t="shared" ca="1" si="13"/>
        <v>0</v>
      </c>
      <c r="BN35" s="356">
        <f t="shared" ca="1" si="13"/>
        <v>0</v>
      </c>
    </row>
    <row r="36" spans="1:68">
      <c r="A36" s="221" t="str">
        <f t="shared" ca="1" si="0"/>
        <v>WP001</v>
      </c>
      <c r="B36" s="221" t="str">
        <f t="shared" ca="1" si="1"/>
        <v>WP001</v>
      </c>
      <c r="C36" s="221">
        <v>5</v>
      </c>
      <c r="D36" s="221" t="s">
        <v>127</v>
      </c>
      <c r="J36" s="222" t="s">
        <v>125</v>
      </c>
      <c r="M36" s="221" t="s">
        <v>80</v>
      </c>
      <c r="N36" s="461"/>
      <c r="O36" s="257"/>
      <c r="P36" s="457" t="s">
        <v>128</v>
      </c>
      <c r="Q36" s="458"/>
      <c r="R36" s="361">
        <f ca="1">INDIRECT("'"&amp; MID(OFFSET(R36,ROW(R$3)-ROW(R36),IF(OFFSET(R36,ROW(R$2)-ROW(R36),2)="T",0,IF(OFFSET(R36,ROW(R$2)-ROW(R36),1)="T",-1,-2))),1,6) &amp; "'!" &amp; ADDRESS(ROW(R36),MATCH(INDIRECT(ADDRESS(2,COLUMN(R36)+IF(OFFSET(R36,ROW(R$2)-ROW(R36),2)="T",1,IF(OFFSET(R36,ROW(R$2)-ROW(R36),1)="T",0,-1))),TRUE),INDIRECT("'"&amp; MID(OFFSET(R36,ROW(R$3)-ROW(R36),IF(OFFSET(R36,ROW(R$2)-ROW(R36),2)="T",0,IF(OFFSET(R36,ROW(R$2)-ROW(R36),1)="T",-1,-2))),1,6) &amp; "'!2:2",TRUE),0)-IF(OFFSET(R36,ROW(R$2)-ROW(R36),2)="T",1,IF(OFFSET(R36,ROW(R$2)-ROW(R36),1)="T",0,-1))),TRUE)</f>
        <v>0</v>
      </c>
      <c r="S36" s="362">
        <f ca="1">INDIRECT("'"&amp; MID(OFFSET(S36,ROW(S$3)-ROW(S36),IF(OFFSET(S36,ROW(S$2)-ROW(S36),2)="T",0,IF(OFFSET(S36,ROW(S$2)-ROW(S36),1)="T",-1,-2))),1,6) &amp; "'!" &amp; ADDRESS(ROW(S36),MATCH(INDIRECT(ADDRESS(2,COLUMN(S36)+IF(OFFSET(S36,ROW(S$2)-ROW(S36),2)="T",1,IF(OFFSET(S36,ROW(S$2)-ROW(S36),1)="T",0,-1))),TRUE),INDIRECT("'"&amp; MID(OFFSET(S36,ROW(S$3)-ROW(S36),IF(OFFSET(S36,ROW(S$2)-ROW(S36),2)="T",0,IF(OFFSET(S36,ROW(S$2)-ROW(S36),1)="T",-1,-2))),1,6) &amp; "'!2:2",TRUE),0)-IF(OFFSET(S36,ROW(S$2)-ROW(S36),2)="T",1,IF(OFFSET(S36,ROW(S$2)-ROW(S36),1)="T",0,-1))),TRUE)</f>
        <v>0</v>
      </c>
      <c r="T36" s="363">
        <f t="shared" ca="1" si="14"/>
        <v>0</v>
      </c>
      <c r="U36" s="360">
        <f t="shared" ca="1" si="2"/>
        <v>0</v>
      </c>
      <c r="V36" s="361">
        <f ca="1">INDIRECT("'"&amp; MID(OFFSET(V36,ROW(V$3)-ROW(V36),IF(OFFSET(V36,ROW(V$2)-ROW(V36),2)="T",0,IF(OFFSET(V36,ROW(V$2)-ROW(V36),1)="T",-1,-2))),1,6) &amp; "'!" &amp; ADDRESS(ROW(V36),MATCH(INDIRECT(ADDRESS(2,COLUMN(V36)+IF(OFFSET(V36,ROW(V$2)-ROW(V36),2)="T",1,IF(OFFSET(V36,ROW(V$2)-ROW(V36),1)="T",0,-1))),TRUE),INDIRECT("'"&amp; MID(OFFSET(V36,ROW(V$3)-ROW(V36),IF(OFFSET(V36,ROW(V$2)-ROW(V36),2)="T",0,IF(OFFSET(V36,ROW(V$2)-ROW(V36),1)="T",-1,-2))),1,6) &amp; "'!2:2",TRUE),0)-IF(OFFSET(V36,ROW(V$2)-ROW(V36),2)="T",1,IF(OFFSET(V36,ROW(V$2)-ROW(V36),1)="T",0,-1))),TRUE)</f>
        <v>0</v>
      </c>
      <c r="W36" s="362">
        <f ca="1">INDIRECT("'"&amp; MID(OFFSET(W36,ROW(W$3)-ROW(W36),IF(OFFSET(W36,ROW(W$2)-ROW(W36),2)="T",0,IF(OFFSET(W36,ROW(W$2)-ROW(W36),1)="T",-1,-2))),1,6) &amp; "'!" &amp; ADDRESS(ROW(W36),MATCH(INDIRECT(ADDRESS(2,COLUMN(W36)+IF(OFFSET(W36,ROW(W$2)-ROW(W36),2)="T",1,IF(OFFSET(W36,ROW(W$2)-ROW(W36),1)="T",0,-1))),TRUE),INDIRECT("'"&amp; MID(OFFSET(W36,ROW(W$3)-ROW(W36),IF(OFFSET(W36,ROW(W$2)-ROW(W36),2)="T",0,IF(OFFSET(W36,ROW(W$2)-ROW(W36),1)="T",-1,-2))),1,6) &amp; "'!2:2",TRUE),0)-IF(OFFSET(W36,ROW(W$2)-ROW(W36),2)="T",1,IF(OFFSET(W36,ROW(W$2)-ROW(W36),1)="T",0,-1))),TRUE)</f>
        <v>0</v>
      </c>
      <c r="X36" s="363">
        <f t="shared" ca="1" si="15"/>
        <v>0</v>
      </c>
      <c r="Y36" s="360">
        <f t="shared" ca="1" si="3"/>
        <v>0</v>
      </c>
      <c r="Z36" s="361">
        <f ca="1">INDIRECT("'"&amp; MID(OFFSET(Z36,ROW(Z$3)-ROW(Z36),IF(OFFSET(Z36,ROW(Z$2)-ROW(Z36),2)="T",0,IF(OFFSET(Z36,ROW(Z$2)-ROW(Z36),1)="T",-1,-2))),1,6) &amp; "'!" &amp; ADDRESS(ROW(Z36),MATCH(INDIRECT(ADDRESS(2,COLUMN(Z36)+IF(OFFSET(Z36,ROW(Z$2)-ROW(Z36),2)="T",1,IF(OFFSET(Z36,ROW(Z$2)-ROW(Z36),1)="T",0,-1))),TRUE),INDIRECT("'"&amp; MID(OFFSET(Z36,ROW(Z$3)-ROW(Z36),IF(OFFSET(Z36,ROW(Z$2)-ROW(Z36),2)="T",0,IF(OFFSET(Z36,ROW(Z$2)-ROW(Z36),1)="T",-1,-2))),1,6) &amp; "'!2:2",TRUE),0)-IF(OFFSET(Z36,ROW(Z$2)-ROW(Z36),2)="T",1,IF(OFFSET(Z36,ROW(Z$2)-ROW(Z36),1)="T",0,-1))),TRUE)</f>
        <v>0</v>
      </c>
      <c r="AA36" s="362">
        <f ca="1">INDIRECT("'"&amp; MID(OFFSET(AA36,ROW(AA$3)-ROW(AA36),IF(OFFSET(AA36,ROW(AA$2)-ROW(AA36),2)="T",0,IF(OFFSET(AA36,ROW(AA$2)-ROW(AA36),1)="T",-1,-2))),1,6) &amp; "'!" &amp; ADDRESS(ROW(AA36),MATCH(INDIRECT(ADDRESS(2,COLUMN(AA36)+IF(OFFSET(AA36,ROW(AA$2)-ROW(AA36),2)="T",1,IF(OFFSET(AA36,ROW(AA$2)-ROW(AA36),1)="T",0,-1))),TRUE),INDIRECT("'"&amp; MID(OFFSET(AA36,ROW(AA$3)-ROW(AA36),IF(OFFSET(AA36,ROW(AA$2)-ROW(AA36),2)="T",0,IF(OFFSET(AA36,ROW(AA$2)-ROW(AA36),1)="T",-1,-2))),1,6) &amp; "'!2:2",TRUE),0)-IF(OFFSET(AA36,ROW(AA$2)-ROW(AA36),2)="T",1,IF(OFFSET(AA36,ROW(AA$2)-ROW(AA36),1)="T",0,-1))),TRUE)</f>
        <v>0</v>
      </c>
      <c r="AB36" s="363">
        <f t="shared" ca="1" si="16"/>
        <v>0</v>
      </c>
      <c r="AC36" s="360">
        <f t="shared" ca="1" si="4"/>
        <v>0</v>
      </c>
      <c r="AD36" s="361">
        <f ca="1">INDIRECT("'"&amp; MID(OFFSET(AD36,ROW(AD$3)-ROW(AD36),IF(OFFSET(AD36,ROW(AD$2)-ROW(AD36),2)="T",0,IF(OFFSET(AD36,ROW(AD$2)-ROW(AD36),1)="T",-1,-2))),1,6) &amp; "'!" &amp; ADDRESS(ROW(AD36),MATCH(INDIRECT(ADDRESS(2,COLUMN(AD36)+IF(OFFSET(AD36,ROW(AD$2)-ROW(AD36),2)="T",1,IF(OFFSET(AD36,ROW(AD$2)-ROW(AD36),1)="T",0,-1))),TRUE),INDIRECT("'"&amp; MID(OFFSET(AD36,ROW(AD$3)-ROW(AD36),IF(OFFSET(AD36,ROW(AD$2)-ROW(AD36),2)="T",0,IF(OFFSET(AD36,ROW(AD$2)-ROW(AD36),1)="T",-1,-2))),1,6) &amp; "'!2:2",TRUE),0)-IF(OFFSET(AD36,ROW(AD$2)-ROW(AD36),2)="T",1,IF(OFFSET(AD36,ROW(AD$2)-ROW(AD36),1)="T",0,-1))),TRUE)</f>
        <v>0</v>
      </c>
      <c r="AE36" s="362">
        <f ca="1">INDIRECT("'"&amp; MID(OFFSET(AE36,ROW(AE$3)-ROW(AE36),IF(OFFSET(AE36,ROW(AE$2)-ROW(AE36),2)="T",0,IF(OFFSET(AE36,ROW(AE$2)-ROW(AE36),1)="T",-1,-2))),1,6) &amp; "'!" &amp; ADDRESS(ROW(AE36),MATCH(INDIRECT(ADDRESS(2,COLUMN(AE36)+IF(OFFSET(AE36,ROW(AE$2)-ROW(AE36),2)="T",1,IF(OFFSET(AE36,ROW(AE$2)-ROW(AE36),1)="T",0,-1))),TRUE),INDIRECT("'"&amp; MID(OFFSET(AE36,ROW(AE$3)-ROW(AE36),IF(OFFSET(AE36,ROW(AE$2)-ROW(AE36),2)="T",0,IF(OFFSET(AE36,ROW(AE$2)-ROW(AE36),1)="T",-1,-2))),1,6) &amp; "'!2:2",TRUE),0)-IF(OFFSET(AE36,ROW(AE$2)-ROW(AE36),2)="T",1,IF(OFFSET(AE36,ROW(AE$2)-ROW(AE36),1)="T",0,-1))),TRUE)</f>
        <v>0</v>
      </c>
      <c r="AF36" s="363">
        <f t="shared" ca="1" si="17"/>
        <v>0</v>
      </c>
      <c r="AG36" s="360">
        <f t="shared" ca="1" si="5"/>
        <v>0</v>
      </c>
      <c r="AH36" s="361">
        <f ca="1">INDIRECT("'"&amp; MID(OFFSET(AH36,ROW(AH$3)-ROW(AH36),IF(OFFSET(AH36,ROW(AH$2)-ROW(AH36),2)="T",0,IF(OFFSET(AH36,ROW(AH$2)-ROW(AH36),1)="T",-1,-2))),1,6) &amp; "'!" &amp; ADDRESS(ROW(AH36),MATCH(INDIRECT(ADDRESS(2,COLUMN(AH36)+IF(OFFSET(AH36,ROW(AH$2)-ROW(AH36),2)="T",1,IF(OFFSET(AH36,ROW(AH$2)-ROW(AH36),1)="T",0,-1))),TRUE),INDIRECT("'"&amp; MID(OFFSET(AH36,ROW(AH$3)-ROW(AH36),IF(OFFSET(AH36,ROW(AH$2)-ROW(AH36),2)="T",0,IF(OFFSET(AH36,ROW(AH$2)-ROW(AH36),1)="T",-1,-2))),1,6) &amp; "'!2:2",TRUE),0)-IF(OFFSET(AH36,ROW(AH$2)-ROW(AH36),2)="T",1,IF(OFFSET(AH36,ROW(AH$2)-ROW(AH36),1)="T",0,-1))),TRUE)</f>
        <v>0</v>
      </c>
      <c r="AI36" s="362">
        <f ca="1">INDIRECT("'"&amp; MID(OFFSET(AI36,ROW(AI$3)-ROW(AI36),IF(OFFSET(AI36,ROW(AI$2)-ROW(AI36),2)="T",0,IF(OFFSET(AI36,ROW(AI$2)-ROW(AI36),1)="T",-1,-2))),1,6) &amp; "'!" &amp; ADDRESS(ROW(AI36),MATCH(INDIRECT(ADDRESS(2,COLUMN(AI36)+IF(OFFSET(AI36,ROW(AI$2)-ROW(AI36),2)="T",1,IF(OFFSET(AI36,ROW(AI$2)-ROW(AI36),1)="T",0,-1))),TRUE),INDIRECT("'"&amp; MID(OFFSET(AI36,ROW(AI$3)-ROW(AI36),IF(OFFSET(AI36,ROW(AI$2)-ROW(AI36),2)="T",0,IF(OFFSET(AI36,ROW(AI$2)-ROW(AI36),1)="T",-1,-2))),1,6) &amp; "'!2:2",TRUE),0)-IF(OFFSET(AI36,ROW(AI$2)-ROW(AI36),2)="T",1,IF(OFFSET(AI36,ROW(AI$2)-ROW(AI36),1)="T",0,-1))),TRUE)</f>
        <v>0</v>
      </c>
      <c r="AJ36" s="363">
        <f t="shared" ca="1" si="18"/>
        <v>0</v>
      </c>
      <c r="AK36" s="360">
        <f t="shared" ca="1" si="6"/>
        <v>0</v>
      </c>
      <c r="AL36" s="361">
        <f ca="1">INDIRECT("'"&amp; MID(OFFSET(AL36,ROW(AL$3)-ROW(AL36),IF(OFFSET(AL36,ROW(AL$2)-ROW(AL36),2)="T",0,IF(OFFSET(AL36,ROW(AL$2)-ROW(AL36),1)="T",-1,-2))),1,6) &amp; "'!" &amp; ADDRESS(ROW(AL36),MATCH(INDIRECT(ADDRESS(2,COLUMN(AL36)+IF(OFFSET(AL36,ROW(AL$2)-ROW(AL36),2)="T",1,IF(OFFSET(AL36,ROW(AL$2)-ROW(AL36),1)="T",0,-1))),TRUE),INDIRECT("'"&amp; MID(OFFSET(AL36,ROW(AL$3)-ROW(AL36),IF(OFFSET(AL36,ROW(AL$2)-ROW(AL36),2)="T",0,IF(OFFSET(AL36,ROW(AL$2)-ROW(AL36),1)="T",-1,-2))),1,6) &amp; "'!2:2",TRUE),0)-IF(OFFSET(AL36,ROW(AL$2)-ROW(AL36),2)="T",1,IF(OFFSET(AL36,ROW(AL$2)-ROW(AL36),1)="T",0,-1))),TRUE)</f>
        <v>0</v>
      </c>
      <c r="AM36" s="362">
        <f ca="1">INDIRECT("'"&amp; MID(OFFSET(AM36,ROW(AM$3)-ROW(AM36),IF(OFFSET(AM36,ROW(AM$2)-ROW(AM36),2)="T",0,IF(OFFSET(AM36,ROW(AM$2)-ROW(AM36),1)="T",-1,-2))),1,6) &amp; "'!" &amp; ADDRESS(ROW(AM36),MATCH(INDIRECT(ADDRESS(2,COLUMN(AM36)+IF(OFFSET(AM36,ROW(AM$2)-ROW(AM36),2)="T",1,IF(OFFSET(AM36,ROW(AM$2)-ROW(AM36),1)="T",0,-1))),TRUE),INDIRECT("'"&amp; MID(OFFSET(AM36,ROW(AM$3)-ROW(AM36),IF(OFFSET(AM36,ROW(AM$2)-ROW(AM36),2)="T",0,IF(OFFSET(AM36,ROW(AM$2)-ROW(AM36),1)="T",-1,-2))),1,6) &amp; "'!2:2",TRUE),0)-IF(OFFSET(AM36,ROW(AM$2)-ROW(AM36),2)="T",1,IF(OFFSET(AM36,ROW(AM$2)-ROW(AM36),1)="T",0,-1))),TRUE)</f>
        <v>0</v>
      </c>
      <c r="AN36" s="363">
        <f t="shared" ca="1" si="19"/>
        <v>0</v>
      </c>
      <c r="AO36" s="360">
        <f t="shared" ca="1" si="7"/>
        <v>0</v>
      </c>
      <c r="AP36" s="361">
        <f ca="1">INDIRECT("'"&amp; MID(OFFSET(AP36,ROW(AP$3)-ROW(AP36),IF(OFFSET(AP36,ROW(AP$2)-ROW(AP36),2)="T",0,IF(OFFSET(AP36,ROW(AP$2)-ROW(AP36),1)="T",-1,-2))),1,6) &amp; "'!" &amp; ADDRESS(ROW(AP36),MATCH(INDIRECT(ADDRESS(2,COLUMN(AP36)+IF(OFFSET(AP36,ROW(AP$2)-ROW(AP36),2)="T",1,IF(OFFSET(AP36,ROW(AP$2)-ROW(AP36),1)="T",0,-1))),TRUE),INDIRECT("'"&amp; MID(OFFSET(AP36,ROW(AP$3)-ROW(AP36),IF(OFFSET(AP36,ROW(AP$2)-ROW(AP36),2)="T",0,IF(OFFSET(AP36,ROW(AP$2)-ROW(AP36),1)="T",-1,-2))),1,6) &amp; "'!2:2",TRUE),0)-IF(OFFSET(AP36,ROW(AP$2)-ROW(AP36),2)="T",1,IF(OFFSET(AP36,ROW(AP$2)-ROW(AP36),1)="T",0,-1))),TRUE)</f>
        <v>0</v>
      </c>
      <c r="AQ36" s="362">
        <f ca="1">INDIRECT("'"&amp; MID(OFFSET(AQ36,ROW(AQ$3)-ROW(AQ36),IF(OFFSET(AQ36,ROW(AQ$2)-ROW(AQ36),2)="T",0,IF(OFFSET(AQ36,ROW(AQ$2)-ROW(AQ36),1)="T",-1,-2))),1,6) &amp; "'!" &amp; ADDRESS(ROW(AQ36),MATCH(INDIRECT(ADDRESS(2,COLUMN(AQ36)+IF(OFFSET(AQ36,ROW(AQ$2)-ROW(AQ36),2)="T",1,IF(OFFSET(AQ36,ROW(AQ$2)-ROW(AQ36),1)="T",0,-1))),TRUE),INDIRECT("'"&amp; MID(OFFSET(AQ36,ROW(AQ$3)-ROW(AQ36),IF(OFFSET(AQ36,ROW(AQ$2)-ROW(AQ36),2)="T",0,IF(OFFSET(AQ36,ROW(AQ$2)-ROW(AQ36),1)="T",-1,-2))),1,6) &amp; "'!2:2",TRUE),0)-IF(OFFSET(AQ36,ROW(AQ$2)-ROW(AQ36),2)="T",1,IF(OFFSET(AQ36,ROW(AQ$2)-ROW(AQ36),1)="T",0,-1))),TRUE)</f>
        <v>0</v>
      </c>
      <c r="AR36" s="363">
        <f t="shared" ca="1" si="20"/>
        <v>0</v>
      </c>
      <c r="AS36" s="360">
        <f t="shared" ca="1" si="8"/>
        <v>0</v>
      </c>
      <c r="AT36" s="361">
        <f ca="1">INDIRECT("'"&amp; MID(OFFSET(AT36,ROW(AT$3)-ROW(AT36),IF(OFFSET(AT36,ROW(AT$2)-ROW(AT36),2)="T",0,IF(OFFSET(AT36,ROW(AT$2)-ROW(AT36),1)="T",-1,-2))),1,6) &amp; "'!" &amp; ADDRESS(ROW(AT36),MATCH(INDIRECT(ADDRESS(2,COLUMN(AT36)+IF(OFFSET(AT36,ROW(AT$2)-ROW(AT36),2)="T",1,IF(OFFSET(AT36,ROW(AT$2)-ROW(AT36),1)="T",0,-1))),TRUE),INDIRECT("'"&amp; MID(OFFSET(AT36,ROW(AT$3)-ROW(AT36),IF(OFFSET(AT36,ROW(AT$2)-ROW(AT36),2)="T",0,IF(OFFSET(AT36,ROW(AT$2)-ROW(AT36),1)="T",-1,-2))),1,6) &amp; "'!2:2",TRUE),0)-IF(OFFSET(AT36,ROW(AT$2)-ROW(AT36),2)="T",1,IF(OFFSET(AT36,ROW(AT$2)-ROW(AT36),1)="T",0,-1))),TRUE)</f>
        <v>0</v>
      </c>
      <c r="AU36" s="362">
        <f ca="1">INDIRECT("'"&amp; MID(OFFSET(AU36,ROW(AU$3)-ROW(AU36),IF(OFFSET(AU36,ROW(AU$2)-ROW(AU36),2)="T",0,IF(OFFSET(AU36,ROW(AU$2)-ROW(AU36),1)="T",-1,-2))),1,6) &amp; "'!" &amp; ADDRESS(ROW(AU36),MATCH(INDIRECT(ADDRESS(2,COLUMN(AU36)+IF(OFFSET(AU36,ROW(AU$2)-ROW(AU36),2)="T",1,IF(OFFSET(AU36,ROW(AU$2)-ROW(AU36),1)="T",0,-1))),TRUE),INDIRECT("'"&amp; MID(OFFSET(AU36,ROW(AU$3)-ROW(AU36),IF(OFFSET(AU36,ROW(AU$2)-ROW(AU36),2)="T",0,IF(OFFSET(AU36,ROW(AU$2)-ROW(AU36),1)="T",-1,-2))),1,6) &amp; "'!2:2",TRUE),0)-IF(OFFSET(AU36,ROW(AU$2)-ROW(AU36),2)="T",1,IF(OFFSET(AU36,ROW(AU$2)-ROW(AU36),1)="T",0,-1))),TRUE)</f>
        <v>0</v>
      </c>
      <c r="AV36" s="363">
        <f t="shared" ca="1" si="21"/>
        <v>0</v>
      </c>
      <c r="AW36" s="360">
        <f t="shared" ca="1" si="9"/>
        <v>0</v>
      </c>
      <c r="AX36" s="361">
        <f ca="1">INDIRECT("'"&amp; MID(OFFSET(AX36,ROW(AX$3)-ROW(AX36),IF(OFFSET(AX36,ROW(AX$2)-ROW(AX36),2)="T",0,IF(OFFSET(AX36,ROW(AX$2)-ROW(AX36),1)="T",-1,-2))),1,6) &amp; "'!" &amp; ADDRESS(ROW(AX36),MATCH(INDIRECT(ADDRESS(2,COLUMN(AX36)+IF(OFFSET(AX36,ROW(AX$2)-ROW(AX36),2)="T",1,IF(OFFSET(AX36,ROW(AX$2)-ROW(AX36),1)="T",0,-1))),TRUE),INDIRECT("'"&amp; MID(OFFSET(AX36,ROW(AX$3)-ROW(AX36),IF(OFFSET(AX36,ROW(AX$2)-ROW(AX36),2)="T",0,IF(OFFSET(AX36,ROW(AX$2)-ROW(AX36),1)="T",-1,-2))),1,6) &amp; "'!2:2",TRUE),0)-IF(OFFSET(AX36,ROW(AX$2)-ROW(AX36),2)="T",1,IF(OFFSET(AX36,ROW(AX$2)-ROW(AX36),1)="T",0,-1))),TRUE)</f>
        <v>0</v>
      </c>
      <c r="AY36" s="362">
        <f ca="1">INDIRECT("'"&amp; MID(OFFSET(AY36,ROW(AY$3)-ROW(AY36),IF(OFFSET(AY36,ROW(AY$2)-ROW(AY36),2)="T",0,IF(OFFSET(AY36,ROW(AY$2)-ROW(AY36),1)="T",-1,-2))),1,6) &amp; "'!" &amp; ADDRESS(ROW(AY36),MATCH(INDIRECT(ADDRESS(2,COLUMN(AY36)+IF(OFFSET(AY36,ROW(AY$2)-ROW(AY36),2)="T",1,IF(OFFSET(AY36,ROW(AY$2)-ROW(AY36),1)="T",0,-1))),TRUE),INDIRECT("'"&amp; MID(OFFSET(AY36,ROW(AY$3)-ROW(AY36),IF(OFFSET(AY36,ROW(AY$2)-ROW(AY36),2)="T",0,IF(OFFSET(AY36,ROW(AY$2)-ROW(AY36),1)="T",-1,-2))),1,6) &amp; "'!2:2",TRUE),0)-IF(OFFSET(AY36,ROW(AY$2)-ROW(AY36),2)="T",1,IF(OFFSET(AY36,ROW(AY$2)-ROW(AY36),1)="T",0,-1))),TRUE)</f>
        <v>0</v>
      </c>
      <c r="AZ36" s="363">
        <f t="shared" ca="1" si="22"/>
        <v>0</v>
      </c>
      <c r="BA36" s="360">
        <f t="shared" ca="1" si="10"/>
        <v>0</v>
      </c>
      <c r="BB36" s="361">
        <f ca="1">INDIRECT("'"&amp; MID(OFFSET(BB36,ROW(BB$3)-ROW(BB36),IF(OFFSET(BB36,ROW(BB$2)-ROW(BB36),2)="T",0,IF(OFFSET(BB36,ROW(BB$2)-ROW(BB36),1)="T",-1,-2))),1,6) &amp; "'!" &amp; ADDRESS(ROW(BB36),MATCH(INDIRECT(ADDRESS(2,COLUMN(BB36)+IF(OFFSET(BB36,ROW(BB$2)-ROW(BB36),2)="T",1,IF(OFFSET(BB36,ROW(BB$2)-ROW(BB36),1)="T",0,-1))),TRUE),INDIRECT("'"&amp; MID(OFFSET(BB36,ROW(BB$3)-ROW(BB36),IF(OFFSET(BB36,ROW(BB$2)-ROW(BB36),2)="T",0,IF(OFFSET(BB36,ROW(BB$2)-ROW(BB36),1)="T",-1,-2))),1,6) &amp; "'!2:2",TRUE),0)-IF(OFFSET(BB36,ROW(BB$2)-ROW(BB36),2)="T",1,IF(OFFSET(BB36,ROW(BB$2)-ROW(BB36),1)="T",0,-1))),TRUE)</f>
        <v>0</v>
      </c>
      <c r="BC36" s="362">
        <f ca="1">INDIRECT("'"&amp; MID(OFFSET(BC36,ROW(BC$3)-ROW(BC36),IF(OFFSET(BC36,ROW(BC$2)-ROW(BC36),2)="T",0,IF(OFFSET(BC36,ROW(BC$2)-ROW(BC36),1)="T",-1,-2))),1,6) &amp; "'!" &amp; ADDRESS(ROW(BC36),MATCH(INDIRECT(ADDRESS(2,COLUMN(BC36)+IF(OFFSET(BC36,ROW(BC$2)-ROW(BC36),2)="T",1,IF(OFFSET(BC36,ROW(BC$2)-ROW(BC36),1)="T",0,-1))),TRUE),INDIRECT("'"&amp; MID(OFFSET(BC36,ROW(BC$3)-ROW(BC36),IF(OFFSET(BC36,ROW(BC$2)-ROW(BC36),2)="T",0,IF(OFFSET(BC36,ROW(BC$2)-ROW(BC36),1)="T",-1,-2))),1,6) &amp; "'!2:2",TRUE),0)-IF(OFFSET(BC36,ROW(BC$2)-ROW(BC36),2)="T",1,IF(OFFSET(BC36,ROW(BC$2)-ROW(BC36),1)="T",0,-1))),TRUE)</f>
        <v>0</v>
      </c>
      <c r="BD36" s="363">
        <f t="shared" ca="1" si="23"/>
        <v>0</v>
      </c>
      <c r="BE36" s="360">
        <f t="shared" ca="1" si="11"/>
        <v>0</v>
      </c>
      <c r="BF36" s="361">
        <f ca="1">INDIRECT("'"&amp; MID(OFFSET(BF36,ROW(BF$3)-ROW(BF36),IF(OFFSET(BF36,ROW(BF$2)-ROW(BF36),2)="T",0,IF(OFFSET(BF36,ROW(BF$2)-ROW(BF36),1)="T",-1,-2))),1,6) &amp; "'!" &amp; ADDRESS(ROW(BF36),MATCH(INDIRECT(ADDRESS(2,COLUMN(BF36)+IF(OFFSET(BF36,ROW(BF$2)-ROW(BF36),2)="T",1,IF(OFFSET(BF36,ROW(BF$2)-ROW(BF36),1)="T",0,-1))),TRUE),INDIRECT("'"&amp; MID(OFFSET(BF36,ROW(BF$3)-ROW(BF36),IF(OFFSET(BF36,ROW(BF$2)-ROW(BF36),2)="T",0,IF(OFFSET(BF36,ROW(BF$2)-ROW(BF36),1)="T",-1,-2))),1,6) &amp; "'!2:2",TRUE),0)-IF(OFFSET(BF36,ROW(BF$2)-ROW(BF36),2)="T",1,IF(OFFSET(BF36,ROW(BF$2)-ROW(BF36),1)="T",0,-1))),TRUE)</f>
        <v>0</v>
      </c>
      <c r="BG36" s="362">
        <f ca="1">INDIRECT("'"&amp; MID(OFFSET(BG36,ROW(BG$3)-ROW(BG36),IF(OFFSET(BG36,ROW(BG$2)-ROW(BG36),2)="T",0,IF(OFFSET(BG36,ROW(BG$2)-ROW(BG36),1)="T",-1,-2))),1,6) &amp; "'!" &amp; ADDRESS(ROW(BG36),MATCH(INDIRECT(ADDRESS(2,COLUMN(BG36)+IF(OFFSET(BG36,ROW(BG$2)-ROW(BG36),2)="T",1,IF(OFFSET(BG36,ROW(BG$2)-ROW(BG36),1)="T",0,-1))),TRUE),INDIRECT("'"&amp; MID(OFFSET(BG36,ROW(BG$3)-ROW(BG36),IF(OFFSET(BG36,ROW(BG$2)-ROW(BG36),2)="T",0,IF(OFFSET(BG36,ROW(BG$2)-ROW(BG36),1)="T",-1,-2))),1,6) &amp; "'!2:2",TRUE),0)-IF(OFFSET(BG36,ROW(BG$2)-ROW(BG36),2)="T",1,IF(OFFSET(BG36,ROW(BG$2)-ROW(BG36),1)="T",0,-1))),TRUE)</f>
        <v>0</v>
      </c>
      <c r="BH36" s="363">
        <f t="shared" ca="1" si="24"/>
        <v>0</v>
      </c>
      <c r="BI36" s="360">
        <f t="shared" ca="1" si="12"/>
        <v>0</v>
      </c>
      <c r="BJ36" s="361">
        <f ca="1">INDIRECT("'"&amp; MID(OFFSET(BJ36,ROW(BJ$3)-ROW(BJ36),IF(OFFSET(BJ36,ROW(BJ$2)-ROW(BJ36),2)="T",0,IF(OFFSET(BJ36,ROW(BJ$2)-ROW(BJ36),1)="T",-1,-2))),1,6) &amp; "'!" &amp; ADDRESS(ROW(BJ36),MATCH(INDIRECT(ADDRESS(2,COLUMN(BJ36)+IF(OFFSET(BJ36,ROW(BJ$2)-ROW(BJ36),2)="T",1,IF(OFFSET(BJ36,ROW(BJ$2)-ROW(BJ36),1)="T",0,-1))),TRUE),INDIRECT("'"&amp; MID(OFFSET(BJ36,ROW(BJ$3)-ROW(BJ36),IF(OFFSET(BJ36,ROW(BJ$2)-ROW(BJ36),2)="T",0,IF(OFFSET(BJ36,ROW(BJ$2)-ROW(BJ36),1)="T",-1,-2))),1,6) &amp; "'!2:2",TRUE),0)-IF(OFFSET(BJ36,ROW(BJ$2)-ROW(BJ36),2)="T",1,IF(OFFSET(BJ36,ROW(BJ$2)-ROW(BJ36),1)="T",0,-1))),TRUE)</f>
        <v>0</v>
      </c>
      <c r="BK36" s="362">
        <f ca="1">INDIRECT("'"&amp; MID(OFFSET(BK36,ROW(BK$3)-ROW(BK36),IF(OFFSET(BK36,ROW(BK$2)-ROW(BK36),2)="T",0,IF(OFFSET(BK36,ROW(BK$2)-ROW(BK36),1)="T",-1,-2))),1,6) &amp; "'!" &amp; ADDRESS(ROW(BK36),MATCH(INDIRECT(ADDRESS(2,COLUMN(BK36)+IF(OFFSET(BK36,ROW(BK$2)-ROW(BK36),2)="T",1,IF(OFFSET(BK36,ROW(BK$2)-ROW(BK36),1)="T",0,-1))),TRUE),INDIRECT("'"&amp; MID(OFFSET(BK36,ROW(BK$3)-ROW(BK36),IF(OFFSET(BK36,ROW(BK$2)-ROW(BK36),2)="T",0,IF(OFFSET(BK36,ROW(BK$2)-ROW(BK36),1)="T",-1,-2))),1,6) &amp; "'!2:2",TRUE),0)-IF(OFFSET(BK36,ROW(BK$2)-ROW(BK36),2)="T",1,IF(OFFSET(BK36,ROW(BK$2)-ROW(BK36),1)="T",0,-1))),TRUE)</f>
        <v>0</v>
      </c>
      <c r="BL36" s="363">
        <f t="shared" ca="1" si="25"/>
        <v>0</v>
      </c>
      <c r="BM36" s="360">
        <f t="shared" ca="1" si="13"/>
        <v>0</v>
      </c>
      <c r="BN36" s="360">
        <f t="shared" ca="1" si="13"/>
        <v>0</v>
      </c>
    </row>
    <row r="37" spans="1:68">
      <c r="A37" s="221" t="str">
        <f t="shared" ca="1" si="0"/>
        <v>WP001</v>
      </c>
      <c r="B37" s="221" t="str">
        <f t="shared" ca="1" si="1"/>
        <v>WP001</v>
      </c>
      <c r="C37" s="221">
        <v>2</v>
      </c>
      <c r="D37" s="221" t="s">
        <v>129</v>
      </c>
      <c r="F37" s="221" t="s">
        <v>130</v>
      </c>
      <c r="G37" s="221" t="s">
        <v>74</v>
      </c>
      <c r="M37" s="221" t="s">
        <v>46</v>
      </c>
      <c r="N37" s="461"/>
      <c r="O37" s="450" t="s">
        <v>131</v>
      </c>
      <c r="P37" s="451"/>
      <c r="Q37" s="451"/>
      <c r="R37" s="366"/>
      <c r="S37" s="367"/>
      <c r="T37" s="368">
        <f t="shared" ca="1" si="14"/>
        <v>0</v>
      </c>
      <c r="U37" s="369">
        <f t="shared" ca="1" si="2"/>
        <v>0</v>
      </c>
      <c r="V37" s="366"/>
      <c r="W37" s="367"/>
      <c r="X37" s="368">
        <f t="shared" ca="1" si="15"/>
        <v>0</v>
      </c>
      <c r="Y37" s="369">
        <f t="shared" ca="1" si="3"/>
        <v>0</v>
      </c>
      <c r="Z37" s="366"/>
      <c r="AA37" s="367"/>
      <c r="AB37" s="368">
        <f t="shared" ca="1" si="16"/>
        <v>0</v>
      </c>
      <c r="AC37" s="369">
        <f t="shared" ca="1" si="4"/>
        <v>0</v>
      </c>
      <c r="AD37" s="366"/>
      <c r="AE37" s="367"/>
      <c r="AF37" s="368">
        <f t="shared" ca="1" si="17"/>
        <v>0</v>
      </c>
      <c r="AG37" s="369">
        <f t="shared" ca="1" si="5"/>
        <v>0</v>
      </c>
      <c r="AH37" s="366"/>
      <c r="AI37" s="367"/>
      <c r="AJ37" s="368">
        <f t="shared" ca="1" si="18"/>
        <v>0</v>
      </c>
      <c r="AK37" s="369">
        <f t="shared" ca="1" si="6"/>
        <v>0</v>
      </c>
      <c r="AL37" s="366"/>
      <c r="AM37" s="367"/>
      <c r="AN37" s="368">
        <f t="shared" ca="1" si="19"/>
        <v>0</v>
      </c>
      <c r="AO37" s="369">
        <f t="shared" ca="1" si="7"/>
        <v>0</v>
      </c>
      <c r="AP37" s="366"/>
      <c r="AQ37" s="367"/>
      <c r="AR37" s="368">
        <f t="shared" ca="1" si="20"/>
        <v>0</v>
      </c>
      <c r="AS37" s="369">
        <f t="shared" ca="1" si="8"/>
        <v>0</v>
      </c>
      <c r="AT37" s="366"/>
      <c r="AU37" s="367"/>
      <c r="AV37" s="368">
        <f t="shared" ca="1" si="21"/>
        <v>0</v>
      </c>
      <c r="AW37" s="369">
        <f t="shared" ca="1" si="9"/>
        <v>0</v>
      </c>
      <c r="AX37" s="366"/>
      <c r="AY37" s="367"/>
      <c r="AZ37" s="368">
        <f t="shared" ca="1" si="22"/>
        <v>0</v>
      </c>
      <c r="BA37" s="369">
        <f t="shared" ca="1" si="10"/>
        <v>0</v>
      </c>
      <c r="BB37" s="366"/>
      <c r="BC37" s="367"/>
      <c r="BD37" s="368">
        <f t="shared" ca="1" si="23"/>
        <v>0</v>
      </c>
      <c r="BE37" s="369">
        <f t="shared" ca="1" si="11"/>
        <v>0</v>
      </c>
      <c r="BF37" s="366"/>
      <c r="BG37" s="367"/>
      <c r="BH37" s="368">
        <f t="shared" ca="1" si="24"/>
        <v>0</v>
      </c>
      <c r="BI37" s="369">
        <f t="shared" ca="1" si="12"/>
        <v>0</v>
      </c>
      <c r="BJ37" s="366"/>
      <c r="BK37" s="367"/>
      <c r="BL37" s="368">
        <f t="shared" ca="1" si="25"/>
        <v>0</v>
      </c>
      <c r="BM37" s="369">
        <f t="shared" ca="1" si="13"/>
        <v>0</v>
      </c>
      <c r="BN37" s="369">
        <f t="shared" ca="1" si="13"/>
        <v>0</v>
      </c>
    </row>
    <row r="38" spans="1:68">
      <c r="A38" s="221" t="str">
        <f t="shared" ca="1" si="0"/>
        <v>WP001</v>
      </c>
      <c r="B38" s="221" t="str">
        <f t="shared" ca="1" si="1"/>
        <v>WP001</v>
      </c>
      <c r="C38" s="221">
        <v>1</v>
      </c>
      <c r="N38" s="461"/>
      <c r="O38" s="258"/>
      <c r="P38" s="249"/>
      <c r="Q38" s="249"/>
      <c r="R38" s="361"/>
      <c r="S38" s="362"/>
      <c r="T38" s="363"/>
      <c r="U38" s="360"/>
      <c r="V38" s="361"/>
      <c r="W38" s="362"/>
      <c r="X38" s="363"/>
      <c r="Y38" s="360"/>
      <c r="Z38" s="361"/>
      <c r="AA38" s="362"/>
      <c r="AB38" s="363"/>
      <c r="AC38" s="360"/>
      <c r="AD38" s="361"/>
      <c r="AE38" s="362"/>
      <c r="AF38" s="363"/>
      <c r="AG38" s="360"/>
      <c r="AH38" s="361"/>
      <c r="AI38" s="362"/>
      <c r="AJ38" s="363"/>
      <c r="AK38" s="360"/>
      <c r="AL38" s="361"/>
      <c r="AM38" s="362"/>
      <c r="AN38" s="363"/>
      <c r="AO38" s="360"/>
      <c r="AP38" s="361"/>
      <c r="AQ38" s="362"/>
      <c r="AR38" s="363"/>
      <c r="AS38" s="360"/>
      <c r="AT38" s="361"/>
      <c r="AU38" s="362"/>
      <c r="AV38" s="363"/>
      <c r="AW38" s="360"/>
      <c r="AX38" s="361"/>
      <c r="AY38" s="362"/>
      <c r="AZ38" s="363"/>
      <c r="BA38" s="360"/>
      <c r="BB38" s="361"/>
      <c r="BC38" s="362"/>
      <c r="BD38" s="363"/>
      <c r="BE38" s="360"/>
      <c r="BF38" s="361"/>
      <c r="BG38" s="362"/>
      <c r="BH38" s="363"/>
      <c r="BI38" s="360"/>
      <c r="BJ38" s="361"/>
      <c r="BK38" s="362"/>
      <c r="BL38" s="363"/>
      <c r="BM38" s="360"/>
      <c r="BN38" s="360"/>
    </row>
    <row r="39" spans="1:68">
      <c r="A39" s="221" t="str">
        <f t="shared" ca="1" si="0"/>
        <v>WP001</v>
      </c>
      <c r="B39" s="221" t="str">
        <f t="shared" ca="1" si="1"/>
        <v>WP001</v>
      </c>
      <c r="C39" s="221">
        <v>2</v>
      </c>
      <c r="D39" s="221" t="s">
        <v>132</v>
      </c>
      <c r="F39" s="221" t="s">
        <v>130</v>
      </c>
      <c r="M39" s="221" t="s">
        <v>133</v>
      </c>
      <c r="N39" s="461"/>
      <c r="O39" s="452" t="s">
        <v>134</v>
      </c>
      <c r="P39" s="453"/>
      <c r="Q39" s="453"/>
      <c r="R39" s="370"/>
      <c r="S39" s="371"/>
      <c r="T39" s="372">
        <f ca="1">IF(OFFSET(T39,ROW(T$2)-ROW(T39),0)="TT","TT",IF(OFFSET(T39,0,COLUMN($M39)-COLUMN(T39))="%",ROUND((OFFSET(T39,-2,0)-OFFSET(T39,-19,0))*0.07,2),IF(OFFSET(T39,0,COLUMN($M39)-COLUMN(T39))="V",ROUND(OFFSET(T39,0,-2)*OFFSET(T39,0,-1),2),SUMIF(INDIRECT(ADDRESS(MATCH("START"&amp;OFFSET(T39,0,COLUMN($B39)-COLUMN(T39)),$A:$A,0),$C39+COLUMN($E39)+1)&amp;":"&amp;ADDRESS(MATCH("END"&amp;OFFSET(T39,0,COLUMN($B39)-COLUMN(T39)),$A:$A,0),$C39+COLUMN($E39)+1),TRUE),INDIRECT(ADDRESS(ROW(T39),$C39+COLUMN($E39)),TRUE),INDIRECT(ADDRESS(MATCH("START"&amp;OFFSET(T39,0,COLUMN($B39)-COLUMN(T39)),$A:$A,0),COLUMN(T39))&amp;":"&amp;ADDRESS(MATCH("END"&amp;OFFSET(T39,0,COLUMN($B39)-COLUMN(T39)),$A:$A,0),COLUMN(T39)),TRUE)))))</f>
        <v>0</v>
      </c>
      <c r="U39" s="356">
        <f ca="1">IF(OFFSET(U39,ROW(U$2)-ROW(U39),0)="TT",SUMIF(INDIRECT(ADDRESS(2,COLUMN($Q39)+1) &amp; ":" &amp; ADDRESS(2,COLUMN(U39)-1),TRUE),"TBE",INDIRECT(ADDRESS(ROW(U39), COLUMN($Q39)+1) &amp; ":" &amp; ADDRESS(ROW(U39),COLUMN(U39)-1),TRUE)),IF(OFFSET(U39,ROW(U$2)-ROW(U39),0)="TBE",SUMIF(INDIRECT(ADDRESS(2,MATCH(INT(OFFSET(U39,ROW(U$2)-ROW(U39),-2)),$2:$2,0)) &amp; ":" &amp; ADDRESS(2,COLUMN(U39)-1),TRUE),"T",INDIRECT(ADDRESS(ROW(U39), MATCH(INT(OFFSET(U39,ROW(U$2)-ROW(U39),-2)),$2:$2,0)) &amp; ":" &amp; ADDRESS(ROW(U39),COLUMN(U39)-1),TRUE)),IF(OFFSET(U39,0,COLUMN($M39)-COLUMN(U39))="V",OFFSET(U39,0,-2)*OFFSET(U39,0,-1),"TOTAL")))</f>
        <v>0</v>
      </c>
      <c r="V39" s="370"/>
      <c r="W39" s="371"/>
      <c r="X39" s="372">
        <f ca="1">IF(OFFSET(X39,ROW(X$2)-ROW(X39),0)="TT","TT",IF(OFFSET(X39,0,COLUMN($M39)-COLUMN(X39))="%",ROUND((OFFSET(X39,-2,0)-OFFSET(X39,-19,0))*0.07,2),IF(OFFSET(X39,0,COLUMN($M39)-COLUMN(X39))="V",ROUND(OFFSET(X39,0,-2)*OFFSET(X39,0,-1),2),SUMIF(INDIRECT(ADDRESS(MATCH("START"&amp;OFFSET(X39,0,COLUMN($B39)-COLUMN(X39)),$A:$A,0),$C39+COLUMN($E39)+1)&amp;":"&amp;ADDRESS(MATCH("END"&amp;OFFSET(X39,0,COLUMN($B39)-COLUMN(X39)),$A:$A,0),$C39+COLUMN($E39)+1),TRUE),INDIRECT(ADDRESS(ROW(X39),$C39+COLUMN($E39)),TRUE),INDIRECT(ADDRESS(MATCH("START"&amp;OFFSET(X39,0,COLUMN($B39)-COLUMN(X39)),$A:$A,0),COLUMN(X39))&amp;":"&amp;ADDRESS(MATCH("END"&amp;OFFSET(X39,0,COLUMN($B39)-COLUMN(X39)),$A:$A,0),COLUMN(X39)),TRUE)))))</f>
        <v>0</v>
      </c>
      <c r="Y39" s="356">
        <f ca="1">IF(OFFSET(Y39,ROW(Y$2)-ROW(Y39),0)="TT",SUMIF(INDIRECT(ADDRESS(2,COLUMN($Q39)+1) &amp; ":" &amp; ADDRESS(2,COLUMN(Y39)-1),TRUE),"TBE",INDIRECT(ADDRESS(ROW(Y39), COLUMN($Q39)+1) &amp; ":" &amp; ADDRESS(ROW(Y39),COLUMN(Y39)-1),TRUE)),IF(OFFSET(Y39,ROW(Y$2)-ROW(Y39),0)="TBE",SUMIF(INDIRECT(ADDRESS(2,MATCH(INT(OFFSET(Y39,ROW(Y$2)-ROW(Y39),-2)),$2:$2,0)) &amp; ":" &amp; ADDRESS(2,COLUMN(Y39)-1),TRUE),"T",INDIRECT(ADDRESS(ROW(Y39), MATCH(INT(OFFSET(Y39,ROW(Y$2)-ROW(Y39),-2)),$2:$2,0)) &amp; ":" &amp; ADDRESS(ROW(Y39),COLUMN(Y39)-1),TRUE)),IF(OFFSET(Y39,0,COLUMN($M39)-COLUMN(Y39))="V",OFFSET(Y39,0,-2)*OFFSET(Y39,0,-1),"TOTAL")))</f>
        <v>0</v>
      </c>
      <c r="Z39" s="370"/>
      <c r="AA39" s="371"/>
      <c r="AB39" s="372">
        <f ca="1">IF(OFFSET(AB39,ROW(AB$2)-ROW(AB39),0)="TT","TT",IF(OFFSET(AB39,0,COLUMN($M39)-COLUMN(AB39))="%",ROUND((OFFSET(AB39,-2,0)-OFFSET(AB39,-19,0))*0.07,2),IF(OFFSET(AB39,0,COLUMN($M39)-COLUMN(AB39))="V",ROUND(OFFSET(AB39,0,-2)*OFFSET(AB39,0,-1),2),SUMIF(INDIRECT(ADDRESS(MATCH("START"&amp;OFFSET(AB39,0,COLUMN($B39)-COLUMN(AB39)),$A:$A,0),$C39+COLUMN($E39)+1)&amp;":"&amp;ADDRESS(MATCH("END"&amp;OFFSET(AB39,0,COLUMN($B39)-COLUMN(AB39)),$A:$A,0),$C39+COLUMN($E39)+1),TRUE),INDIRECT(ADDRESS(ROW(AB39),$C39+COLUMN($E39)),TRUE),INDIRECT(ADDRESS(MATCH("START"&amp;OFFSET(AB39,0,COLUMN($B39)-COLUMN(AB39)),$A:$A,0),COLUMN(AB39))&amp;":"&amp;ADDRESS(MATCH("END"&amp;OFFSET(AB39,0,COLUMN($B39)-COLUMN(AB39)),$A:$A,0),COLUMN(AB39)),TRUE)))))</f>
        <v>0</v>
      </c>
      <c r="AC39" s="356">
        <f ca="1">IF(OFFSET(AC39,ROW(AC$2)-ROW(AC39),0)="TT",SUMIF(INDIRECT(ADDRESS(2,COLUMN($Q39)+1) &amp; ":" &amp; ADDRESS(2,COLUMN(AC39)-1),TRUE),"TBE",INDIRECT(ADDRESS(ROW(AC39), COLUMN($Q39)+1) &amp; ":" &amp; ADDRESS(ROW(AC39),COLUMN(AC39)-1),TRUE)),IF(OFFSET(AC39,ROW(AC$2)-ROW(AC39),0)="TBE",SUMIF(INDIRECT(ADDRESS(2,MATCH(INT(OFFSET(AC39,ROW(AC$2)-ROW(AC39),-2)),$2:$2,0)) &amp; ":" &amp; ADDRESS(2,COLUMN(AC39)-1),TRUE),"T",INDIRECT(ADDRESS(ROW(AC39), MATCH(INT(OFFSET(AC39,ROW(AC$2)-ROW(AC39),-2)),$2:$2,0)) &amp; ":" &amp; ADDRESS(ROW(AC39),COLUMN(AC39)-1),TRUE)),IF(OFFSET(AC39,0,COLUMN($M39)-COLUMN(AC39))="V",OFFSET(AC39,0,-2)*OFFSET(AC39,0,-1),"TOTAL")))</f>
        <v>0</v>
      </c>
      <c r="AD39" s="370"/>
      <c r="AE39" s="371"/>
      <c r="AF39" s="372">
        <f ca="1">IF(OFFSET(AF39,ROW(AF$2)-ROW(AF39),0)="TT","TT",IF(OFFSET(AF39,0,COLUMN($M39)-COLUMN(AF39))="%",ROUND((OFFSET(AF39,-2,0)-OFFSET(AF39,-19,0))*0.07,2),IF(OFFSET(AF39,0,COLUMN($M39)-COLUMN(AF39))="V",ROUND(OFFSET(AF39,0,-2)*OFFSET(AF39,0,-1),2),SUMIF(INDIRECT(ADDRESS(MATCH("START"&amp;OFFSET(AF39,0,COLUMN($B39)-COLUMN(AF39)),$A:$A,0),$C39+COLUMN($E39)+1)&amp;":"&amp;ADDRESS(MATCH("END"&amp;OFFSET(AF39,0,COLUMN($B39)-COLUMN(AF39)),$A:$A,0),$C39+COLUMN($E39)+1),TRUE),INDIRECT(ADDRESS(ROW(AF39),$C39+COLUMN($E39)),TRUE),INDIRECT(ADDRESS(MATCH("START"&amp;OFFSET(AF39,0,COLUMN($B39)-COLUMN(AF39)),$A:$A,0),COLUMN(AF39))&amp;":"&amp;ADDRESS(MATCH("END"&amp;OFFSET(AF39,0,COLUMN($B39)-COLUMN(AF39)),$A:$A,0),COLUMN(AF39)),TRUE)))))</f>
        <v>0</v>
      </c>
      <c r="AG39" s="356">
        <f ca="1">IF(OFFSET(AG39,ROW(AG$2)-ROW(AG39),0)="TT",SUMIF(INDIRECT(ADDRESS(2,COLUMN($Q39)+1) &amp; ":" &amp; ADDRESS(2,COLUMN(AG39)-1),TRUE),"TBE",INDIRECT(ADDRESS(ROW(AG39), COLUMN($Q39)+1) &amp; ":" &amp; ADDRESS(ROW(AG39),COLUMN(AG39)-1),TRUE)),IF(OFFSET(AG39,ROW(AG$2)-ROW(AG39),0)="TBE",SUMIF(INDIRECT(ADDRESS(2,MATCH(INT(OFFSET(AG39,ROW(AG$2)-ROW(AG39),-2)),$2:$2,0)) &amp; ":" &amp; ADDRESS(2,COLUMN(AG39)-1),TRUE),"T",INDIRECT(ADDRESS(ROW(AG39), MATCH(INT(OFFSET(AG39,ROW(AG$2)-ROW(AG39),-2)),$2:$2,0)) &amp; ":" &amp; ADDRESS(ROW(AG39),COLUMN(AG39)-1),TRUE)),IF(OFFSET(AG39,0,COLUMN($M39)-COLUMN(AG39))="V",OFFSET(AG39,0,-2)*OFFSET(AG39,0,-1),"TOTAL")))</f>
        <v>0</v>
      </c>
      <c r="AH39" s="370"/>
      <c r="AI39" s="371"/>
      <c r="AJ39" s="372">
        <f ca="1">IF(OFFSET(AJ39,ROW(AJ$2)-ROW(AJ39),0)="TT","TT",IF(OFFSET(AJ39,0,COLUMN($M39)-COLUMN(AJ39))="%",ROUND((OFFSET(AJ39,-2,0)-OFFSET(AJ39,-19,0))*0.07,2),IF(OFFSET(AJ39,0,COLUMN($M39)-COLUMN(AJ39))="V",ROUND(OFFSET(AJ39,0,-2)*OFFSET(AJ39,0,-1),2),SUMIF(INDIRECT(ADDRESS(MATCH("START"&amp;OFFSET(AJ39,0,COLUMN($B39)-COLUMN(AJ39)),$A:$A,0),$C39+COLUMN($E39)+1)&amp;":"&amp;ADDRESS(MATCH("END"&amp;OFFSET(AJ39,0,COLUMN($B39)-COLUMN(AJ39)),$A:$A,0),$C39+COLUMN($E39)+1),TRUE),INDIRECT(ADDRESS(ROW(AJ39),$C39+COLUMN($E39)),TRUE),INDIRECT(ADDRESS(MATCH("START"&amp;OFFSET(AJ39,0,COLUMN($B39)-COLUMN(AJ39)),$A:$A,0),COLUMN(AJ39))&amp;":"&amp;ADDRESS(MATCH("END"&amp;OFFSET(AJ39,0,COLUMN($B39)-COLUMN(AJ39)),$A:$A,0),COLUMN(AJ39)),TRUE)))))</f>
        <v>0</v>
      </c>
      <c r="AK39" s="356">
        <f ca="1">IF(OFFSET(AK39,ROW(AK$2)-ROW(AK39),0)="TT",SUMIF(INDIRECT(ADDRESS(2,COLUMN($Q39)+1) &amp; ":" &amp; ADDRESS(2,COLUMN(AK39)-1),TRUE),"TBE",INDIRECT(ADDRESS(ROW(AK39), COLUMN($Q39)+1) &amp; ":" &amp; ADDRESS(ROW(AK39),COLUMN(AK39)-1),TRUE)),IF(OFFSET(AK39,ROW(AK$2)-ROW(AK39),0)="TBE",SUMIF(INDIRECT(ADDRESS(2,MATCH(INT(OFFSET(AK39,ROW(AK$2)-ROW(AK39),-2)),$2:$2,0)) &amp; ":" &amp; ADDRESS(2,COLUMN(AK39)-1),TRUE),"T",INDIRECT(ADDRESS(ROW(AK39), MATCH(INT(OFFSET(AK39,ROW(AK$2)-ROW(AK39),-2)),$2:$2,0)) &amp; ":" &amp; ADDRESS(ROW(AK39),COLUMN(AK39)-1),TRUE)),IF(OFFSET(AK39,0,COLUMN($M39)-COLUMN(AK39))="V",OFFSET(AK39,0,-2)*OFFSET(AK39,0,-1),"TOTAL")))</f>
        <v>0</v>
      </c>
      <c r="AL39" s="370"/>
      <c r="AM39" s="371"/>
      <c r="AN39" s="372">
        <f ca="1">IF(OFFSET(AN39,ROW(AN$2)-ROW(AN39),0)="TT","TT",IF(OFFSET(AN39,0,COLUMN($M39)-COLUMN(AN39))="%",ROUND((OFFSET(AN39,-2,0)-OFFSET(AN39,-19,0))*0.07,2),IF(OFFSET(AN39,0,COLUMN($M39)-COLUMN(AN39))="V",ROUND(OFFSET(AN39,0,-2)*OFFSET(AN39,0,-1),2),SUMIF(INDIRECT(ADDRESS(MATCH("START"&amp;OFFSET(AN39,0,COLUMN($B39)-COLUMN(AN39)),$A:$A,0),$C39+COLUMN($E39)+1)&amp;":"&amp;ADDRESS(MATCH("END"&amp;OFFSET(AN39,0,COLUMN($B39)-COLUMN(AN39)),$A:$A,0),$C39+COLUMN($E39)+1),TRUE),INDIRECT(ADDRESS(ROW(AN39),$C39+COLUMN($E39)),TRUE),INDIRECT(ADDRESS(MATCH("START"&amp;OFFSET(AN39,0,COLUMN($B39)-COLUMN(AN39)),$A:$A,0),COLUMN(AN39))&amp;":"&amp;ADDRESS(MATCH("END"&amp;OFFSET(AN39,0,COLUMN($B39)-COLUMN(AN39)),$A:$A,0),COLUMN(AN39)),TRUE)))))</f>
        <v>0</v>
      </c>
      <c r="AO39" s="356">
        <f ca="1">IF(OFFSET(AO39,ROW(AO$2)-ROW(AO39),0)="TT",SUMIF(INDIRECT(ADDRESS(2,COLUMN($Q39)+1) &amp; ":" &amp; ADDRESS(2,COLUMN(AO39)-1),TRUE),"TBE",INDIRECT(ADDRESS(ROW(AO39), COLUMN($Q39)+1) &amp; ":" &amp; ADDRESS(ROW(AO39),COLUMN(AO39)-1),TRUE)),IF(OFFSET(AO39,ROW(AO$2)-ROW(AO39),0)="TBE",SUMIF(INDIRECT(ADDRESS(2,MATCH(INT(OFFSET(AO39,ROW(AO$2)-ROW(AO39),-2)),$2:$2,0)) &amp; ":" &amp; ADDRESS(2,COLUMN(AO39)-1),TRUE),"T",INDIRECT(ADDRESS(ROW(AO39), MATCH(INT(OFFSET(AO39,ROW(AO$2)-ROW(AO39),-2)),$2:$2,0)) &amp; ":" &amp; ADDRESS(ROW(AO39),COLUMN(AO39)-1),TRUE)),IF(OFFSET(AO39,0,COLUMN($M39)-COLUMN(AO39))="V",OFFSET(AO39,0,-2)*OFFSET(AO39,0,-1),"TOTAL")))</f>
        <v>0</v>
      </c>
      <c r="AP39" s="370"/>
      <c r="AQ39" s="371"/>
      <c r="AR39" s="372">
        <f ca="1">IF(OFFSET(AR39,ROW(AR$2)-ROW(AR39),0)="TT","TT",IF(OFFSET(AR39,0,COLUMN($M39)-COLUMN(AR39))="%",ROUND((OFFSET(AR39,-2,0)-OFFSET(AR39,-19,0))*0.07,2),IF(OFFSET(AR39,0,COLUMN($M39)-COLUMN(AR39))="V",ROUND(OFFSET(AR39,0,-2)*OFFSET(AR39,0,-1),2),SUMIF(INDIRECT(ADDRESS(MATCH("START"&amp;OFFSET(AR39,0,COLUMN($B39)-COLUMN(AR39)),$A:$A,0),$C39+COLUMN($E39)+1)&amp;":"&amp;ADDRESS(MATCH("END"&amp;OFFSET(AR39,0,COLUMN($B39)-COLUMN(AR39)),$A:$A,0),$C39+COLUMN($E39)+1),TRUE),INDIRECT(ADDRESS(ROW(AR39),$C39+COLUMN($E39)),TRUE),INDIRECT(ADDRESS(MATCH("START"&amp;OFFSET(AR39,0,COLUMN($B39)-COLUMN(AR39)),$A:$A,0),COLUMN(AR39))&amp;":"&amp;ADDRESS(MATCH("END"&amp;OFFSET(AR39,0,COLUMN($B39)-COLUMN(AR39)),$A:$A,0),COLUMN(AR39)),TRUE)))))</f>
        <v>0</v>
      </c>
      <c r="AS39" s="356">
        <f ca="1">IF(OFFSET(AS39,ROW(AS$2)-ROW(AS39),0)="TT",SUMIF(INDIRECT(ADDRESS(2,COLUMN($Q39)+1) &amp; ":" &amp; ADDRESS(2,COLUMN(AS39)-1),TRUE),"TBE",INDIRECT(ADDRESS(ROW(AS39), COLUMN($Q39)+1) &amp; ":" &amp; ADDRESS(ROW(AS39),COLUMN(AS39)-1),TRUE)),IF(OFFSET(AS39,ROW(AS$2)-ROW(AS39),0)="TBE",SUMIF(INDIRECT(ADDRESS(2,MATCH(INT(OFFSET(AS39,ROW(AS$2)-ROW(AS39),-2)),$2:$2,0)) &amp; ":" &amp; ADDRESS(2,COLUMN(AS39)-1),TRUE),"T",INDIRECT(ADDRESS(ROW(AS39), MATCH(INT(OFFSET(AS39,ROW(AS$2)-ROW(AS39),-2)),$2:$2,0)) &amp; ":" &amp; ADDRESS(ROW(AS39),COLUMN(AS39)-1),TRUE)),IF(OFFSET(AS39,0,COLUMN($M39)-COLUMN(AS39))="V",OFFSET(AS39,0,-2)*OFFSET(AS39,0,-1),"TOTAL")))</f>
        <v>0</v>
      </c>
      <c r="AT39" s="370"/>
      <c r="AU39" s="371"/>
      <c r="AV39" s="372">
        <f ca="1">IF(OFFSET(AV39,ROW(AV$2)-ROW(AV39),0)="TT","TT",IF(OFFSET(AV39,0,COLUMN($M39)-COLUMN(AV39))="%",ROUND((OFFSET(AV39,-2,0)-OFFSET(AV39,-19,0))*0.07,2),IF(OFFSET(AV39,0,COLUMN($M39)-COLUMN(AV39))="V",ROUND(OFFSET(AV39,0,-2)*OFFSET(AV39,0,-1),2),SUMIF(INDIRECT(ADDRESS(MATCH("START"&amp;OFFSET(AV39,0,COLUMN($B39)-COLUMN(AV39)),$A:$A,0),$C39+COLUMN($E39)+1)&amp;":"&amp;ADDRESS(MATCH("END"&amp;OFFSET(AV39,0,COLUMN($B39)-COLUMN(AV39)),$A:$A,0),$C39+COLUMN($E39)+1),TRUE),INDIRECT(ADDRESS(ROW(AV39),$C39+COLUMN($E39)),TRUE),INDIRECT(ADDRESS(MATCH("START"&amp;OFFSET(AV39,0,COLUMN($B39)-COLUMN(AV39)),$A:$A,0),COLUMN(AV39))&amp;":"&amp;ADDRESS(MATCH("END"&amp;OFFSET(AV39,0,COLUMN($B39)-COLUMN(AV39)),$A:$A,0),COLUMN(AV39)),TRUE)))))</f>
        <v>0</v>
      </c>
      <c r="AW39" s="356">
        <f ca="1">IF(OFFSET(AW39,ROW(AW$2)-ROW(AW39),0)="TT",SUMIF(INDIRECT(ADDRESS(2,COLUMN($Q39)+1) &amp; ":" &amp; ADDRESS(2,COLUMN(AW39)-1),TRUE),"TBE",INDIRECT(ADDRESS(ROW(AW39), COLUMN($Q39)+1) &amp; ":" &amp; ADDRESS(ROW(AW39),COLUMN(AW39)-1),TRUE)),IF(OFFSET(AW39,ROW(AW$2)-ROW(AW39),0)="TBE",SUMIF(INDIRECT(ADDRESS(2,MATCH(INT(OFFSET(AW39,ROW(AW$2)-ROW(AW39),-2)),$2:$2,0)) &amp; ":" &amp; ADDRESS(2,COLUMN(AW39)-1),TRUE),"T",INDIRECT(ADDRESS(ROW(AW39), MATCH(INT(OFFSET(AW39,ROW(AW$2)-ROW(AW39),-2)),$2:$2,0)) &amp; ":" &amp; ADDRESS(ROW(AW39),COLUMN(AW39)-1),TRUE)),IF(OFFSET(AW39,0,COLUMN($M39)-COLUMN(AW39))="V",OFFSET(AW39,0,-2)*OFFSET(AW39,0,-1),"TOTAL")))</f>
        <v>0</v>
      </c>
      <c r="AX39" s="370"/>
      <c r="AY39" s="371"/>
      <c r="AZ39" s="372">
        <f ca="1">IF(OFFSET(AZ39,ROW(AZ$2)-ROW(AZ39),0)="TT","TT",IF(OFFSET(AZ39,0,COLUMN($M39)-COLUMN(AZ39))="%",ROUND((OFFSET(AZ39,-2,0)-OFFSET(AZ39,-19,0))*0.07,2),IF(OFFSET(AZ39,0,COLUMN($M39)-COLUMN(AZ39))="V",ROUND(OFFSET(AZ39,0,-2)*OFFSET(AZ39,0,-1),2),SUMIF(INDIRECT(ADDRESS(MATCH("START"&amp;OFFSET(AZ39,0,COLUMN($B39)-COLUMN(AZ39)),$A:$A,0),$C39+COLUMN($E39)+1)&amp;":"&amp;ADDRESS(MATCH("END"&amp;OFFSET(AZ39,0,COLUMN($B39)-COLUMN(AZ39)),$A:$A,0),$C39+COLUMN($E39)+1),TRUE),INDIRECT(ADDRESS(ROW(AZ39),$C39+COLUMN($E39)),TRUE),INDIRECT(ADDRESS(MATCH("START"&amp;OFFSET(AZ39,0,COLUMN($B39)-COLUMN(AZ39)),$A:$A,0),COLUMN(AZ39))&amp;":"&amp;ADDRESS(MATCH("END"&amp;OFFSET(AZ39,0,COLUMN($B39)-COLUMN(AZ39)),$A:$A,0),COLUMN(AZ39)),TRUE)))))</f>
        <v>0</v>
      </c>
      <c r="BA39" s="356">
        <f ca="1">IF(OFFSET(BA39,ROW(BA$2)-ROW(BA39),0)="TT",SUMIF(INDIRECT(ADDRESS(2,COLUMN($Q39)+1) &amp; ":" &amp; ADDRESS(2,COLUMN(BA39)-1),TRUE),"TBE",INDIRECT(ADDRESS(ROW(BA39), COLUMN($Q39)+1) &amp; ":" &amp; ADDRESS(ROW(BA39),COLUMN(BA39)-1),TRUE)),IF(OFFSET(BA39,ROW(BA$2)-ROW(BA39),0)="TBE",SUMIF(INDIRECT(ADDRESS(2,MATCH(INT(OFFSET(BA39,ROW(BA$2)-ROW(BA39),-2)),$2:$2,0)) &amp; ":" &amp; ADDRESS(2,COLUMN(BA39)-1),TRUE),"T",INDIRECT(ADDRESS(ROW(BA39), MATCH(INT(OFFSET(BA39,ROW(BA$2)-ROW(BA39),-2)),$2:$2,0)) &amp; ":" &amp; ADDRESS(ROW(BA39),COLUMN(BA39)-1),TRUE)),IF(OFFSET(BA39,0,COLUMN($M39)-COLUMN(BA39))="V",OFFSET(BA39,0,-2)*OFFSET(BA39,0,-1),"TOTAL")))</f>
        <v>0</v>
      </c>
      <c r="BB39" s="370"/>
      <c r="BC39" s="371"/>
      <c r="BD39" s="372">
        <f ca="1">IF(OFFSET(BD39,ROW(BD$2)-ROW(BD39),0)="TT","TT",IF(OFFSET(BD39,0,COLUMN($M39)-COLUMN(BD39))="%",ROUND((OFFSET(BD39,-2,0)-OFFSET(BD39,-19,0))*0.07,2),IF(OFFSET(BD39,0,COLUMN($M39)-COLUMN(BD39))="V",ROUND(OFFSET(BD39,0,-2)*OFFSET(BD39,0,-1),2),SUMIF(INDIRECT(ADDRESS(MATCH("START"&amp;OFFSET(BD39,0,COLUMN($B39)-COLUMN(BD39)),$A:$A,0),$C39+COLUMN($E39)+1)&amp;":"&amp;ADDRESS(MATCH("END"&amp;OFFSET(BD39,0,COLUMN($B39)-COLUMN(BD39)),$A:$A,0),$C39+COLUMN($E39)+1),TRUE),INDIRECT(ADDRESS(ROW(BD39),$C39+COLUMN($E39)),TRUE),INDIRECT(ADDRESS(MATCH("START"&amp;OFFSET(BD39,0,COLUMN($B39)-COLUMN(BD39)),$A:$A,0),COLUMN(BD39))&amp;":"&amp;ADDRESS(MATCH("END"&amp;OFFSET(BD39,0,COLUMN($B39)-COLUMN(BD39)),$A:$A,0),COLUMN(BD39)),TRUE)))))</f>
        <v>0</v>
      </c>
      <c r="BE39" s="356">
        <f ca="1">IF(OFFSET(BE39,ROW(BE$2)-ROW(BE39),0)="TT",SUMIF(INDIRECT(ADDRESS(2,COLUMN($Q39)+1) &amp; ":" &amp; ADDRESS(2,COLUMN(BE39)-1),TRUE),"TBE",INDIRECT(ADDRESS(ROW(BE39), COLUMN($Q39)+1) &amp; ":" &amp; ADDRESS(ROW(BE39),COLUMN(BE39)-1),TRUE)),IF(OFFSET(BE39,ROW(BE$2)-ROW(BE39),0)="TBE",SUMIF(INDIRECT(ADDRESS(2,MATCH(INT(OFFSET(BE39,ROW(BE$2)-ROW(BE39),-2)),$2:$2,0)) &amp; ":" &amp; ADDRESS(2,COLUMN(BE39)-1),TRUE),"T",INDIRECT(ADDRESS(ROW(BE39), MATCH(INT(OFFSET(BE39,ROW(BE$2)-ROW(BE39),-2)),$2:$2,0)) &amp; ":" &amp; ADDRESS(ROW(BE39),COLUMN(BE39)-1),TRUE)),IF(OFFSET(BE39,0,COLUMN($M39)-COLUMN(BE39))="V",OFFSET(BE39,0,-2)*OFFSET(BE39,0,-1),"TOTAL")))</f>
        <v>0</v>
      </c>
      <c r="BF39" s="370"/>
      <c r="BG39" s="371"/>
      <c r="BH39" s="372">
        <f ca="1">IF(OFFSET(BH39,ROW(BH$2)-ROW(BH39),0)="TT","TT",IF(OFFSET(BH39,0,COLUMN($M39)-COLUMN(BH39))="%",ROUND((OFFSET(BH39,-2,0)-OFFSET(BH39,-19,0))*0.07,2),IF(OFFSET(BH39,0,COLUMN($M39)-COLUMN(BH39))="V",ROUND(OFFSET(BH39,0,-2)*OFFSET(BH39,0,-1),2),SUMIF(INDIRECT(ADDRESS(MATCH("START"&amp;OFFSET(BH39,0,COLUMN($B39)-COLUMN(BH39)),$A:$A,0),$C39+COLUMN($E39)+1)&amp;":"&amp;ADDRESS(MATCH("END"&amp;OFFSET(BH39,0,COLUMN($B39)-COLUMN(BH39)),$A:$A,0),$C39+COLUMN($E39)+1),TRUE),INDIRECT(ADDRESS(ROW(BH39),$C39+COLUMN($E39)),TRUE),INDIRECT(ADDRESS(MATCH("START"&amp;OFFSET(BH39,0,COLUMN($B39)-COLUMN(BH39)),$A:$A,0),COLUMN(BH39))&amp;":"&amp;ADDRESS(MATCH("END"&amp;OFFSET(BH39,0,COLUMN($B39)-COLUMN(BH39)),$A:$A,0),COLUMN(BH39)),TRUE)))))</f>
        <v>0</v>
      </c>
      <c r="BI39" s="356">
        <f ca="1">IF(OFFSET(BI39,ROW(BI$2)-ROW(BI39),0)="TT",SUMIF(INDIRECT(ADDRESS(2,COLUMN($Q39)+1) &amp; ":" &amp; ADDRESS(2,COLUMN(BI39)-1),TRUE),"TBE",INDIRECT(ADDRESS(ROW(BI39), COLUMN($Q39)+1) &amp; ":" &amp; ADDRESS(ROW(BI39),COLUMN(BI39)-1),TRUE)),IF(OFFSET(BI39,ROW(BI$2)-ROW(BI39),0)="TBE",SUMIF(INDIRECT(ADDRESS(2,MATCH(INT(OFFSET(BI39,ROW(BI$2)-ROW(BI39),-2)),$2:$2,0)) &amp; ":" &amp; ADDRESS(2,COLUMN(BI39)-1),TRUE),"T",INDIRECT(ADDRESS(ROW(BI39), MATCH(INT(OFFSET(BI39,ROW(BI$2)-ROW(BI39),-2)),$2:$2,0)) &amp; ":" &amp; ADDRESS(ROW(BI39),COLUMN(BI39)-1),TRUE)),IF(OFFSET(BI39,0,COLUMN($M39)-COLUMN(BI39))="V",OFFSET(BI39,0,-2)*OFFSET(BI39,0,-1),"TOTAL")))</f>
        <v>0</v>
      </c>
      <c r="BJ39" s="370"/>
      <c r="BK39" s="371"/>
      <c r="BL39" s="372">
        <f ca="1">IF(OFFSET(BL39,ROW(BL$2)-ROW(BL39),0)="TT","TT",IF(OFFSET(BL39,0,COLUMN($M39)-COLUMN(BL39))="%",ROUND((OFFSET(BL39,-2,0)-OFFSET(BL39,-19,0))*0.07,2),IF(OFFSET(BL39,0,COLUMN($M39)-COLUMN(BL39))="V",ROUND(OFFSET(BL39,0,-2)*OFFSET(BL39,0,-1),2),SUMIF(INDIRECT(ADDRESS(MATCH("START"&amp;OFFSET(BL39,0,COLUMN($B39)-COLUMN(BL39)),$A:$A,0),$C39+COLUMN($E39)+1)&amp;":"&amp;ADDRESS(MATCH("END"&amp;OFFSET(BL39,0,COLUMN($B39)-COLUMN(BL39)),$A:$A,0),$C39+COLUMN($E39)+1),TRUE),INDIRECT(ADDRESS(ROW(BL39),$C39+COLUMN($E39)),TRUE),INDIRECT(ADDRESS(MATCH("START"&amp;OFFSET(BL39,0,COLUMN($B39)-COLUMN(BL39)),$A:$A,0),COLUMN(BL39))&amp;":"&amp;ADDRESS(MATCH("END"&amp;OFFSET(BL39,0,COLUMN($B39)-COLUMN(BL39)),$A:$A,0),COLUMN(BL39)),TRUE)))))</f>
        <v>0</v>
      </c>
      <c r="BM39" s="356">
        <f ca="1">IF(OFFSET(BM39,ROW(BM$2)-ROW(BM39),0)="TT",SUMIF(INDIRECT(ADDRESS(2,COLUMN($Q39)+1) &amp; ":" &amp; ADDRESS(2,COLUMN(BM39)-1),TRUE),"TBE",INDIRECT(ADDRESS(ROW(BM39), COLUMN($Q39)+1) &amp; ":" &amp; ADDRESS(ROW(BM39),COLUMN(BM39)-1),TRUE)),IF(OFFSET(BM39,ROW(BM$2)-ROW(BM39),0)="TBE",SUMIF(INDIRECT(ADDRESS(2,MATCH(INT(OFFSET(BM39,ROW(BM$2)-ROW(BM39),-2)),$2:$2,0)) &amp; ":" &amp; ADDRESS(2,COLUMN(BM39)-1),TRUE),"T",INDIRECT(ADDRESS(ROW(BM39), MATCH(INT(OFFSET(BM39,ROW(BM$2)-ROW(BM39),-2)),$2:$2,0)) &amp; ":" &amp; ADDRESS(ROW(BM39),COLUMN(BM39)-1),TRUE)),IF(OFFSET(BM39,0,COLUMN($M39)-COLUMN(BM39))="V",OFFSET(BM39,0,-2)*OFFSET(BM39,0,-1),"TOTAL")))</f>
        <v>0</v>
      </c>
      <c r="BN39" s="356">
        <f ca="1">IF(OFFSET(BN39,ROW(BN$2)-ROW(BN39),0)="TT",SUMIF(INDIRECT(ADDRESS(2,COLUMN($Q39)+1) &amp; ":" &amp; ADDRESS(2,COLUMN(BN39)-1),TRUE),"TBE",INDIRECT(ADDRESS(ROW(BN39), COLUMN($Q39)+1) &amp; ":" &amp; ADDRESS(ROW(BN39),COLUMN(BN39)-1),TRUE)),IF(OFFSET(BN39,ROW(BN$2)-ROW(BN39),0)="TBE",SUMIF(INDIRECT(ADDRESS(2,MATCH(INT(OFFSET(BN39,ROW(BN$2)-ROW(BN39),-2)),$2:$2,0)) &amp; ":" &amp; ADDRESS(2,COLUMN(BN39)-1),TRUE),"T",INDIRECT(ADDRESS(ROW(BN39), MATCH(INT(OFFSET(BN39,ROW(BN$2)-ROW(BN39),-2)),$2:$2,0)) &amp; ":" &amp; ADDRESS(ROW(BN39),COLUMN(BN39)-1),TRUE)),IF(OFFSET(BN39,0,COLUMN($M39)-COLUMN(BN39))="V",OFFSET(BN39,0,-2)*OFFSET(BN39,0,-1),"TOTAL")))</f>
        <v>0</v>
      </c>
    </row>
    <row r="40" spans="1:68">
      <c r="A40" s="221" t="str">
        <f t="shared" ca="1" si="0"/>
        <v>WP001</v>
      </c>
      <c r="B40" s="221" t="str">
        <f t="shared" ca="1" si="1"/>
        <v>WP001</v>
      </c>
      <c r="C40" s="221">
        <v>1</v>
      </c>
      <c r="N40" s="461"/>
      <c r="O40" s="259"/>
      <c r="P40" s="389"/>
      <c r="Q40" s="389"/>
      <c r="R40" s="361"/>
      <c r="S40" s="362"/>
      <c r="T40" s="363"/>
      <c r="U40" s="360"/>
      <c r="V40" s="361"/>
      <c r="W40" s="362"/>
      <c r="X40" s="363"/>
      <c r="Y40" s="360"/>
      <c r="Z40" s="361"/>
      <c r="AA40" s="362"/>
      <c r="AB40" s="363"/>
      <c r="AC40" s="360"/>
      <c r="AD40" s="361"/>
      <c r="AE40" s="362"/>
      <c r="AF40" s="363"/>
      <c r="AG40" s="360"/>
      <c r="AH40" s="361"/>
      <c r="AI40" s="362"/>
      <c r="AJ40" s="363"/>
      <c r="AK40" s="360"/>
      <c r="AL40" s="361"/>
      <c r="AM40" s="362"/>
      <c r="AN40" s="363"/>
      <c r="AO40" s="360"/>
      <c r="AP40" s="361"/>
      <c r="AQ40" s="362"/>
      <c r="AR40" s="363"/>
      <c r="AS40" s="360"/>
      <c r="AT40" s="361"/>
      <c r="AU40" s="362"/>
      <c r="AV40" s="363"/>
      <c r="AW40" s="360"/>
      <c r="AX40" s="361"/>
      <c r="AY40" s="362"/>
      <c r="AZ40" s="363"/>
      <c r="BA40" s="360"/>
      <c r="BB40" s="361"/>
      <c r="BC40" s="362"/>
      <c r="BD40" s="363"/>
      <c r="BE40" s="360"/>
      <c r="BF40" s="361"/>
      <c r="BG40" s="362"/>
      <c r="BH40" s="363"/>
      <c r="BI40" s="360"/>
      <c r="BJ40" s="361"/>
      <c r="BK40" s="362"/>
      <c r="BL40" s="363"/>
      <c r="BM40" s="360"/>
      <c r="BN40" s="360"/>
    </row>
    <row r="41" spans="1:68" ht="12.75" thickBot="1">
      <c r="A41" s="221" t="str">
        <f t="shared" ca="1" si="0"/>
        <v>ENDWP001</v>
      </c>
      <c r="B41" s="221" t="str">
        <f t="shared" ca="1" si="1"/>
        <v>WP001</v>
      </c>
      <c r="C41" s="221">
        <v>0</v>
      </c>
      <c r="D41" s="221" t="s">
        <v>135</v>
      </c>
      <c r="E41" s="221" t="s">
        <v>130</v>
      </c>
      <c r="M41" s="221" t="s">
        <v>46</v>
      </c>
      <c r="N41" s="462"/>
      <c r="O41" s="454" t="str">
        <f ca="1">"TOTAL COSTS (A+B+C+D+E) - " &amp; OFFSET(O41,-26,0)</f>
        <v xml:space="preserve">TOTAL COSTS (A+B+C+D+E) - </v>
      </c>
      <c r="P41" s="455"/>
      <c r="Q41" s="455"/>
      <c r="R41" s="373"/>
      <c r="S41" s="374"/>
      <c r="T41" s="375">
        <f t="shared" ca="1" si="14"/>
        <v>0</v>
      </c>
      <c r="U41" s="376">
        <f ca="1">IF(OFFSET(U41,ROW(U$2)-ROW(U41),0)="TT",SUMIF(INDIRECT(ADDRESS(2,COLUMN($Q41)+1) &amp; ":" &amp; ADDRESS(2,COLUMN(U41)-1),TRUE),"TBE",INDIRECT(ADDRESS(ROW(U41), COLUMN($Q41)+1) &amp; ":" &amp; ADDRESS(ROW(U41),COLUMN(U41)-1),TRUE)),IF(OFFSET(U41,ROW(U$2)-ROW(U41),0)="TBE",SUMIF(INDIRECT(ADDRESS(2,MATCH(INT(OFFSET(U41,ROW(U$2)-ROW(U41),-2)),$2:$2,0)) &amp; ":" &amp; ADDRESS(2,COLUMN(U41)-1),TRUE),"T",INDIRECT(ADDRESS(ROW(U41), MATCH(INT(OFFSET(U41,ROW(U$2)-ROW(U41),-2)),$2:$2,0)) &amp; ":" &amp; ADDRESS(ROW(U41),COLUMN(U41)-1),TRUE)),IF(OFFSET(U41,0,COLUMN($M41)-COLUMN(U41))="V",OFFSET(U41,0,-2)*OFFSET(U41,0,-1),"TOTAL")))</f>
        <v>0</v>
      </c>
      <c r="V41" s="373"/>
      <c r="W41" s="374"/>
      <c r="X41" s="375">
        <f t="shared" ca="1" si="15"/>
        <v>0</v>
      </c>
      <c r="Y41" s="376">
        <f ca="1">IF(OFFSET(Y41,ROW(Y$2)-ROW(Y41),0)="TT",SUMIF(INDIRECT(ADDRESS(2,COLUMN($Q41)+1) &amp; ":" &amp; ADDRESS(2,COLUMN(Y41)-1),TRUE),"TBE",INDIRECT(ADDRESS(ROW(Y41), COLUMN($Q41)+1) &amp; ":" &amp; ADDRESS(ROW(Y41),COLUMN(Y41)-1),TRUE)),IF(OFFSET(Y41,ROW(Y$2)-ROW(Y41),0)="TBE",SUMIF(INDIRECT(ADDRESS(2,MATCH(INT(OFFSET(Y41,ROW(Y$2)-ROW(Y41),-2)),$2:$2,0)) &amp; ":" &amp; ADDRESS(2,COLUMN(Y41)-1),TRUE),"T",INDIRECT(ADDRESS(ROW(Y41), MATCH(INT(OFFSET(Y41,ROW(Y$2)-ROW(Y41),-2)),$2:$2,0)) &amp; ":" &amp; ADDRESS(ROW(Y41),COLUMN(Y41)-1),TRUE)),IF(OFFSET(Y41,0,COLUMN($M41)-COLUMN(Y41))="V",OFFSET(Y41,0,-2)*OFFSET(Y41,0,-1),"TOTAL")))</f>
        <v>0</v>
      </c>
      <c r="Z41" s="373"/>
      <c r="AA41" s="374"/>
      <c r="AB41" s="375">
        <f t="shared" ca="1" si="16"/>
        <v>0</v>
      </c>
      <c r="AC41" s="376">
        <f ca="1">IF(OFFSET(AC41,ROW(AC$2)-ROW(AC41),0)="TT",SUMIF(INDIRECT(ADDRESS(2,COLUMN($Q41)+1) &amp; ":" &amp; ADDRESS(2,COLUMN(AC41)-1),TRUE),"TBE",INDIRECT(ADDRESS(ROW(AC41), COLUMN($Q41)+1) &amp; ":" &amp; ADDRESS(ROW(AC41),COLUMN(AC41)-1),TRUE)),IF(OFFSET(AC41,ROW(AC$2)-ROW(AC41),0)="TBE",SUMIF(INDIRECT(ADDRESS(2,MATCH(INT(OFFSET(AC41,ROW(AC$2)-ROW(AC41),-2)),$2:$2,0)) &amp; ":" &amp; ADDRESS(2,COLUMN(AC41)-1),TRUE),"T",INDIRECT(ADDRESS(ROW(AC41), MATCH(INT(OFFSET(AC41,ROW(AC$2)-ROW(AC41),-2)),$2:$2,0)) &amp; ":" &amp; ADDRESS(ROW(AC41),COLUMN(AC41)-1),TRUE)),IF(OFFSET(AC41,0,COLUMN($M41)-COLUMN(AC41))="V",OFFSET(AC41,0,-2)*OFFSET(AC41,0,-1),"TOTAL")))</f>
        <v>0</v>
      </c>
      <c r="AD41" s="373"/>
      <c r="AE41" s="374"/>
      <c r="AF41" s="375">
        <f t="shared" ca="1" si="17"/>
        <v>0</v>
      </c>
      <c r="AG41" s="376">
        <f ca="1">IF(OFFSET(AG41,ROW(AG$2)-ROW(AG41),0)="TT",SUMIF(INDIRECT(ADDRESS(2,COLUMN($Q41)+1) &amp; ":" &amp; ADDRESS(2,COLUMN(AG41)-1),TRUE),"TBE",INDIRECT(ADDRESS(ROW(AG41), COLUMN($Q41)+1) &amp; ":" &amp; ADDRESS(ROW(AG41),COLUMN(AG41)-1),TRUE)),IF(OFFSET(AG41,ROW(AG$2)-ROW(AG41),0)="TBE",SUMIF(INDIRECT(ADDRESS(2,MATCH(INT(OFFSET(AG41,ROW(AG$2)-ROW(AG41),-2)),$2:$2,0)) &amp; ":" &amp; ADDRESS(2,COLUMN(AG41)-1),TRUE),"T",INDIRECT(ADDRESS(ROW(AG41), MATCH(INT(OFFSET(AG41,ROW(AG$2)-ROW(AG41),-2)),$2:$2,0)) &amp; ":" &amp; ADDRESS(ROW(AG41),COLUMN(AG41)-1),TRUE)),IF(OFFSET(AG41,0,COLUMN($M41)-COLUMN(AG41))="V",OFFSET(AG41,0,-2)*OFFSET(AG41,0,-1),"TOTAL")))</f>
        <v>0</v>
      </c>
      <c r="AH41" s="373"/>
      <c r="AI41" s="374"/>
      <c r="AJ41" s="375">
        <f t="shared" ca="1" si="18"/>
        <v>0</v>
      </c>
      <c r="AK41" s="376">
        <f ca="1">IF(OFFSET(AK41,ROW(AK$2)-ROW(AK41),0)="TT",SUMIF(INDIRECT(ADDRESS(2,COLUMN($Q41)+1) &amp; ":" &amp; ADDRESS(2,COLUMN(AK41)-1),TRUE),"TBE",INDIRECT(ADDRESS(ROW(AK41), COLUMN($Q41)+1) &amp; ":" &amp; ADDRESS(ROW(AK41),COLUMN(AK41)-1),TRUE)),IF(OFFSET(AK41,ROW(AK$2)-ROW(AK41),0)="TBE",SUMIF(INDIRECT(ADDRESS(2,MATCH(INT(OFFSET(AK41,ROW(AK$2)-ROW(AK41),-2)),$2:$2,0)) &amp; ":" &amp; ADDRESS(2,COLUMN(AK41)-1),TRUE),"T",INDIRECT(ADDRESS(ROW(AK41), MATCH(INT(OFFSET(AK41,ROW(AK$2)-ROW(AK41),-2)),$2:$2,0)) &amp; ":" &amp; ADDRESS(ROW(AK41),COLUMN(AK41)-1),TRUE)),IF(OFFSET(AK41,0,COLUMN($M41)-COLUMN(AK41))="V",OFFSET(AK41,0,-2)*OFFSET(AK41,0,-1),"TOTAL")))</f>
        <v>0</v>
      </c>
      <c r="AL41" s="373"/>
      <c r="AM41" s="374"/>
      <c r="AN41" s="375">
        <f t="shared" ca="1" si="19"/>
        <v>0</v>
      </c>
      <c r="AO41" s="376">
        <f ca="1">IF(OFFSET(AO41,ROW(AO$2)-ROW(AO41),0)="TT",SUMIF(INDIRECT(ADDRESS(2,COLUMN($Q41)+1) &amp; ":" &amp; ADDRESS(2,COLUMN(AO41)-1),TRUE),"TBE",INDIRECT(ADDRESS(ROW(AO41), COLUMN($Q41)+1) &amp; ":" &amp; ADDRESS(ROW(AO41),COLUMN(AO41)-1),TRUE)),IF(OFFSET(AO41,ROW(AO$2)-ROW(AO41),0)="TBE",SUMIF(INDIRECT(ADDRESS(2,MATCH(INT(OFFSET(AO41,ROW(AO$2)-ROW(AO41),-2)),$2:$2,0)) &amp; ":" &amp; ADDRESS(2,COLUMN(AO41)-1),TRUE),"T",INDIRECT(ADDRESS(ROW(AO41), MATCH(INT(OFFSET(AO41,ROW(AO$2)-ROW(AO41),-2)),$2:$2,0)) &amp; ":" &amp; ADDRESS(ROW(AO41),COLUMN(AO41)-1),TRUE)),IF(OFFSET(AO41,0,COLUMN($M41)-COLUMN(AO41))="V",OFFSET(AO41,0,-2)*OFFSET(AO41,0,-1),"TOTAL")))</f>
        <v>0</v>
      </c>
      <c r="AP41" s="373"/>
      <c r="AQ41" s="374"/>
      <c r="AR41" s="375">
        <f t="shared" ca="1" si="20"/>
        <v>0</v>
      </c>
      <c r="AS41" s="376">
        <f ca="1">IF(OFFSET(AS41,ROW(AS$2)-ROW(AS41),0)="TT",SUMIF(INDIRECT(ADDRESS(2,COLUMN($Q41)+1) &amp; ":" &amp; ADDRESS(2,COLUMN(AS41)-1),TRUE),"TBE",INDIRECT(ADDRESS(ROW(AS41), COLUMN($Q41)+1) &amp; ":" &amp; ADDRESS(ROW(AS41),COLUMN(AS41)-1),TRUE)),IF(OFFSET(AS41,ROW(AS$2)-ROW(AS41),0)="TBE",SUMIF(INDIRECT(ADDRESS(2,MATCH(INT(OFFSET(AS41,ROW(AS$2)-ROW(AS41),-2)),$2:$2,0)) &amp; ":" &amp; ADDRESS(2,COLUMN(AS41)-1),TRUE),"T",INDIRECT(ADDRESS(ROW(AS41), MATCH(INT(OFFSET(AS41,ROW(AS$2)-ROW(AS41),-2)),$2:$2,0)) &amp; ":" &amp; ADDRESS(ROW(AS41),COLUMN(AS41)-1),TRUE)),IF(OFFSET(AS41,0,COLUMN($M41)-COLUMN(AS41))="V",OFFSET(AS41,0,-2)*OFFSET(AS41,0,-1),"TOTAL")))</f>
        <v>0</v>
      </c>
      <c r="AT41" s="373"/>
      <c r="AU41" s="374"/>
      <c r="AV41" s="375">
        <f t="shared" ca="1" si="21"/>
        <v>0</v>
      </c>
      <c r="AW41" s="376">
        <f ca="1">IF(OFFSET(AW41,ROW(AW$2)-ROW(AW41),0)="TT",SUMIF(INDIRECT(ADDRESS(2,COLUMN($Q41)+1) &amp; ":" &amp; ADDRESS(2,COLUMN(AW41)-1),TRUE),"TBE",INDIRECT(ADDRESS(ROW(AW41), COLUMN($Q41)+1) &amp; ":" &amp; ADDRESS(ROW(AW41),COLUMN(AW41)-1),TRUE)),IF(OFFSET(AW41,ROW(AW$2)-ROW(AW41),0)="TBE",SUMIF(INDIRECT(ADDRESS(2,MATCH(INT(OFFSET(AW41,ROW(AW$2)-ROW(AW41),-2)),$2:$2,0)) &amp; ":" &amp; ADDRESS(2,COLUMN(AW41)-1),TRUE),"T",INDIRECT(ADDRESS(ROW(AW41), MATCH(INT(OFFSET(AW41,ROW(AW$2)-ROW(AW41),-2)),$2:$2,0)) &amp; ":" &amp; ADDRESS(ROW(AW41),COLUMN(AW41)-1),TRUE)),IF(OFFSET(AW41,0,COLUMN($M41)-COLUMN(AW41))="V",OFFSET(AW41,0,-2)*OFFSET(AW41,0,-1),"TOTAL")))</f>
        <v>0</v>
      </c>
      <c r="AX41" s="373"/>
      <c r="AY41" s="374"/>
      <c r="AZ41" s="375">
        <f t="shared" ca="1" si="22"/>
        <v>0</v>
      </c>
      <c r="BA41" s="376">
        <f ca="1">IF(OFFSET(BA41,ROW(BA$2)-ROW(BA41),0)="TT",SUMIF(INDIRECT(ADDRESS(2,COLUMN($Q41)+1) &amp; ":" &amp; ADDRESS(2,COLUMN(BA41)-1),TRUE),"TBE",INDIRECT(ADDRESS(ROW(BA41), COLUMN($Q41)+1) &amp; ":" &amp; ADDRESS(ROW(BA41),COLUMN(BA41)-1),TRUE)),IF(OFFSET(BA41,ROW(BA$2)-ROW(BA41),0)="TBE",SUMIF(INDIRECT(ADDRESS(2,MATCH(INT(OFFSET(BA41,ROW(BA$2)-ROW(BA41),-2)),$2:$2,0)) &amp; ":" &amp; ADDRESS(2,COLUMN(BA41)-1),TRUE),"T",INDIRECT(ADDRESS(ROW(BA41), MATCH(INT(OFFSET(BA41,ROW(BA$2)-ROW(BA41),-2)),$2:$2,0)) &amp; ":" &amp; ADDRESS(ROW(BA41),COLUMN(BA41)-1),TRUE)),IF(OFFSET(BA41,0,COLUMN($M41)-COLUMN(BA41))="V",OFFSET(BA41,0,-2)*OFFSET(BA41,0,-1),"TOTAL")))</f>
        <v>0</v>
      </c>
      <c r="BB41" s="373"/>
      <c r="BC41" s="374"/>
      <c r="BD41" s="375">
        <f t="shared" ca="1" si="23"/>
        <v>0</v>
      </c>
      <c r="BE41" s="376">
        <f ca="1">IF(OFFSET(BE41,ROW(BE$2)-ROW(BE41),0)="TT",SUMIF(INDIRECT(ADDRESS(2,COLUMN($Q41)+1) &amp; ":" &amp; ADDRESS(2,COLUMN(BE41)-1),TRUE),"TBE",INDIRECT(ADDRESS(ROW(BE41), COLUMN($Q41)+1) &amp; ":" &amp; ADDRESS(ROW(BE41),COLUMN(BE41)-1),TRUE)),IF(OFFSET(BE41,ROW(BE$2)-ROW(BE41),0)="TBE",SUMIF(INDIRECT(ADDRESS(2,MATCH(INT(OFFSET(BE41,ROW(BE$2)-ROW(BE41),-2)),$2:$2,0)) &amp; ":" &amp; ADDRESS(2,COLUMN(BE41)-1),TRUE),"T",INDIRECT(ADDRESS(ROW(BE41), MATCH(INT(OFFSET(BE41,ROW(BE$2)-ROW(BE41),-2)),$2:$2,0)) &amp; ":" &amp; ADDRESS(ROW(BE41),COLUMN(BE41)-1),TRUE)),IF(OFFSET(BE41,0,COLUMN($M41)-COLUMN(BE41))="V",OFFSET(BE41,0,-2)*OFFSET(BE41,0,-1),"TOTAL")))</f>
        <v>0</v>
      </c>
      <c r="BF41" s="373"/>
      <c r="BG41" s="374"/>
      <c r="BH41" s="375">
        <f t="shared" ca="1" si="24"/>
        <v>0</v>
      </c>
      <c r="BI41" s="376">
        <f ca="1">IF(OFFSET(BI41,ROW(BI$2)-ROW(BI41),0)="TT",SUMIF(INDIRECT(ADDRESS(2,COLUMN($Q41)+1) &amp; ":" &amp; ADDRESS(2,COLUMN(BI41)-1),TRUE),"TBE",INDIRECT(ADDRESS(ROW(BI41), COLUMN($Q41)+1) &amp; ":" &amp; ADDRESS(ROW(BI41),COLUMN(BI41)-1),TRUE)),IF(OFFSET(BI41,ROW(BI$2)-ROW(BI41),0)="TBE",SUMIF(INDIRECT(ADDRESS(2,MATCH(INT(OFFSET(BI41,ROW(BI$2)-ROW(BI41),-2)),$2:$2,0)) &amp; ":" &amp; ADDRESS(2,COLUMN(BI41)-1),TRUE),"T",INDIRECT(ADDRESS(ROW(BI41), MATCH(INT(OFFSET(BI41,ROW(BI$2)-ROW(BI41),-2)),$2:$2,0)) &amp; ":" &amp; ADDRESS(ROW(BI41),COLUMN(BI41)-1),TRUE)),IF(OFFSET(BI41,0,COLUMN($M41)-COLUMN(BI41))="V",OFFSET(BI41,0,-2)*OFFSET(BI41,0,-1),"TOTAL")))</f>
        <v>0</v>
      </c>
      <c r="BJ41" s="373"/>
      <c r="BK41" s="374"/>
      <c r="BL41" s="375">
        <f t="shared" ca="1" si="25"/>
        <v>0</v>
      </c>
      <c r="BM41" s="376">
        <f ca="1">IF(OFFSET(BM41,ROW(BM$2)-ROW(BM41),0)="TT",SUMIF(INDIRECT(ADDRESS(2,COLUMN($Q41)+1) &amp; ":" &amp; ADDRESS(2,COLUMN(BM41)-1),TRUE),"TBE",INDIRECT(ADDRESS(ROW(BM41), COLUMN($Q41)+1) &amp; ":" &amp; ADDRESS(ROW(BM41),COLUMN(BM41)-1),TRUE)),IF(OFFSET(BM41,ROW(BM$2)-ROW(BM41),0)="TBE",SUMIF(INDIRECT(ADDRESS(2,MATCH(INT(OFFSET(BM41,ROW(BM$2)-ROW(BM41),-2)),$2:$2,0)) &amp; ":" &amp; ADDRESS(2,COLUMN(BM41)-1),TRUE),"T",INDIRECT(ADDRESS(ROW(BM41), MATCH(INT(OFFSET(BM41,ROW(BM$2)-ROW(BM41),-2)),$2:$2,0)) &amp; ":" &amp; ADDRESS(ROW(BM41),COLUMN(BM41)-1),TRUE)),IF(OFFSET(BM41,0,COLUMN($M41)-COLUMN(BM41))="V",OFFSET(BM41,0,-2)*OFFSET(BM41,0,-1),"TOTAL")))</f>
        <v>0</v>
      </c>
      <c r="BN41" s="376">
        <f ca="1">IF(OFFSET(BN41,ROW(BN$2)-ROW(BN41),0)="TT",SUMIF(INDIRECT(ADDRESS(2,COLUMN($Q41)+1) &amp; ":" &amp; ADDRESS(2,COLUMN(BN41)-1),TRUE),"TBE",INDIRECT(ADDRESS(ROW(BN41), COLUMN($Q41)+1) &amp; ":" &amp; ADDRESS(ROW(BN41),COLUMN(BN41)-1),TRUE)),IF(OFFSET(BN41,ROW(BN$2)-ROW(BN41),0)="TBE",SUMIF(INDIRECT(ADDRESS(2,MATCH(INT(OFFSET(BN41,ROW(BN$2)-ROW(BN41),-2)),$2:$2,0)) &amp; ":" &amp; ADDRESS(2,COLUMN(BN41)-1),TRUE),"T",INDIRECT(ADDRESS(ROW(BN41), MATCH(INT(OFFSET(BN41,ROW(BN$2)-ROW(BN41),-2)),$2:$2,0)) &amp; ":" &amp; ADDRESS(ROW(BN41),COLUMN(BN41)-1),TRUE)),IF(OFFSET(BN41,0,COLUMN($M41)-COLUMN(BN41))="V",OFFSET(BN41,0,-2)*OFFSET(BN41,0,-1),"TOTAL")))</f>
        <v>0</v>
      </c>
    </row>
    <row r="42" spans="1:68" ht="13.5" thickTop="1" thickBot="1">
      <c r="A42" s="221" t="s">
        <v>137</v>
      </c>
    </row>
    <row r="43" spans="1:68" ht="13.5" thickTop="1" thickBot="1">
      <c r="A43" s="221" t="str">
        <f ca="1">IF(ISNUMBER(OFFSET(A43,0,13)),"START",IF(AND(OFFSET(A43,0,2)=0,OFFSET(A43,0,4)="GT"),"END",""))&amp;OFFSET(A43,0,1)</f>
        <v>STARTWP002</v>
      </c>
      <c r="B43" s="221" t="str">
        <f ca="1">IF(ISNUMBER(OFFSET(B43,0,12)),"WP" &amp; TEXT(OFFSET(B43,0,12),"000"),OFFSET(B43,-1,0))</f>
        <v>WP002</v>
      </c>
      <c r="N43" s="244">
        <v>2</v>
      </c>
      <c r="O43" s="459" t="str">
        <f ca="1">""&amp;VLOOKUP(OFFSET(N43,1,0),'Work Packages List'!A:B,2,FALSE)</f>
        <v/>
      </c>
      <c r="P43" s="459"/>
      <c r="Q43" s="460"/>
      <c r="R43" s="349"/>
      <c r="S43" s="350"/>
      <c r="T43" s="351"/>
      <c r="U43" s="352"/>
      <c r="V43" s="349"/>
      <c r="W43" s="350"/>
      <c r="X43" s="351"/>
      <c r="Y43" s="352"/>
      <c r="Z43" s="349"/>
      <c r="AA43" s="350"/>
      <c r="AB43" s="351"/>
      <c r="AC43" s="352"/>
      <c r="AD43" s="349"/>
      <c r="AE43" s="350"/>
      <c r="AF43" s="351"/>
      <c r="AG43" s="352"/>
      <c r="AH43" s="349"/>
      <c r="AI43" s="350"/>
      <c r="AJ43" s="351"/>
      <c r="AK43" s="352"/>
      <c r="AL43" s="349"/>
      <c r="AM43" s="350"/>
      <c r="AN43" s="351"/>
      <c r="AO43" s="352"/>
      <c r="AP43" s="349"/>
      <c r="AQ43" s="350"/>
      <c r="AR43" s="351"/>
      <c r="AS43" s="352"/>
      <c r="AT43" s="349"/>
      <c r="AU43" s="350"/>
      <c r="AV43" s="351"/>
      <c r="AW43" s="352"/>
      <c r="AX43" s="349"/>
      <c r="AY43" s="350"/>
      <c r="AZ43" s="351"/>
      <c r="BA43" s="352"/>
      <c r="BB43" s="349"/>
      <c r="BC43" s="350"/>
      <c r="BD43" s="351"/>
      <c r="BE43" s="352"/>
      <c r="BF43" s="349"/>
      <c r="BG43" s="350"/>
      <c r="BH43" s="351"/>
      <c r="BI43" s="352"/>
      <c r="BJ43" s="349"/>
      <c r="BK43" s="350"/>
      <c r="BL43" s="351"/>
      <c r="BM43" s="352"/>
      <c r="BN43" s="352"/>
    </row>
    <row r="44" spans="1:68">
      <c r="A44" s="221" t="str">
        <f t="shared" ref="A44:A75" ca="1" si="62">IF(ISNUMBER(OFFSET(A44,0,12)),"START",IF(AND(OFFSET(A44,0,2)=0,OFFSET(A44,0,4)="GT"),"END",""))&amp;OFFSET(A44,0,1)</f>
        <v>WP002</v>
      </c>
      <c r="B44" s="221" t="str">
        <f t="shared" ref="B44:B75" ca="1" si="63">IF(ISNUMBER(OFFSET(B44,0,11)),"WP" &amp; TEXT(OFFSET(B44,0,11),"000"),OFFSET(B44,-1,0))</f>
        <v>WP002</v>
      </c>
      <c r="C44" s="221">
        <v>4</v>
      </c>
      <c r="D44" s="221" t="s">
        <v>73</v>
      </c>
      <c r="H44" s="221" t="s">
        <v>74</v>
      </c>
      <c r="I44" s="221" t="s">
        <v>75</v>
      </c>
      <c r="M44" s="221" t="s">
        <v>46</v>
      </c>
      <c r="N44" s="461" t="str">
        <f ca="1">"WP " &amp; TEXT(OFFSET(N44,-1,0),"000")</f>
        <v>WP 002</v>
      </c>
      <c r="O44" s="452" t="s">
        <v>37</v>
      </c>
      <c r="P44" s="453"/>
      <c r="Q44" s="463"/>
      <c r="R44" s="353">
        <f ca="1">IF(OFFSET(R44,ROW(R$2)-ROW(R44),0)="TT","TT",IF(OFFSET(R44,0,COLUMN($M44)-COLUMN(R44))="%",ROUND(OFFSET(R44,-2,0)*0.07,0),IF(OFFSET(R44,0,COLUMN($M44)-COLUMN(R44))="V","x",SUMIF(INDIRECT(ADDRESS(MATCH("START"&amp;OFFSET(R44,0,COLUMN($B44)-COLUMN(R44)),$A:$A,0),$C44+COLUMN($E44)+1)&amp;":"&amp;ADDRESS(MATCH("END"&amp;OFFSET(R44,0,COLUMN($B44)-COLUMN(R44)),$A:$A,0),$C44+COLUMN($E44)+1),TRUE),INDIRECT(ADDRESS(ROW(R44),$C44+COLUMN($E44)),TRUE),INDIRECT(ADDRESS(MATCH("START"&amp;OFFSET(R44,0,COLUMN($B44)-COLUMN(R44)),$A:$A,0),COLUMN(R44))&amp;":"&amp;ADDRESS(MATCH("END"&amp;OFFSET(R44,0,COLUMN($B44)-COLUMN(R44)),$A:$A,0),COLUMN(R44)),TRUE)))))</f>
        <v>0</v>
      </c>
      <c r="S44" s="354"/>
      <c r="T44" s="355">
        <f ca="1">IF(OFFSET(T44,ROW(T$2)-ROW(T44),0)="TT","TT",IF(OFFSET(T44,0,COLUMN($M44)-COLUMN(T44))="%",ROUND((OFFSET(T44,-2,0)-OFFSET(T44,-21,0))*0.07,2),IF(OFFSET(T44,0,COLUMN($M44)-COLUMN(T44))="V",ROUND(OFFSET(T44,0,-2)*OFFSET(T44,0,-1),2),SUMIF(INDIRECT(ADDRESS(MATCH("START"&amp;OFFSET(T44,0,COLUMN($B44)-COLUMN(T44)),$A:$A,0),$C44+COLUMN($E44)+1)&amp;":"&amp;ADDRESS(MATCH("END"&amp;OFFSET(T44,0,COLUMN($B44)-COLUMN(T44)),$A:$A,0),$C44+COLUMN($E44)+1),TRUE),INDIRECT(ADDRESS(ROW(T44),$C44+COLUMN($E44)),TRUE),INDIRECT(ADDRESS(MATCH("START"&amp;OFFSET(T44,0,COLUMN($B44)-COLUMN(T44)),$A:$A,0),COLUMN(T44))&amp;":"&amp;ADDRESS(MATCH("END"&amp;OFFSET(T44,0,COLUMN($B44)-COLUMN(T44)),$A:$A,0),COLUMN(T44)),TRUE)))))</f>
        <v>0</v>
      </c>
      <c r="U44" s="356">
        <f t="shared" ref="U44:U71" ca="1" si="64">IF(OFFSET(U44,ROW(U$2)-ROW(U44),0)="TT",SUMIF(INDIRECT(ADDRESS(2,COLUMN($Q44)+1) &amp; ":" &amp; ADDRESS(2,COLUMN(U44)-1),TRUE),"TBE",INDIRECT(ADDRESS(ROW(U44), COLUMN($Q44)+1) &amp; ":" &amp; ADDRESS(ROW(U44),COLUMN(U44)-1),TRUE)),IF(OFFSET(U44,ROW(U$2)-ROW(U44),0)="TBE",SUMIF(INDIRECT(ADDRESS(2,MATCH(INT(OFFSET(U44,ROW(U$2)-ROW(U44),-2)),$2:$2,0)) &amp; ":" &amp; ADDRESS(2,COLUMN(U44)-1),TRUE),"T",INDIRECT(ADDRESS(ROW(U44), MATCH(INT(OFFSET(U44,ROW(U$2)-ROW(U44),-2)),$2:$2,0)) &amp; ":" &amp; ADDRESS(ROW(U44),COLUMN(U44)-1),TRUE)),IF(OFFSET(U44,0,COLUMN($M44)-COLUMN(U44))="V",OFFSET(U44,0,-2)*OFFSET(U44,0,-1),"TOTAL")))</f>
        <v>0</v>
      </c>
      <c r="V44" s="353">
        <f ca="1">IF(OFFSET(V44,ROW(V$2)-ROW(V44),0)="TT","TT",IF(OFFSET(V44,0,COLUMN($M44)-COLUMN(V44))="%",ROUND(OFFSET(V44,-2,0)*0.07,0),IF(OFFSET(V44,0,COLUMN($M44)-COLUMN(V44))="V","x",SUMIF(INDIRECT(ADDRESS(MATCH("START"&amp;OFFSET(V44,0,COLUMN($B44)-COLUMN(V44)),$A:$A,0),$C44+COLUMN($E44)+1)&amp;":"&amp;ADDRESS(MATCH("END"&amp;OFFSET(V44,0,COLUMN($B44)-COLUMN(V44)),$A:$A,0),$C44+COLUMN($E44)+1),TRUE),INDIRECT(ADDRESS(ROW(V44),$C44+COLUMN($E44)),TRUE),INDIRECT(ADDRESS(MATCH("START"&amp;OFFSET(V44,0,COLUMN($B44)-COLUMN(V44)),$A:$A,0),COLUMN(V44))&amp;":"&amp;ADDRESS(MATCH("END"&amp;OFFSET(V44,0,COLUMN($B44)-COLUMN(V44)),$A:$A,0),COLUMN(V44)),TRUE)))))</f>
        <v>0</v>
      </c>
      <c r="W44" s="354"/>
      <c r="X44" s="355">
        <f ca="1">IF(OFFSET(X44,ROW(X$2)-ROW(X44),0)="TT","TT",IF(OFFSET(X44,0,COLUMN($M44)-COLUMN(X44))="%",ROUND((OFFSET(X44,-2,0)-OFFSET(X44,-21,0))*0.07,2),IF(OFFSET(X44,0,COLUMN($M44)-COLUMN(X44))="V",ROUND(OFFSET(X44,0,-2)*OFFSET(X44,0,-1),2),SUMIF(INDIRECT(ADDRESS(MATCH("START"&amp;OFFSET(X44,0,COLUMN($B44)-COLUMN(X44)),$A:$A,0),$C44+COLUMN($E44)+1)&amp;":"&amp;ADDRESS(MATCH("END"&amp;OFFSET(X44,0,COLUMN($B44)-COLUMN(X44)),$A:$A,0),$C44+COLUMN($E44)+1),TRUE),INDIRECT(ADDRESS(ROW(X44),$C44+COLUMN($E44)),TRUE),INDIRECT(ADDRESS(MATCH("START"&amp;OFFSET(X44,0,COLUMN($B44)-COLUMN(X44)),$A:$A,0),COLUMN(X44))&amp;":"&amp;ADDRESS(MATCH("END"&amp;OFFSET(X44,0,COLUMN($B44)-COLUMN(X44)),$A:$A,0),COLUMN(X44)),TRUE)))))</f>
        <v>0</v>
      </c>
      <c r="Y44" s="356">
        <f t="shared" ref="Y44:Y71" ca="1" si="65">IF(OFFSET(Y44,ROW(Y$2)-ROW(Y44),0)="TT",SUMIF(INDIRECT(ADDRESS(2,COLUMN($Q44)+1) &amp; ":" &amp; ADDRESS(2,COLUMN(Y44)-1),TRUE),"TBE",INDIRECT(ADDRESS(ROW(Y44), COLUMN($Q44)+1) &amp; ":" &amp; ADDRESS(ROW(Y44),COLUMN(Y44)-1),TRUE)),IF(OFFSET(Y44,ROW(Y$2)-ROW(Y44),0)="TBE",SUMIF(INDIRECT(ADDRESS(2,MATCH(INT(OFFSET(Y44,ROW(Y$2)-ROW(Y44),-2)),$2:$2,0)) &amp; ":" &amp; ADDRESS(2,COLUMN(Y44)-1),TRUE),"T",INDIRECT(ADDRESS(ROW(Y44), MATCH(INT(OFFSET(Y44,ROW(Y$2)-ROW(Y44),-2)),$2:$2,0)) &amp; ":" &amp; ADDRESS(ROW(Y44),COLUMN(Y44)-1),TRUE)),IF(OFFSET(Y44,0,COLUMN($M44)-COLUMN(Y44))="V",OFFSET(Y44,0,-2)*OFFSET(Y44,0,-1),"TOTAL")))</f>
        <v>0</v>
      </c>
      <c r="Z44" s="353">
        <f ca="1">IF(OFFSET(Z44,ROW(Z$2)-ROW(Z44),0)="TT","TT",IF(OFFSET(Z44,0,COLUMN($M44)-COLUMN(Z44))="%",ROUND(OFFSET(Z44,-2,0)*0.07,0),IF(OFFSET(Z44,0,COLUMN($M44)-COLUMN(Z44))="V","x",SUMIF(INDIRECT(ADDRESS(MATCH("START"&amp;OFFSET(Z44,0,COLUMN($B44)-COLUMN(Z44)),$A:$A,0),$C44+COLUMN($E44)+1)&amp;":"&amp;ADDRESS(MATCH("END"&amp;OFFSET(Z44,0,COLUMN($B44)-COLUMN(Z44)),$A:$A,0),$C44+COLUMN($E44)+1),TRUE),INDIRECT(ADDRESS(ROW(Z44),$C44+COLUMN($E44)),TRUE),INDIRECT(ADDRESS(MATCH("START"&amp;OFFSET(Z44,0,COLUMN($B44)-COLUMN(Z44)),$A:$A,0),COLUMN(Z44))&amp;":"&amp;ADDRESS(MATCH("END"&amp;OFFSET(Z44,0,COLUMN($B44)-COLUMN(Z44)),$A:$A,0),COLUMN(Z44)),TRUE)))))</f>
        <v>0</v>
      </c>
      <c r="AA44" s="354"/>
      <c r="AB44" s="355">
        <f ca="1">IF(OFFSET(AB44,ROW(AB$2)-ROW(AB44),0)="TT","TT",IF(OFFSET(AB44,0,COLUMN($M44)-COLUMN(AB44))="%",ROUND((OFFSET(AB44,-2,0)-OFFSET(AB44,-21,0))*0.07,2),IF(OFFSET(AB44,0,COLUMN($M44)-COLUMN(AB44))="V",ROUND(OFFSET(AB44,0,-2)*OFFSET(AB44,0,-1),2),SUMIF(INDIRECT(ADDRESS(MATCH("START"&amp;OFFSET(AB44,0,COLUMN($B44)-COLUMN(AB44)),$A:$A,0),$C44+COLUMN($E44)+1)&amp;":"&amp;ADDRESS(MATCH("END"&amp;OFFSET(AB44,0,COLUMN($B44)-COLUMN(AB44)),$A:$A,0),$C44+COLUMN($E44)+1),TRUE),INDIRECT(ADDRESS(ROW(AB44),$C44+COLUMN($E44)),TRUE),INDIRECT(ADDRESS(MATCH("START"&amp;OFFSET(AB44,0,COLUMN($B44)-COLUMN(AB44)),$A:$A,0),COLUMN(AB44))&amp;":"&amp;ADDRESS(MATCH("END"&amp;OFFSET(AB44,0,COLUMN($B44)-COLUMN(AB44)),$A:$A,0),COLUMN(AB44)),TRUE)))))</f>
        <v>0</v>
      </c>
      <c r="AC44" s="356">
        <f t="shared" ref="AC44:AC71" ca="1" si="66">IF(OFFSET(AC44,ROW(AC$2)-ROW(AC44),0)="TT",SUMIF(INDIRECT(ADDRESS(2,COLUMN($Q44)+1) &amp; ":" &amp; ADDRESS(2,COLUMN(AC44)-1),TRUE),"TBE",INDIRECT(ADDRESS(ROW(AC44), COLUMN($Q44)+1) &amp; ":" &amp; ADDRESS(ROW(AC44),COLUMN(AC44)-1),TRUE)),IF(OFFSET(AC44,ROW(AC$2)-ROW(AC44),0)="TBE",SUMIF(INDIRECT(ADDRESS(2,MATCH(INT(OFFSET(AC44,ROW(AC$2)-ROW(AC44),-2)),$2:$2,0)) &amp; ":" &amp; ADDRESS(2,COLUMN(AC44)-1),TRUE),"T",INDIRECT(ADDRESS(ROW(AC44), MATCH(INT(OFFSET(AC44,ROW(AC$2)-ROW(AC44),-2)),$2:$2,0)) &amp; ":" &amp; ADDRESS(ROW(AC44),COLUMN(AC44)-1),TRUE)),IF(OFFSET(AC44,0,COLUMN($M44)-COLUMN(AC44))="V",OFFSET(AC44,0,-2)*OFFSET(AC44,0,-1),"TOTAL")))</f>
        <v>0</v>
      </c>
      <c r="AD44" s="353">
        <f ca="1">IF(OFFSET(AD44,ROW(AD$2)-ROW(AD44),0)="TT","TT",IF(OFFSET(AD44,0,COLUMN($M44)-COLUMN(AD44))="%",ROUND(OFFSET(AD44,-2,0)*0.07,0),IF(OFFSET(AD44,0,COLUMN($M44)-COLUMN(AD44))="V","x",SUMIF(INDIRECT(ADDRESS(MATCH("START"&amp;OFFSET(AD44,0,COLUMN($B44)-COLUMN(AD44)),$A:$A,0),$C44+COLUMN($E44)+1)&amp;":"&amp;ADDRESS(MATCH("END"&amp;OFFSET(AD44,0,COLUMN($B44)-COLUMN(AD44)),$A:$A,0),$C44+COLUMN($E44)+1),TRUE),INDIRECT(ADDRESS(ROW(AD44),$C44+COLUMN($E44)),TRUE),INDIRECT(ADDRESS(MATCH("START"&amp;OFFSET(AD44,0,COLUMN($B44)-COLUMN(AD44)),$A:$A,0),COLUMN(AD44))&amp;":"&amp;ADDRESS(MATCH("END"&amp;OFFSET(AD44,0,COLUMN($B44)-COLUMN(AD44)),$A:$A,0),COLUMN(AD44)),TRUE)))))</f>
        <v>0</v>
      </c>
      <c r="AE44" s="354"/>
      <c r="AF44" s="355">
        <f ca="1">IF(OFFSET(AF44,ROW(AF$2)-ROW(AF44),0)="TT","TT",IF(OFFSET(AF44,0,COLUMN($M44)-COLUMN(AF44))="%",ROUND((OFFSET(AF44,-2,0)-OFFSET(AF44,-21,0))*0.07,2),IF(OFFSET(AF44,0,COLUMN($M44)-COLUMN(AF44))="V",ROUND(OFFSET(AF44,0,-2)*OFFSET(AF44,0,-1),2),SUMIF(INDIRECT(ADDRESS(MATCH("START"&amp;OFFSET(AF44,0,COLUMN($B44)-COLUMN(AF44)),$A:$A,0),$C44+COLUMN($E44)+1)&amp;":"&amp;ADDRESS(MATCH("END"&amp;OFFSET(AF44,0,COLUMN($B44)-COLUMN(AF44)),$A:$A,0),$C44+COLUMN($E44)+1),TRUE),INDIRECT(ADDRESS(ROW(AF44),$C44+COLUMN($E44)),TRUE),INDIRECT(ADDRESS(MATCH("START"&amp;OFFSET(AF44,0,COLUMN($B44)-COLUMN(AF44)),$A:$A,0),COLUMN(AF44))&amp;":"&amp;ADDRESS(MATCH("END"&amp;OFFSET(AF44,0,COLUMN($B44)-COLUMN(AF44)),$A:$A,0),COLUMN(AF44)),TRUE)))))</f>
        <v>0</v>
      </c>
      <c r="AG44" s="356">
        <f t="shared" ref="AG44:AG71" ca="1" si="67">IF(OFFSET(AG44,ROW(AG$2)-ROW(AG44),0)="TT",SUMIF(INDIRECT(ADDRESS(2,COLUMN($Q44)+1) &amp; ":" &amp; ADDRESS(2,COLUMN(AG44)-1),TRUE),"TBE",INDIRECT(ADDRESS(ROW(AG44), COLUMN($Q44)+1) &amp; ":" &amp; ADDRESS(ROW(AG44),COLUMN(AG44)-1),TRUE)),IF(OFFSET(AG44,ROW(AG$2)-ROW(AG44),0)="TBE",SUMIF(INDIRECT(ADDRESS(2,MATCH(INT(OFFSET(AG44,ROW(AG$2)-ROW(AG44),-2)),$2:$2,0)) &amp; ":" &amp; ADDRESS(2,COLUMN(AG44)-1),TRUE),"T",INDIRECT(ADDRESS(ROW(AG44), MATCH(INT(OFFSET(AG44,ROW(AG$2)-ROW(AG44),-2)),$2:$2,0)) &amp; ":" &amp; ADDRESS(ROW(AG44),COLUMN(AG44)-1),TRUE)),IF(OFFSET(AG44,0,COLUMN($M44)-COLUMN(AG44))="V",OFFSET(AG44,0,-2)*OFFSET(AG44,0,-1),"TOTAL")))</f>
        <v>0</v>
      </c>
      <c r="AH44" s="353">
        <f ca="1">IF(OFFSET(AH44,ROW(AH$2)-ROW(AH44),0)="TT","TT",IF(OFFSET(AH44,0,COLUMN($M44)-COLUMN(AH44))="%",ROUND(OFFSET(AH44,-2,0)*0.07,0),IF(OFFSET(AH44,0,COLUMN($M44)-COLUMN(AH44))="V","x",SUMIF(INDIRECT(ADDRESS(MATCH("START"&amp;OFFSET(AH44,0,COLUMN($B44)-COLUMN(AH44)),$A:$A,0),$C44+COLUMN($E44)+1)&amp;":"&amp;ADDRESS(MATCH("END"&amp;OFFSET(AH44,0,COLUMN($B44)-COLUMN(AH44)),$A:$A,0),$C44+COLUMN($E44)+1),TRUE),INDIRECT(ADDRESS(ROW(AH44),$C44+COLUMN($E44)),TRUE),INDIRECT(ADDRESS(MATCH("START"&amp;OFFSET(AH44,0,COLUMN($B44)-COLUMN(AH44)),$A:$A,0),COLUMN(AH44))&amp;":"&amp;ADDRESS(MATCH("END"&amp;OFFSET(AH44,0,COLUMN($B44)-COLUMN(AH44)),$A:$A,0),COLUMN(AH44)),TRUE)))))</f>
        <v>0</v>
      </c>
      <c r="AI44" s="354"/>
      <c r="AJ44" s="355">
        <f ca="1">IF(OFFSET(AJ44,ROW(AJ$2)-ROW(AJ44),0)="TT","TT",IF(OFFSET(AJ44,0,COLUMN($M44)-COLUMN(AJ44))="%",ROUND((OFFSET(AJ44,-2,0)-OFFSET(AJ44,-21,0))*0.07,2),IF(OFFSET(AJ44,0,COLUMN($M44)-COLUMN(AJ44))="V",ROUND(OFFSET(AJ44,0,-2)*OFFSET(AJ44,0,-1),2),SUMIF(INDIRECT(ADDRESS(MATCH("START"&amp;OFFSET(AJ44,0,COLUMN($B44)-COLUMN(AJ44)),$A:$A,0),$C44+COLUMN($E44)+1)&amp;":"&amp;ADDRESS(MATCH("END"&amp;OFFSET(AJ44,0,COLUMN($B44)-COLUMN(AJ44)),$A:$A,0),$C44+COLUMN($E44)+1),TRUE),INDIRECT(ADDRESS(ROW(AJ44),$C44+COLUMN($E44)),TRUE),INDIRECT(ADDRESS(MATCH("START"&amp;OFFSET(AJ44,0,COLUMN($B44)-COLUMN(AJ44)),$A:$A,0),COLUMN(AJ44))&amp;":"&amp;ADDRESS(MATCH("END"&amp;OFFSET(AJ44,0,COLUMN($B44)-COLUMN(AJ44)),$A:$A,0),COLUMN(AJ44)),TRUE)))))</f>
        <v>0</v>
      </c>
      <c r="AK44" s="356">
        <f t="shared" ref="AK44:AK71" ca="1" si="68">IF(OFFSET(AK44,ROW(AK$2)-ROW(AK44),0)="TT",SUMIF(INDIRECT(ADDRESS(2,COLUMN($Q44)+1) &amp; ":" &amp; ADDRESS(2,COLUMN(AK44)-1),TRUE),"TBE",INDIRECT(ADDRESS(ROW(AK44), COLUMN($Q44)+1) &amp; ":" &amp; ADDRESS(ROW(AK44),COLUMN(AK44)-1),TRUE)),IF(OFFSET(AK44,ROW(AK$2)-ROW(AK44),0)="TBE",SUMIF(INDIRECT(ADDRESS(2,MATCH(INT(OFFSET(AK44,ROW(AK$2)-ROW(AK44),-2)),$2:$2,0)) &amp; ":" &amp; ADDRESS(2,COLUMN(AK44)-1),TRUE),"T",INDIRECT(ADDRESS(ROW(AK44), MATCH(INT(OFFSET(AK44,ROW(AK$2)-ROW(AK44),-2)),$2:$2,0)) &amp; ":" &amp; ADDRESS(ROW(AK44),COLUMN(AK44)-1),TRUE)),IF(OFFSET(AK44,0,COLUMN($M44)-COLUMN(AK44))="V",OFFSET(AK44,0,-2)*OFFSET(AK44,0,-1),"TOTAL")))</f>
        <v>0</v>
      </c>
      <c r="AL44" s="353">
        <f ca="1">IF(OFFSET(AL44,ROW(AL$2)-ROW(AL44),0)="TT","TT",IF(OFFSET(AL44,0,COLUMN($M44)-COLUMN(AL44))="%",ROUND(OFFSET(AL44,-2,0)*0.07,0),IF(OFFSET(AL44,0,COLUMN($M44)-COLUMN(AL44))="V","x",SUMIF(INDIRECT(ADDRESS(MATCH("START"&amp;OFFSET(AL44,0,COLUMN($B44)-COLUMN(AL44)),$A:$A,0),$C44+COLUMN($E44)+1)&amp;":"&amp;ADDRESS(MATCH("END"&amp;OFFSET(AL44,0,COLUMN($B44)-COLUMN(AL44)),$A:$A,0),$C44+COLUMN($E44)+1),TRUE),INDIRECT(ADDRESS(ROW(AL44),$C44+COLUMN($E44)),TRUE),INDIRECT(ADDRESS(MATCH("START"&amp;OFFSET(AL44,0,COLUMN($B44)-COLUMN(AL44)),$A:$A,0),COLUMN(AL44))&amp;":"&amp;ADDRESS(MATCH("END"&amp;OFFSET(AL44,0,COLUMN($B44)-COLUMN(AL44)),$A:$A,0),COLUMN(AL44)),TRUE)))))</f>
        <v>0</v>
      </c>
      <c r="AM44" s="354"/>
      <c r="AN44" s="355">
        <f ca="1">IF(OFFSET(AN44,ROW(AN$2)-ROW(AN44),0)="TT","TT",IF(OFFSET(AN44,0,COLUMN($M44)-COLUMN(AN44))="%",ROUND((OFFSET(AN44,-2,0)-OFFSET(AN44,-21,0))*0.07,2),IF(OFFSET(AN44,0,COLUMN($M44)-COLUMN(AN44))="V",ROUND(OFFSET(AN44,0,-2)*OFFSET(AN44,0,-1),2),SUMIF(INDIRECT(ADDRESS(MATCH("START"&amp;OFFSET(AN44,0,COLUMN($B44)-COLUMN(AN44)),$A:$A,0),$C44+COLUMN($E44)+1)&amp;":"&amp;ADDRESS(MATCH("END"&amp;OFFSET(AN44,0,COLUMN($B44)-COLUMN(AN44)),$A:$A,0),$C44+COLUMN($E44)+1),TRUE),INDIRECT(ADDRESS(ROW(AN44),$C44+COLUMN($E44)),TRUE),INDIRECT(ADDRESS(MATCH("START"&amp;OFFSET(AN44,0,COLUMN($B44)-COLUMN(AN44)),$A:$A,0),COLUMN(AN44))&amp;":"&amp;ADDRESS(MATCH("END"&amp;OFFSET(AN44,0,COLUMN($B44)-COLUMN(AN44)),$A:$A,0),COLUMN(AN44)),TRUE)))))</f>
        <v>0</v>
      </c>
      <c r="AO44" s="356">
        <f t="shared" ref="AO44:AO71" ca="1" si="69">IF(OFFSET(AO44,ROW(AO$2)-ROW(AO44),0)="TT",SUMIF(INDIRECT(ADDRESS(2,COLUMN($Q44)+1) &amp; ":" &amp; ADDRESS(2,COLUMN(AO44)-1),TRUE),"TBE",INDIRECT(ADDRESS(ROW(AO44), COLUMN($Q44)+1) &amp; ":" &amp; ADDRESS(ROW(AO44),COLUMN(AO44)-1),TRUE)),IF(OFFSET(AO44,ROW(AO$2)-ROW(AO44),0)="TBE",SUMIF(INDIRECT(ADDRESS(2,MATCH(INT(OFFSET(AO44,ROW(AO$2)-ROW(AO44),-2)),$2:$2,0)) &amp; ":" &amp; ADDRESS(2,COLUMN(AO44)-1),TRUE),"T",INDIRECT(ADDRESS(ROW(AO44), MATCH(INT(OFFSET(AO44,ROW(AO$2)-ROW(AO44),-2)),$2:$2,0)) &amp; ":" &amp; ADDRESS(ROW(AO44),COLUMN(AO44)-1),TRUE)),IF(OFFSET(AO44,0,COLUMN($M44)-COLUMN(AO44))="V",OFFSET(AO44,0,-2)*OFFSET(AO44,0,-1),"TOTAL")))</f>
        <v>0</v>
      </c>
      <c r="AP44" s="353">
        <f ca="1">IF(OFFSET(AP44,ROW(AP$2)-ROW(AP44),0)="TT","TT",IF(OFFSET(AP44,0,COLUMN($M44)-COLUMN(AP44))="%",ROUND(OFFSET(AP44,-2,0)*0.07,0),IF(OFFSET(AP44,0,COLUMN($M44)-COLUMN(AP44))="V","x",SUMIF(INDIRECT(ADDRESS(MATCH("START"&amp;OFFSET(AP44,0,COLUMN($B44)-COLUMN(AP44)),$A:$A,0),$C44+COLUMN($E44)+1)&amp;":"&amp;ADDRESS(MATCH("END"&amp;OFFSET(AP44,0,COLUMN($B44)-COLUMN(AP44)),$A:$A,0),$C44+COLUMN($E44)+1),TRUE),INDIRECT(ADDRESS(ROW(AP44),$C44+COLUMN($E44)),TRUE),INDIRECT(ADDRESS(MATCH("START"&amp;OFFSET(AP44,0,COLUMN($B44)-COLUMN(AP44)),$A:$A,0),COLUMN(AP44))&amp;":"&amp;ADDRESS(MATCH("END"&amp;OFFSET(AP44,0,COLUMN($B44)-COLUMN(AP44)),$A:$A,0),COLUMN(AP44)),TRUE)))))</f>
        <v>0</v>
      </c>
      <c r="AQ44" s="354"/>
      <c r="AR44" s="355">
        <f ca="1">IF(OFFSET(AR44,ROW(AR$2)-ROW(AR44),0)="TT","TT",IF(OFFSET(AR44,0,COLUMN($M44)-COLUMN(AR44))="%",ROUND((OFFSET(AR44,-2,0)-OFFSET(AR44,-21,0))*0.07,2),IF(OFFSET(AR44,0,COLUMN($M44)-COLUMN(AR44))="V",ROUND(OFFSET(AR44,0,-2)*OFFSET(AR44,0,-1),2),SUMIF(INDIRECT(ADDRESS(MATCH("START"&amp;OFFSET(AR44,0,COLUMN($B44)-COLUMN(AR44)),$A:$A,0),$C44+COLUMN($E44)+1)&amp;":"&amp;ADDRESS(MATCH("END"&amp;OFFSET(AR44,0,COLUMN($B44)-COLUMN(AR44)),$A:$A,0),$C44+COLUMN($E44)+1),TRUE),INDIRECT(ADDRESS(ROW(AR44),$C44+COLUMN($E44)),TRUE),INDIRECT(ADDRESS(MATCH("START"&amp;OFFSET(AR44,0,COLUMN($B44)-COLUMN(AR44)),$A:$A,0),COLUMN(AR44))&amp;":"&amp;ADDRESS(MATCH("END"&amp;OFFSET(AR44,0,COLUMN($B44)-COLUMN(AR44)),$A:$A,0),COLUMN(AR44)),TRUE)))))</f>
        <v>0</v>
      </c>
      <c r="AS44" s="356">
        <f t="shared" ref="AS44:AS71" ca="1" si="70">IF(OFFSET(AS44,ROW(AS$2)-ROW(AS44),0)="TT",SUMIF(INDIRECT(ADDRESS(2,COLUMN($Q44)+1) &amp; ":" &amp; ADDRESS(2,COLUMN(AS44)-1),TRUE),"TBE",INDIRECT(ADDRESS(ROW(AS44), COLUMN($Q44)+1) &amp; ":" &amp; ADDRESS(ROW(AS44),COLUMN(AS44)-1),TRUE)),IF(OFFSET(AS44,ROW(AS$2)-ROW(AS44),0)="TBE",SUMIF(INDIRECT(ADDRESS(2,MATCH(INT(OFFSET(AS44,ROW(AS$2)-ROW(AS44),-2)),$2:$2,0)) &amp; ":" &amp; ADDRESS(2,COLUMN(AS44)-1),TRUE),"T",INDIRECT(ADDRESS(ROW(AS44), MATCH(INT(OFFSET(AS44,ROW(AS$2)-ROW(AS44),-2)),$2:$2,0)) &amp; ":" &amp; ADDRESS(ROW(AS44),COLUMN(AS44)-1),TRUE)),IF(OFFSET(AS44,0,COLUMN($M44)-COLUMN(AS44))="V",OFFSET(AS44,0,-2)*OFFSET(AS44,0,-1),"TOTAL")))</f>
        <v>0</v>
      </c>
      <c r="AT44" s="353">
        <f ca="1">IF(OFFSET(AT44,ROW(AT$2)-ROW(AT44),0)="TT","TT",IF(OFFSET(AT44,0,COLUMN($M44)-COLUMN(AT44))="%",ROUND(OFFSET(AT44,-2,0)*0.07,0),IF(OFFSET(AT44,0,COLUMN($M44)-COLUMN(AT44))="V","x",SUMIF(INDIRECT(ADDRESS(MATCH("START"&amp;OFFSET(AT44,0,COLUMN($B44)-COLUMN(AT44)),$A:$A,0),$C44+COLUMN($E44)+1)&amp;":"&amp;ADDRESS(MATCH("END"&amp;OFFSET(AT44,0,COLUMN($B44)-COLUMN(AT44)),$A:$A,0),$C44+COLUMN($E44)+1),TRUE),INDIRECT(ADDRESS(ROW(AT44),$C44+COLUMN($E44)),TRUE),INDIRECT(ADDRESS(MATCH("START"&amp;OFFSET(AT44,0,COLUMN($B44)-COLUMN(AT44)),$A:$A,0),COLUMN(AT44))&amp;":"&amp;ADDRESS(MATCH("END"&amp;OFFSET(AT44,0,COLUMN($B44)-COLUMN(AT44)),$A:$A,0),COLUMN(AT44)),TRUE)))))</f>
        <v>0</v>
      </c>
      <c r="AU44" s="354"/>
      <c r="AV44" s="355">
        <f ca="1">IF(OFFSET(AV44,ROW(AV$2)-ROW(AV44),0)="TT","TT",IF(OFFSET(AV44,0,COLUMN($M44)-COLUMN(AV44))="%",ROUND((OFFSET(AV44,-2,0)-OFFSET(AV44,-21,0))*0.07,2),IF(OFFSET(AV44,0,COLUMN($M44)-COLUMN(AV44))="V",ROUND(OFFSET(AV44,0,-2)*OFFSET(AV44,0,-1),2),SUMIF(INDIRECT(ADDRESS(MATCH("START"&amp;OFFSET(AV44,0,COLUMN($B44)-COLUMN(AV44)),$A:$A,0),$C44+COLUMN($E44)+1)&amp;":"&amp;ADDRESS(MATCH("END"&amp;OFFSET(AV44,0,COLUMN($B44)-COLUMN(AV44)),$A:$A,0),$C44+COLUMN($E44)+1),TRUE),INDIRECT(ADDRESS(ROW(AV44),$C44+COLUMN($E44)),TRUE),INDIRECT(ADDRESS(MATCH("START"&amp;OFFSET(AV44,0,COLUMN($B44)-COLUMN(AV44)),$A:$A,0),COLUMN(AV44))&amp;":"&amp;ADDRESS(MATCH("END"&amp;OFFSET(AV44,0,COLUMN($B44)-COLUMN(AV44)),$A:$A,0),COLUMN(AV44)),TRUE)))))</f>
        <v>0</v>
      </c>
      <c r="AW44" s="356">
        <f t="shared" ref="AW44:AW71" ca="1" si="71">IF(OFFSET(AW44,ROW(AW$2)-ROW(AW44),0)="TT",SUMIF(INDIRECT(ADDRESS(2,COLUMN($Q44)+1) &amp; ":" &amp; ADDRESS(2,COLUMN(AW44)-1),TRUE),"TBE",INDIRECT(ADDRESS(ROW(AW44), COLUMN($Q44)+1) &amp; ":" &amp; ADDRESS(ROW(AW44),COLUMN(AW44)-1),TRUE)),IF(OFFSET(AW44,ROW(AW$2)-ROW(AW44),0)="TBE",SUMIF(INDIRECT(ADDRESS(2,MATCH(INT(OFFSET(AW44,ROW(AW$2)-ROW(AW44),-2)),$2:$2,0)) &amp; ":" &amp; ADDRESS(2,COLUMN(AW44)-1),TRUE),"T",INDIRECT(ADDRESS(ROW(AW44), MATCH(INT(OFFSET(AW44,ROW(AW$2)-ROW(AW44),-2)),$2:$2,0)) &amp; ":" &amp; ADDRESS(ROW(AW44),COLUMN(AW44)-1),TRUE)),IF(OFFSET(AW44,0,COLUMN($M44)-COLUMN(AW44))="V",OFFSET(AW44,0,-2)*OFFSET(AW44,0,-1),"TOTAL")))</f>
        <v>0</v>
      </c>
      <c r="AX44" s="353">
        <f ca="1">IF(OFFSET(AX44,ROW(AX$2)-ROW(AX44),0)="TT","TT",IF(OFFSET(AX44,0,COLUMN($M44)-COLUMN(AX44))="%",ROUND(OFFSET(AX44,-2,0)*0.07,0),IF(OFFSET(AX44,0,COLUMN($M44)-COLUMN(AX44))="V","x",SUMIF(INDIRECT(ADDRESS(MATCH("START"&amp;OFFSET(AX44,0,COLUMN($B44)-COLUMN(AX44)),$A:$A,0),$C44+COLUMN($E44)+1)&amp;":"&amp;ADDRESS(MATCH("END"&amp;OFFSET(AX44,0,COLUMN($B44)-COLUMN(AX44)),$A:$A,0),$C44+COLUMN($E44)+1),TRUE),INDIRECT(ADDRESS(ROW(AX44),$C44+COLUMN($E44)),TRUE),INDIRECT(ADDRESS(MATCH("START"&amp;OFFSET(AX44,0,COLUMN($B44)-COLUMN(AX44)),$A:$A,0),COLUMN(AX44))&amp;":"&amp;ADDRESS(MATCH("END"&amp;OFFSET(AX44,0,COLUMN($B44)-COLUMN(AX44)),$A:$A,0),COLUMN(AX44)),TRUE)))))</f>
        <v>0</v>
      </c>
      <c r="AY44" s="354"/>
      <c r="AZ44" s="355">
        <f ca="1">IF(OFFSET(AZ44,ROW(AZ$2)-ROW(AZ44),0)="TT","TT",IF(OFFSET(AZ44,0,COLUMN($M44)-COLUMN(AZ44))="%",ROUND((OFFSET(AZ44,-2,0)-OFFSET(AZ44,-21,0))*0.07,2),IF(OFFSET(AZ44,0,COLUMN($M44)-COLUMN(AZ44))="V",ROUND(OFFSET(AZ44,0,-2)*OFFSET(AZ44,0,-1),2),SUMIF(INDIRECT(ADDRESS(MATCH("START"&amp;OFFSET(AZ44,0,COLUMN($B44)-COLUMN(AZ44)),$A:$A,0),$C44+COLUMN($E44)+1)&amp;":"&amp;ADDRESS(MATCH("END"&amp;OFFSET(AZ44,0,COLUMN($B44)-COLUMN(AZ44)),$A:$A,0),$C44+COLUMN($E44)+1),TRUE),INDIRECT(ADDRESS(ROW(AZ44),$C44+COLUMN($E44)),TRUE),INDIRECT(ADDRESS(MATCH("START"&amp;OFFSET(AZ44,0,COLUMN($B44)-COLUMN(AZ44)),$A:$A,0),COLUMN(AZ44))&amp;":"&amp;ADDRESS(MATCH("END"&amp;OFFSET(AZ44,0,COLUMN($B44)-COLUMN(AZ44)),$A:$A,0),COLUMN(AZ44)),TRUE)))))</f>
        <v>0</v>
      </c>
      <c r="BA44" s="356">
        <f t="shared" ref="BA44:BA71" ca="1" si="72">IF(OFFSET(BA44,ROW(BA$2)-ROW(BA44),0)="TT",SUMIF(INDIRECT(ADDRESS(2,COLUMN($Q44)+1) &amp; ":" &amp; ADDRESS(2,COLUMN(BA44)-1),TRUE),"TBE",INDIRECT(ADDRESS(ROW(BA44), COLUMN($Q44)+1) &amp; ":" &amp; ADDRESS(ROW(BA44),COLUMN(BA44)-1),TRUE)),IF(OFFSET(BA44,ROW(BA$2)-ROW(BA44),0)="TBE",SUMIF(INDIRECT(ADDRESS(2,MATCH(INT(OFFSET(BA44,ROW(BA$2)-ROW(BA44),-2)),$2:$2,0)) &amp; ":" &amp; ADDRESS(2,COLUMN(BA44)-1),TRUE),"T",INDIRECT(ADDRESS(ROW(BA44), MATCH(INT(OFFSET(BA44,ROW(BA$2)-ROW(BA44),-2)),$2:$2,0)) &amp; ":" &amp; ADDRESS(ROW(BA44),COLUMN(BA44)-1),TRUE)),IF(OFFSET(BA44,0,COLUMN($M44)-COLUMN(BA44))="V",OFFSET(BA44,0,-2)*OFFSET(BA44,0,-1),"TOTAL")))</f>
        <v>0</v>
      </c>
      <c r="BB44" s="353">
        <f ca="1">IF(OFFSET(BB44,ROW(BB$2)-ROW(BB44),0)="TT","TT",IF(OFFSET(BB44,0,COLUMN($M44)-COLUMN(BB44))="%",ROUND(OFFSET(BB44,-2,0)*0.07,0),IF(OFFSET(BB44,0,COLUMN($M44)-COLUMN(BB44))="V","x",SUMIF(INDIRECT(ADDRESS(MATCH("START"&amp;OFFSET(BB44,0,COLUMN($B44)-COLUMN(BB44)),$A:$A,0),$C44+COLUMN($E44)+1)&amp;":"&amp;ADDRESS(MATCH("END"&amp;OFFSET(BB44,0,COLUMN($B44)-COLUMN(BB44)),$A:$A,0),$C44+COLUMN($E44)+1),TRUE),INDIRECT(ADDRESS(ROW(BB44),$C44+COLUMN($E44)),TRUE),INDIRECT(ADDRESS(MATCH("START"&amp;OFFSET(BB44,0,COLUMN($B44)-COLUMN(BB44)),$A:$A,0),COLUMN(BB44))&amp;":"&amp;ADDRESS(MATCH("END"&amp;OFFSET(BB44,0,COLUMN($B44)-COLUMN(BB44)),$A:$A,0),COLUMN(BB44)),TRUE)))))</f>
        <v>0</v>
      </c>
      <c r="BC44" s="354"/>
      <c r="BD44" s="355">
        <f ca="1">IF(OFFSET(BD44,ROW(BD$2)-ROW(BD44),0)="TT","TT",IF(OFFSET(BD44,0,COLUMN($M44)-COLUMN(BD44))="%",ROUND((OFFSET(BD44,-2,0)-OFFSET(BD44,-21,0))*0.07,2),IF(OFFSET(BD44,0,COLUMN($M44)-COLUMN(BD44))="V",ROUND(OFFSET(BD44,0,-2)*OFFSET(BD44,0,-1),2),SUMIF(INDIRECT(ADDRESS(MATCH("START"&amp;OFFSET(BD44,0,COLUMN($B44)-COLUMN(BD44)),$A:$A,0),$C44+COLUMN($E44)+1)&amp;":"&amp;ADDRESS(MATCH("END"&amp;OFFSET(BD44,0,COLUMN($B44)-COLUMN(BD44)),$A:$A,0),$C44+COLUMN($E44)+1),TRUE),INDIRECT(ADDRESS(ROW(BD44),$C44+COLUMN($E44)),TRUE),INDIRECT(ADDRESS(MATCH("START"&amp;OFFSET(BD44,0,COLUMN($B44)-COLUMN(BD44)),$A:$A,0),COLUMN(BD44))&amp;":"&amp;ADDRESS(MATCH("END"&amp;OFFSET(BD44,0,COLUMN($B44)-COLUMN(BD44)),$A:$A,0),COLUMN(BD44)),TRUE)))))</f>
        <v>0</v>
      </c>
      <c r="BE44" s="356">
        <f t="shared" ref="BE44:BE71" ca="1" si="73">IF(OFFSET(BE44,ROW(BE$2)-ROW(BE44),0)="TT",SUMIF(INDIRECT(ADDRESS(2,COLUMN($Q44)+1) &amp; ":" &amp; ADDRESS(2,COLUMN(BE44)-1),TRUE),"TBE",INDIRECT(ADDRESS(ROW(BE44), COLUMN($Q44)+1) &amp; ":" &amp; ADDRESS(ROW(BE44),COLUMN(BE44)-1),TRUE)),IF(OFFSET(BE44,ROW(BE$2)-ROW(BE44),0)="TBE",SUMIF(INDIRECT(ADDRESS(2,MATCH(INT(OFFSET(BE44,ROW(BE$2)-ROW(BE44),-2)),$2:$2,0)) &amp; ":" &amp; ADDRESS(2,COLUMN(BE44)-1),TRUE),"T",INDIRECT(ADDRESS(ROW(BE44), MATCH(INT(OFFSET(BE44,ROW(BE$2)-ROW(BE44),-2)),$2:$2,0)) &amp; ":" &amp; ADDRESS(ROW(BE44),COLUMN(BE44)-1),TRUE)),IF(OFFSET(BE44,0,COLUMN($M44)-COLUMN(BE44))="V",OFFSET(BE44,0,-2)*OFFSET(BE44,0,-1),"TOTAL")))</f>
        <v>0</v>
      </c>
      <c r="BF44" s="353">
        <f ca="1">IF(OFFSET(BF44,ROW(BF$2)-ROW(BF44),0)="TT","TT",IF(OFFSET(BF44,0,COLUMN($M44)-COLUMN(BF44))="%",ROUND(OFFSET(BF44,-2,0)*0.07,0),IF(OFFSET(BF44,0,COLUMN($M44)-COLUMN(BF44))="V","x",SUMIF(INDIRECT(ADDRESS(MATCH("START"&amp;OFFSET(BF44,0,COLUMN($B44)-COLUMN(BF44)),$A:$A,0),$C44+COLUMN($E44)+1)&amp;":"&amp;ADDRESS(MATCH("END"&amp;OFFSET(BF44,0,COLUMN($B44)-COLUMN(BF44)),$A:$A,0),$C44+COLUMN($E44)+1),TRUE),INDIRECT(ADDRESS(ROW(BF44),$C44+COLUMN($E44)),TRUE),INDIRECT(ADDRESS(MATCH("START"&amp;OFFSET(BF44,0,COLUMN($B44)-COLUMN(BF44)),$A:$A,0),COLUMN(BF44))&amp;":"&amp;ADDRESS(MATCH("END"&amp;OFFSET(BF44,0,COLUMN($B44)-COLUMN(BF44)),$A:$A,0),COLUMN(BF44)),TRUE)))))</f>
        <v>0</v>
      </c>
      <c r="BG44" s="354"/>
      <c r="BH44" s="355">
        <f ca="1">IF(OFFSET(BH44,ROW(BH$2)-ROW(BH44),0)="TT","TT",IF(OFFSET(BH44,0,COLUMN($M44)-COLUMN(BH44))="%",ROUND((OFFSET(BH44,-2,0)-OFFSET(BH44,-21,0))*0.07,2),IF(OFFSET(BH44,0,COLUMN($M44)-COLUMN(BH44))="V",ROUND(OFFSET(BH44,0,-2)*OFFSET(BH44,0,-1),2),SUMIF(INDIRECT(ADDRESS(MATCH("START"&amp;OFFSET(BH44,0,COLUMN($B44)-COLUMN(BH44)),$A:$A,0),$C44+COLUMN($E44)+1)&amp;":"&amp;ADDRESS(MATCH("END"&amp;OFFSET(BH44,0,COLUMN($B44)-COLUMN(BH44)),$A:$A,0),$C44+COLUMN($E44)+1),TRUE),INDIRECT(ADDRESS(ROW(BH44),$C44+COLUMN($E44)),TRUE),INDIRECT(ADDRESS(MATCH("START"&amp;OFFSET(BH44,0,COLUMN($B44)-COLUMN(BH44)),$A:$A,0),COLUMN(BH44))&amp;":"&amp;ADDRESS(MATCH("END"&amp;OFFSET(BH44,0,COLUMN($B44)-COLUMN(BH44)),$A:$A,0),COLUMN(BH44)),TRUE)))))</f>
        <v>0</v>
      </c>
      <c r="BI44" s="356">
        <f t="shared" ref="BI44:BI71" ca="1" si="74">IF(OFFSET(BI44,ROW(BI$2)-ROW(BI44),0)="TT",SUMIF(INDIRECT(ADDRESS(2,COLUMN($Q44)+1) &amp; ":" &amp; ADDRESS(2,COLUMN(BI44)-1),TRUE),"TBE",INDIRECT(ADDRESS(ROW(BI44), COLUMN($Q44)+1) &amp; ":" &amp; ADDRESS(ROW(BI44),COLUMN(BI44)-1),TRUE)),IF(OFFSET(BI44,ROW(BI$2)-ROW(BI44),0)="TBE",SUMIF(INDIRECT(ADDRESS(2,MATCH(INT(OFFSET(BI44,ROW(BI$2)-ROW(BI44),-2)),$2:$2,0)) &amp; ":" &amp; ADDRESS(2,COLUMN(BI44)-1),TRUE),"T",INDIRECT(ADDRESS(ROW(BI44), MATCH(INT(OFFSET(BI44,ROW(BI$2)-ROW(BI44),-2)),$2:$2,0)) &amp; ":" &amp; ADDRESS(ROW(BI44),COLUMN(BI44)-1),TRUE)),IF(OFFSET(BI44,0,COLUMN($M44)-COLUMN(BI44))="V",OFFSET(BI44,0,-2)*OFFSET(BI44,0,-1),"TOTAL")))</f>
        <v>0</v>
      </c>
      <c r="BJ44" s="353">
        <f ca="1">IF(OFFSET(BJ44,ROW(BJ$2)-ROW(BJ44),0)="TT","TT",IF(OFFSET(BJ44,0,COLUMN($M44)-COLUMN(BJ44))="%",ROUND(OFFSET(BJ44,-2,0)*0.07,0),IF(OFFSET(BJ44,0,COLUMN($M44)-COLUMN(BJ44))="V","x",SUMIF(INDIRECT(ADDRESS(MATCH("START"&amp;OFFSET(BJ44,0,COLUMN($B44)-COLUMN(BJ44)),$A:$A,0),$C44+COLUMN($E44)+1)&amp;":"&amp;ADDRESS(MATCH("END"&amp;OFFSET(BJ44,0,COLUMN($B44)-COLUMN(BJ44)),$A:$A,0),$C44+COLUMN($E44)+1),TRUE),INDIRECT(ADDRESS(ROW(BJ44),$C44+COLUMN($E44)),TRUE),INDIRECT(ADDRESS(MATCH("START"&amp;OFFSET(BJ44,0,COLUMN($B44)-COLUMN(BJ44)),$A:$A,0),COLUMN(BJ44))&amp;":"&amp;ADDRESS(MATCH("END"&amp;OFFSET(BJ44,0,COLUMN($B44)-COLUMN(BJ44)),$A:$A,0),COLUMN(BJ44)),TRUE)))))</f>
        <v>0</v>
      </c>
      <c r="BK44" s="354"/>
      <c r="BL44" s="355">
        <f ca="1">IF(OFFSET(BL44,ROW(BL$2)-ROW(BL44),0)="TT","TT",IF(OFFSET(BL44,0,COLUMN($M44)-COLUMN(BL44))="%",ROUND((OFFSET(BL44,-2,0)-OFFSET(BL44,-21,0))*0.07,2),IF(OFFSET(BL44,0,COLUMN($M44)-COLUMN(BL44))="V",ROUND(OFFSET(BL44,0,-2)*OFFSET(BL44,0,-1),2),SUMIF(INDIRECT(ADDRESS(MATCH("START"&amp;OFFSET(BL44,0,COLUMN($B44)-COLUMN(BL44)),$A:$A,0),$C44+COLUMN($E44)+1)&amp;":"&amp;ADDRESS(MATCH("END"&amp;OFFSET(BL44,0,COLUMN($B44)-COLUMN(BL44)),$A:$A,0),$C44+COLUMN($E44)+1),TRUE),INDIRECT(ADDRESS(ROW(BL44),$C44+COLUMN($E44)),TRUE),INDIRECT(ADDRESS(MATCH("START"&amp;OFFSET(BL44,0,COLUMN($B44)-COLUMN(BL44)),$A:$A,0),COLUMN(BL44))&amp;":"&amp;ADDRESS(MATCH("END"&amp;OFFSET(BL44,0,COLUMN($B44)-COLUMN(BL44)),$A:$A,0),COLUMN(BL44)),TRUE)))))</f>
        <v>0</v>
      </c>
      <c r="BM44" s="356">
        <f t="shared" ref="BM44:BN71" ca="1" si="75">IF(OFFSET(BM44,ROW(BM$2)-ROW(BM44),0)="TT",SUMIF(INDIRECT(ADDRESS(2,COLUMN($Q44)+1) &amp; ":" &amp; ADDRESS(2,COLUMN(BM44)-1),TRUE),"TBE",INDIRECT(ADDRESS(ROW(BM44), COLUMN($Q44)+1) &amp; ":" &amp; ADDRESS(ROW(BM44),COLUMN(BM44)-1),TRUE)),IF(OFFSET(BM44,ROW(BM$2)-ROW(BM44),0)="TBE",SUMIF(INDIRECT(ADDRESS(2,MATCH(INT(OFFSET(BM44,ROW(BM$2)-ROW(BM44),-2)),$2:$2,0)) &amp; ":" &amp; ADDRESS(2,COLUMN(BM44)-1),TRUE),"T",INDIRECT(ADDRESS(ROW(BM44), MATCH(INT(OFFSET(BM44,ROW(BM$2)-ROW(BM44),-2)),$2:$2,0)) &amp; ":" &amp; ADDRESS(ROW(BM44),COLUMN(BM44)-1),TRUE)),IF(OFFSET(BM44,0,COLUMN($M44)-COLUMN(BM44))="V",OFFSET(BM44,0,-2)*OFFSET(BM44,0,-1),"TOTAL")))</f>
        <v>0</v>
      </c>
      <c r="BN44" s="356">
        <f t="shared" ca="1" si="75"/>
        <v>0</v>
      </c>
    </row>
    <row r="45" spans="1:68">
      <c r="A45" s="221" t="str">
        <f t="shared" ca="1" si="62"/>
        <v>WP002</v>
      </c>
      <c r="B45" s="221" t="str">
        <f t="shared" ca="1" si="63"/>
        <v>WP002</v>
      </c>
      <c r="C45" s="221">
        <v>6</v>
      </c>
      <c r="D45" s="221" t="s">
        <v>76</v>
      </c>
      <c r="J45" s="222" t="s">
        <v>75</v>
      </c>
      <c r="K45" s="221" t="s">
        <v>77</v>
      </c>
      <c r="M45" s="221" t="s">
        <v>46</v>
      </c>
      <c r="N45" s="461"/>
      <c r="O45" s="245"/>
      <c r="P45" s="464" t="s">
        <v>78</v>
      </c>
      <c r="Q45" s="465"/>
      <c r="R45" s="357">
        <f ca="1">IF(OFFSET(R45,ROW(R$2)-ROW(R45),0)="TT","TT",IF(OFFSET(R45,0,COLUMN($M45)-COLUMN(R45))="%",ROUND(OFFSET(R45,-2,0)*0.07,0),IF(OFFSET(R45,0,COLUMN($M45)-COLUMN(R45))="V","x",SUMIF(INDIRECT(ADDRESS(MATCH("START"&amp;OFFSET(R45,0,COLUMN($B45)-COLUMN(R45)),$A:$A,0),$C45+COLUMN($E45)+1)&amp;":"&amp;ADDRESS(MATCH("END"&amp;OFFSET(R45,0,COLUMN($B45)-COLUMN(R45)),$A:$A,0),$C45+COLUMN($E45)+1),TRUE),INDIRECT(ADDRESS(ROW(R45),$C45+COLUMN($E45)),TRUE),INDIRECT(ADDRESS(MATCH("START"&amp;OFFSET(R45,0,COLUMN($B45)-COLUMN(R45)),$A:$A,0),COLUMN(R45))&amp;":"&amp;ADDRESS(MATCH("END"&amp;OFFSET(R45,0,COLUMN($B45)-COLUMN(R45)),$A:$A,0),COLUMN(R45)),TRUE)))))</f>
        <v>0</v>
      </c>
      <c r="S45" s="358"/>
      <c r="T45" s="359">
        <f t="shared" ref="T45:T75" ca="1" si="76">IF(OFFSET(T45,ROW(T$2)-ROW(T45),0)="TT","TT",IF(OFFSET(T45,0,COLUMN($M45)-COLUMN(T45))="%",ROUND((OFFSET(T45,-2,0)-OFFSET(T45,-21,0))*0.07,2),IF(OFFSET(T45,0,COLUMN($M45)-COLUMN(T45))="V",ROUND(OFFSET(T45,0,-2)*OFFSET(T45,0,-1),2),SUMIF(INDIRECT(ADDRESS(MATCH("START"&amp;OFFSET(T45,0,COLUMN($B45)-COLUMN(T45)),$A:$A,0),$C45+COLUMN($E45)+1)&amp;":"&amp;ADDRESS(MATCH("END"&amp;OFFSET(T45,0,COLUMN($B45)-COLUMN(T45)),$A:$A,0),$C45+COLUMN($E45)+1),TRUE),INDIRECT(ADDRESS(ROW(T45),$C45+COLUMN($E45)),TRUE),INDIRECT(ADDRESS(MATCH("START"&amp;OFFSET(T45,0,COLUMN($B45)-COLUMN(T45)),$A:$A,0),COLUMN(T45))&amp;":"&amp;ADDRESS(MATCH("END"&amp;OFFSET(T45,0,COLUMN($B45)-COLUMN(T45)),$A:$A,0),COLUMN(T45)),TRUE)))))</f>
        <v>0</v>
      </c>
      <c r="U45" s="360">
        <f t="shared" ca="1" si="64"/>
        <v>0</v>
      </c>
      <c r="V45" s="357">
        <f ca="1">IF(OFFSET(V45,ROW(V$2)-ROW(V45),0)="TT","TT",IF(OFFSET(V45,0,COLUMN($M45)-COLUMN(V45))="%",ROUND(OFFSET(V45,-2,0)*0.07,0),IF(OFFSET(V45,0,COLUMN($M45)-COLUMN(V45))="V","x",SUMIF(INDIRECT(ADDRESS(MATCH("START"&amp;OFFSET(V45,0,COLUMN($B45)-COLUMN(V45)),$A:$A,0),$C45+COLUMN($E45)+1)&amp;":"&amp;ADDRESS(MATCH("END"&amp;OFFSET(V45,0,COLUMN($B45)-COLUMN(V45)),$A:$A,0),$C45+COLUMN($E45)+1),TRUE),INDIRECT(ADDRESS(ROW(V45),$C45+COLUMN($E45)),TRUE),INDIRECT(ADDRESS(MATCH("START"&amp;OFFSET(V45,0,COLUMN($B45)-COLUMN(V45)),$A:$A,0),COLUMN(V45))&amp;":"&amp;ADDRESS(MATCH("END"&amp;OFFSET(V45,0,COLUMN($B45)-COLUMN(V45)),$A:$A,0),COLUMN(V45)),TRUE)))))</f>
        <v>0</v>
      </c>
      <c r="W45" s="358"/>
      <c r="X45" s="359">
        <f t="shared" ref="X45:X75" ca="1" si="77">IF(OFFSET(X45,ROW(X$2)-ROW(X45),0)="TT","TT",IF(OFFSET(X45,0,COLUMN($M45)-COLUMN(X45))="%",ROUND((OFFSET(X45,-2,0)-OFFSET(X45,-21,0))*0.07,2),IF(OFFSET(X45,0,COLUMN($M45)-COLUMN(X45))="V",ROUND(OFFSET(X45,0,-2)*OFFSET(X45,0,-1),2),SUMIF(INDIRECT(ADDRESS(MATCH("START"&amp;OFFSET(X45,0,COLUMN($B45)-COLUMN(X45)),$A:$A,0),$C45+COLUMN($E45)+1)&amp;":"&amp;ADDRESS(MATCH("END"&amp;OFFSET(X45,0,COLUMN($B45)-COLUMN(X45)),$A:$A,0),$C45+COLUMN($E45)+1),TRUE),INDIRECT(ADDRESS(ROW(X45),$C45+COLUMN($E45)),TRUE),INDIRECT(ADDRESS(MATCH("START"&amp;OFFSET(X45,0,COLUMN($B45)-COLUMN(X45)),$A:$A,0),COLUMN(X45))&amp;":"&amp;ADDRESS(MATCH("END"&amp;OFFSET(X45,0,COLUMN($B45)-COLUMN(X45)),$A:$A,0),COLUMN(X45)),TRUE)))))</f>
        <v>0</v>
      </c>
      <c r="Y45" s="360">
        <f t="shared" ca="1" si="65"/>
        <v>0</v>
      </c>
      <c r="Z45" s="357">
        <f ca="1">IF(OFFSET(Z45,ROW(Z$2)-ROW(Z45),0)="TT","TT",IF(OFFSET(Z45,0,COLUMN($M45)-COLUMN(Z45))="%",ROUND(OFFSET(Z45,-2,0)*0.07,0),IF(OFFSET(Z45,0,COLUMN($M45)-COLUMN(Z45))="V","x",SUMIF(INDIRECT(ADDRESS(MATCH("START"&amp;OFFSET(Z45,0,COLUMN($B45)-COLUMN(Z45)),$A:$A,0),$C45+COLUMN($E45)+1)&amp;":"&amp;ADDRESS(MATCH("END"&amp;OFFSET(Z45,0,COLUMN($B45)-COLUMN(Z45)),$A:$A,0),$C45+COLUMN($E45)+1),TRUE),INDIRECT(ADDRESS(ROW(Z45),$C45+COLUMN($E45)),TRUE),INDIRECT(ADDRESS(MATCH("START"&amp;OFFSET(Z45,0,COLUMN($B45)-COLUMN(Z45)),$A:$A,0),COLUMN(Z45))&amp;":"&amp;ADDRESS(MATCH("END"&amp;OFFSET(Z45,0,COLUMN($B45)-COLUMN(Z45)),$A:$A,0),COLUMN(Z45)),TRUE)))))</f>
        <v>0</v>
      </c>
      <c r="AA45" s="358"/>
      <c r="AB45" s="359">
        <f t="shared" ref="AB45:AB75" ca="1" si="78">IF(OFFSET(AB45,ROW(AB$2)-ROW(AB45),0)="TT","TT",IF(OFFSET(AB45,0,COLUMN($M45)-COLUMN(AB45))="%",ROUND((OFFSET(AB45,-2,0)-OFFSET(AB45,-21,0))*0.07,2),IF(OFFSET(AB45,0,COLUMN($M45)-COLUMN(AB45))="V",ROUND(OFFSET(AB45,0,-2)*OFFSET(AB45,0,-1),2),SUMIF(INDIRECT(ADDRESS(MATCH("START"&amp;OFFSET(AB45,0,COLUMN($B45)-COLUMN(AB45)),$A:$A,0),$C45+COLUMN($E45)+1)&amp;":"&amp;ADDRESS(MATCH("END"&amp;OFFSET(AB45,0,COLUMN($B45)-COLUMN(AB45)),$A:$A,0),$C45+COLUMN($E45)+1),TRUE),INDIRECT(ADDRESS(ROW(AB45),$C45+COLUMN($E45)),TRUE),INDIRECT(ADDRESS(MATCH("START"&amp;OFFSET(AB45,0,COLUMN($B45)-COLUMN(AB45)),$A:$A,0),COLUMN(AB45))&amp;":"&amp;ADDRESS(MATCH("END"&amp;OFFSET(AB45,0,COLUMN($B45)-COLUMN(AB45)),$A:$A,0),COLUMN(AB45)),TRUE)))))</f>
        <v>0</v>
      </c>
      <c r="AC45" s="360">
        <f t="shared" ca="1" si="66"/>
        <v>0</v>
      </c>
      <c r="AD45" s="357">
        <f ca="1">IF(OFFSET(AD45,ROW(AD$2)-ROW(AD45),0)="TT","TT",IF(OFFSET(AD45,0,COLUMN($M45)-COLUMN(AD45))="%",ROUND(OFFSET(AD45,-2,0)*0.07,0),IF(OFFSET(AD45,0,COLUMN($M45)-COLUMN(AD45))="V","x",SUMIF(INDIRECT(ADDRESS(MATCH("START"&amp;OFFSET(AD45,0,COLUMN($B45)-COLUMN(AD45)),$A:$A,0),$C45+COLUMN($E45)+1)&amp;":"&amp;ADDRESS(MATCH("END"&amp;OFFSET(AD45,0,COLUMN($B45)-COLUMN(AD45)),$A:$A,0),$C45+COLUMN($E45)+1),TRUE),INDIRECT(ADDRESS(ROW(AD45),$C45+COLUMN($E45)),TRUE),INDIRECT(ADDRESS(MATCH("START"&amp;OFFSET(AD45,0,COLUMN($B45)-COLUMN(AD45)),$A:$A,0),COLUMN(AD45))&amp;":"&amp;ADDRESS(MATCH("END"&amp;OFFSET(AD45,0,COLUMN($B45)-COLUMN(AD45)),$A:$A,0),COLUMN(AD45)),TRUE)))))</f>
        <v>0</v>
      </c>
      <c r="AE45" s="358"/>
      <c r="AF45" s="359">
        <f t="shared" ref="AF45:AF75" ca="1" si="79">IF(OFFSET(AF45,ROW(AF$2)-ROW(AF45),0)="TT","TT",IF(OFFSET(AF45,0,COLUMN($M45)-COLUMN(AF45))="%",ROUND((OFFSET(AF45,-2,0)-OFFSET(AF45,-21,0))*0.07,2),IF(OFFSET(AF45,0,COLUMN($M45)-COLUMN(AF45))="V",ROUND(OFFSET(AF45,0,-2)*OFFSET(AF45,0,-1),2),SUMIF(INDIRECT(ADDRESS(MATCH("START"&amp;OFFSET(AF45,0,COLUMN($B45)-COLUMN(AF45)),$A:$A,0),$C45+COLUMN($E45)+1)&amp;":"&amp;ADDRESS(MATCH("END"&amp;OFFSET(AF45,0,COLUMN($B45)-COLUMN(AF45)),$A:$A,0),$C45+COLUMN($E45)+1),TRUE),INDIRECT(ADDRESS(ROW(AF45),$C45+COLUMN($E45)),TRUE),INDIRECT(ADDRESS(MATCH("START"&amp;OFFSET(AF45,0,COLUMN($B45)-COLUMN(AF45)),$A:$A,0),COLUMN(AF45))&amp;":"&amp;ADDRESS(MATCH("END"&amp;OFFSET(AF45,0,COLUMN($B45)-COLUMN(AF45)),$A:$A,0),COLUMN(AF45)),TRUE)))))</f>
        <v>0</v>
      </c>
      <c r="AG45" s="360">
        <f t="shared" ca="1" si="67"/>
        <v>0</v>
      </c>
      <c r="AH45" s="357">
        <f ca="1">IF(OFFSET(AH45,ROW(AH$2)-ROW(AH45),0)="TT","TT",IF(OFFSET(AH45,0,COLUMN($M45)-COLUMN(AH45))="%",ROUND(OFFSET(AH45,-2,0)*0.07,0),IF(OFFSET(AH45,0,COLUMN($M45)-COLUMN(AH45))="V","x",SUMIF(INDIRECT(ADDRESS(MATCH("START"&amp;OFFSET(AH45,0,COLUMN($B45)-COLUMN(AH45)),$A:$A,0),$C45+COLUMN($E45)+1)&amp;":"&amp;ADDRESS(MATCH("END"&amp;OFFSET(AH45,0,COLUMN($B45)-COLUMN(AH45)),$A:$A,0),$C45+COLUMN($E45)+1),TRUE),INDIRECT(ADDRESS(ROW(AH45),$C45+COLUMN($E45)),TRUE),INDIRECT(ADDRESS(MATCH("START"&amp;OFFSET(AH45,0,COLUMN($B45)-COLUMN(AH45)),$A:$A,0),COLUMN(AH45))&amp;":"&amp;ADDRESS(MATCH("END"&amp;OFFSET(AH45,0,COLUMN($B45)-COLUMN(AH45)),$A:$A,0),COLUMN(AH45)),TRUE)))))</f>
        <v>0</v>
      </c>
      <c r="AI45" s="358"/>
      <c r="AJ45" s="359">
        <f t="shared" ref="AJ45:AJ75" ca="1" si="80">IF(OFFSET(AJ45,ROW(AJ$2)-ROW(AJ45),0)="TT","TT",IF(OFFSET(AJ45,0,COLUMN($M45)-COLUMN(AJ45))="%",ROUND((OFFSET(AJ45,-2,0)-OFFSET(AJ45,-21,0))*0.07,2),IF(OFFSET(AJ45,0,COLUMN($M45)-COLUMN(AJ45))="V",ROUND(OFFSET(AJ45,0,-2)*OFFSET(AJ45,0,-1),2),SUMIF(INDIRECT(ADDRESS(MATCH("START"&amp;OFFSET(AJ45,0,COLUMN($B45)-COLUMN(AJ45)),$A:$A,0),$C45+COLUMN($E45)+1)&amp;":"&amp;ADDRESS(MATCH("END"&amp;OFFSET(AJ45,0,COLUMN($B45)-COLUMN(AJ45)),$A:$A,0),$C45+COLUMN($E45)+1),TRUE),INDIRECT(ADDRESS(ROW(AJ45),$C45+COLUMN($E45)),TRUE),INDIRECT(ADDRESS(MATCH("START"&amp;OFFSET(AJ45,0,COLUMN($B45)-COLUMN(AJ45)),$A:$A,0),COLUMN(AJ45))&amp;":"&amp;ADDRESS(MATCH("END"&amp;OFFSET(AJ45,0,COLUMN($B45)-COLUMN(AJ45)),$A:$A,0),COLUMN(AJ45)),TRUE)))))</f>
        <v>0</v>
      </c>
      <c r="AK45" s="360">
        <f t="shared" ca="1" si="68"/>
        <v>0</v>
      </c>
      <c r="AL45" s="357">
        <f ca="1">IF(OFFSET(AL45,ROW(AL$2)-ROW(AL45),0)="TT","TT",IF(OFFSET(AL45,0,COLUMN($M45)-COLUMN(AL45))="%",ROUND(OFFSET(AL45,-2,0)*0.07,0),IF(OFFSET(AL45,0,COLUMN($M45)-COLUMN(AL45))="V","x",SUMIF(INDIRECT(ADDRESS(MATCH("START"&amp;OFFSET(AL45,0,COLUMN($B45)-COLUMN(AL45)),$A:$A,0),$C45+COLUMN($E45)+1)&amp;":"&amp;ADDRESS(MATCH("END"&amp;OFFSET(AL45,0,COLUMN($B45)-COLUMN(AL45)),$A:$A,0),$C45+COLUMN($E45)+1),TRUE),INDIRECT(ADDRESS(ROW(AL45),$C45+COLUMN($E45)),TRUE),INDIRECT(ADDRESS(MATCH("START"&amp;OFFSET(AL45,0,COLUMN($B45)-COLUMN(AL45)),$A:$A,0),COLUMN(AL45))&amp;":"&amp;ADDRESS(MATCH("END"&amp;OFFSET(AL45,0,COLUMN($B45)-COLUMN(AL45)),$A:$A,0),COLUMN(AL45)),TRUE)))))</f>
        <v>0</v>
      </c>
      <c r="AM45" s="358"/>
      <c r="AN45" s="359">
        <f t="shared" ref="AN45:AN75" ca="1" si="81">IF(OFFSET(AN45,ROW(AN$2)-ROW(AN45),0)="TT","TT",IF(OFFSET(AN45,0,COLUMN($M45)-COLUMN(AN45))="%",ROUND((OFFSET(AN45,-2,0)-OFFSET(AN45,-21,0))*0.07,2),IF(OFFSET(AN45,0,COLUMN($M45)-COLUMN(AN45))="V",ROUND(OFFSET(AN45,0,-2)*OFFSET(AN45,0,-1),2),SUMIF(INDIRECT(ADDRESS(MATCH("START"&amp;OFFSET(AN45,0,COLUMN($B45)-COLUMN(AN45)),$A:$A,0),$C45+COLUMN($E45)+1)&amp;":"&amp;ADDRESS(MATCH("END"&amp;OFFSET(AN45,0,COLUMN($B45)-COLUMN(AN45)),$A:$A,0),$C45+COLUMN($E45)+1),TRUE),INDIRECT(ADDRESS(ROW(AN45),$C45+COLUMN($E45)),TRUE),INDIRECT(ADDRESS(MATCH("START"&amp;OFFSET(AN45,0,COLUMN($B45)-COLUMN(AN45)),$A:$A,0),COLUMN(AN45))&amp;":"&amp;ADDRESS(MATCH("END"&amp;OFFSET(AN45,0,COLUMN($B45)-COLUMN(AN45)),$A:$A,0),COLUMN(AN45)),TRUE)))))</f>
        <v>0</v>
      </c>
      <c r="AO45" s="360">
        <f t="shared" ca="1" si="69"/>
        <v>0</v>
      </c>
      <c r="AP45" s="357">
        <f ca="1">IF(OFFSET(AP45,ROW(AP$2)-ROW(AP45),0)="TT","TT",IF(OFFSET(AP45,0,COLUMN($M45)-COLUMN(AP45))="%",ROUND(OFFSET(AP45,-2,0)*0.07,0),IF(OFFSET(AP45,0,COLUMN($M45)-COLUMN(AP45))="V","x",SUMIF(INDIRECT(ADDRESS(MATCH("START"&amp;OFFSET(AP45,0,COLUMN($B45)-COLUMN(AP45)),$A:$A,0),$C45+COLUMN($E45)+1)&amp;":"&amp;ADDRESS(MATCH("END"&amp;OFFSET(AP45,0,COLUMN($B45)-COLUMN(AP45)),$A:$A,0),$C45+COLUMN($E45)+1),TRUE),INDIRECT(ADDRESS(ROW(AP45),$C45+COLUMN($E45)),TRUE),INDIRECT(ADDRESS(MATCH("START"&amp;OFFSET(AP45,0,COLUMN($B45)-COLUMN(AP45)),$A:$A,0),COLUMN(AP45))&amp;":"&amp;ADDRESS(MATCH("END"&amp;OFFSET(AP45,0,COLUMN($B45)-COLUMN(AP45)),$A:$A,0),COLUMN(AP45)),TRUE)))))</f>
        <v>0</v>
      </c>
      <c r="AQ45" s="358"/>
      <c r="AR45" s="359">
        <f t="shared" ref="AR45:AR75" ca="1" si="82">IF(OFFSET(AR45,ROW(AR$2)-ROW(AR45),0)="TT","TT",IF(OFFSET(AR45,0,COLUMN($M45)-COLUMN(AR45))="%",ROUND((OFFSET(AR45,-2,0)-OFFSET(AR45,-21,0))*0.07,2),IF(OFFSET(AR45,0,COLUMN($M45)-COLUMN(AR45))="V",ROUND(OFFSET(AR45,0,-2)*OFFSET(AR45,0,-1),2),SUMIF(INDIRECT(ADDRESS(MATCH("START"&amp;OFFSET(AR45,0,COLUMN($B45)-COLUMN(AR45)),$A:$A,0),$C45+COLUMN($E45)+1)&amp;":"&amp;ADDRESS(MATCH("END"&amp;OFFSET(AR45,0,COLUMN($B45)-COLUMN(AR45)),$A:$A,0),$C45+COLUMN($E45)+1),TRUE),INDIRECT(ADDRESS(ROW(AR45),$C45+COLUMN($E45)),TRUE),INDIRECT(ADDRESS(MATCH("START"&amp;OFFSET(AR45,0,COLUMN($B45)-COLUMN(AR45)),$A:$A,0),COLUMN(AR45))&amp;":"&amp;ADDRESS(MATCH("END"&amp;OFFSET(AR45,0,COLUMN($B45)-COLUMN(AR45)),$A:$A,0),COLUMN(AR45)),TRUE)))))</f>
        <v>0</v>
      </c>
      <c r="AS45" s="360">
        <f t="shared" ca="1" si="70"/>
        <v>0</v>
      </c>
      <c r="AT45" s="357">
        <f ca="1">IF(OFFSET(AT45,ROW(AT$2)-ROW(AT45),0)="TT","TT",IF(OFFSET(AT45,0,COLUMN($M45)-COLUMN(AT45))="%",ROUND(OFFSET(AT45,-2,0)*0.07,0),IF(OFFSET(AT45,0,COLUMN($M45)-COLUMN(AT45))="V","x",SUMIF(INDIRECT(ADDRESS(MATCH("START"&amp;OFFSET(AT45,0,COLUMN($B45)-COLUMN(AT45)),$A:$A,0),$C45+COLUMN($E45)+1)&amp;":"&amp;ADDRESS(MATCH("END"&amp;OFFSET(AT45,0,COLUMN($B45)-COLUMN(AT45)),$A:$A,0),$C45+COLUMN($E45)+1),TRUE),INDIRECT(ADDRESS(ROW(AT45),$C45+COLUMN($E45)),TRUE),INDIRECT(ADDRESS(MATCH("START"&amp;OFFSET(AT45,0,COLUMN($B45)-COLUMN(AT45)),$A:$A,0),COLUMN(AT45))&amp;":"&amp;ADDRESS(MATCH("END"&amp;OFFSET(AT45,0,COLUMN($B45)-COLUMN(AT45)),$A:$A,0),COLUMN(AT45)),TRUE)))))</f>
        <v>0</v>
      </c>
      <c r="AU45" s="358"/>
      <c r="AV45" s="359">
        <f t="shared" ref="AV45:AV75" ca="1" si="83">IF(OFFSET(AV45,ROW(AV$2)-ROW(AV45),0)="TT","TT",IF(OFFSET(AV45,0,COLUMN($M45)-COLUMN(AV45))="%",ROUND((OFFSET(AV45,-2,0)-OFFSET(AV45,-21,0))*0.07,2),IF(OFFSET(AV45,0,COLUMN($M45)-COLUMN(AV45))="V",ROUND(OFFSET(AV45,0,-2)*OFFSET(AV45,0,-1),2),SUMIF(INDIRECT(ADDRESS(MATCH("START"&amp;OFFSET(AV45,0,COLUMN($B45)-COLUMN(AV45)),$A:$A,0),$C45+COLUMN($E45)+1)&amp;":"&amp;ADDRESS(MATCH("END"&amp;OFFSET(AV45,0,COLUMN($B45)-COLUMN(AV45)),$A:$A,0),$C45+COLUMN($E45)+1),TRUE),INDIRECT(ADDRESS(ROW(AV45),$C45+COLUMN($E45)),TRUE),INDIRECT(ADDRESS(MATCH("START"&amp;OFFSET(AV45,0,COLUMN($B45)-COLUMN(AV45)),$A:$A,0),COLUMN(AV45))&amp;":"&amp;ADDRESS(MATCH("END"&amp;OFFSET(AV45,0,COLUMN($B45)-COLUMN(AV45)),$A:$A,0),COLUMN(AV45)),TRUE)))))</f>
        <v>0</v>
      </c>
      <c r="AW45" s="360">
        <f t="shared" ca="1" si="71"/>
        <v>0</v>
      </c>
      <c r="AX45" s="357">
        <f ca="1">IF(OFFSET(AX45,ROW(AX$2)-ROW(AX45),0)="TT","TT",IF(OFFSET(AX45,0,COLUMN($M45)-COLUMN(AX45))="%",ROUND(OFFSET(AX45,-2,0)*0.07,0),IF(OFFSET(AX45,0,COLUMN($M45)-COLUMN(AX45))="V","x",SUMIF(INDIRECT(ADDRESS(MATCH("START"&amp;OFFSET(AX45,0,COLUMN($B45)-COLUMN(AX45)),$A:$A,0),$C45+COLUMN($E45)+1)&amp;":"&amp;ADDRESS(MATCH("END"&amp;OFFSET(AX45,0,COLUMN($B45)-COLUMN(AX45)),$A:$A,0),$C45+COLUMN($E45)+1),TRUE),INDIRECT(ADDRESS(ROW(AX45),$C45+COLUMN($E45)),TRUE),INDIRECT(ADDRESS(MATCH("START"&amp;OFFSET(AX45,0,COLUMN($B45)-COLUMN(AX45)),$A:$A,0),COLUMN(AX45))&amp;":"&amp;ADDRESS(MATCH("END"&amp;OFFSET(AX45,0,COLUMN($B45)-COLUMN(AX45)),$A:$A,0),COLUMN(AX45)),TRUE)))))</f>
        <v>0</v>
      </c>
      <c r="AY45" s="358"/>
      <c r="AZ45" s="359">
        <f t="shared" ref="AZ45:AZ75" ca="1" si="84">IF(OFFSET(AZ45,ROW(AZ$2)-ROW(AZ45),0)="TT","TT",IF(OFFSET(AZ45,0,COLUMN($M45)-COLUMN(AZ45))="%",ROUND((OFFSET(AZ45,-2,0)-OFFSET(AZ45,-21,0))*0.07,2),IF(OFFSET(AZ45,0,COLUMN($M45)-COLUMN(AZ45))="V",ROUND(OFFSET(AZ45,0,-2)*OFFSET(AZ45,0,-1),2),SUMIF(INDIRECT(ADDRESS(MATCH("START"&amp;OFFSET(AZ45,0,COLUMN($B45)-COLUMN(AZ45)),$A:$A,0),$C45+COLUMN($E45)+1)&amp;":"&amp;ADDRESS(MATCH("END"&amp;OFFSET(AZ45,0,COLUMN($B45)-COLUMN(AZ45)),$A:$A,0),$C45+COLUMN($E45)+1),TRUE),INDIRECT(ADDRESS(ROW(AZ45),$C45+COLUMN($E45)),TRUE),INDIRECT(ADDRESS(MATCH("START"&amp;OFFSET(AZ45,0,COLUMN($B45)-COLUMN(AZ45)),$A:$A,0),COLUMN(AZ45))&amp;":"&amp;ADDRESS(MATCH("END"&amp;OFFSET(AZ45,0,COLUMN($B45)-COLUMN(AZ45)),$A:$A,0),COLUMN(AZ45)),TRUE)))))</f>
        <v>0</v>
      </c>
      <c r="BA45" s="360">
        <f t="shared" ca="1" si="72"/>
        <v>0</v>
      </c>
      <c r="BB45" s="357">
        <f ca="1">IF(OFFSET(BB45,ROW(BB$2)-ROW(BB45),0)="TT","TT",IF(OFFSET(BB45,0,COLUMN($M45)-COLUMN(BB45))="%",ROUND(OFFSET(BB45,-2,0)*0.07,0),IF(OFFSET(BB45,0,COLUMN($M45)-COLUMN(BB45))="V","x",SUMIF(INDIRECT(ADDRESS(MATCH("START"&amp;OFFSET(BB45,0,COLUMN($B45)-COLUMN(BB45)),$A:$A,0),$C45+COLUMN($E45)+1)&amp;":"&amp;ADDRESS(MATCH("END"&amp;OFFSET(BB45,0,COLUMN($B45)-COLUMN(BB45)),$A:$A,0),$C45+COLUMN($E45)+1),TRUE),INDIRECT(ADDRESS(ROW(BB45),$C45+COLUMN($E45)),TRUE),INDIRECT(ADDRESS(MATCH("START"&amp;OFFSET(BB45,0,COLUMN($B45)-COLUMN(BB45)),$A:$A,0),COLUMN(BB45))&amp;":"&amp;ADDRESS(MATCH("END"&amp;OFFSET(BB45,0,COLUMN($B45)-COLUMN(BB45)),$A:$A,0),COLUMN(BB45)),TRUE)))))</f>
        <v>0</v>
      </c>
      <c r="BC45" s="358"/>
      <c r="BD45" s="359">
        <f t="shared" ref="BD45:BD75" ca="1" si="85">IF(OFFSET(BD45,ROW(BD$2)-ROW(BD45),0)="TT","TT",IF(OFFSET(BD45,0,COLUMN($M45)-COLUMN(BD45))="%",ROUND((OFFSET(BD45,-2,0)-OFFSET(BD45,-21,0))*0.07,2),IF(OFFSET(BD45,0,COLUMN($M45)-COLUMN(BD45))="V",ROUND(OFFSET(BD45,0,-2)*OFFSET(BD45,0,-1),2),SUMIF(INDIRECT(ADDRESS(MATCH("START"&amp;OFFSET(BD45,0,COLUMN($B45)-COLUMN(BD45)),$A:$A,0),$C45+COLUMN($E45)+1)&amp;":"&amp;ADDRESS(MATCH("END"&amp;OFFSET(BD45,0,COLUMN($B45)-COLUMN(BD45)),$A:$A,0),$C45+COLUMN($E45)+1),TRUE),INDIRECT(ADDRESS(ROW(BD45),$C45+COLUMN($E45)),TRUE),INDIRECT(ADDRESS(MATCH("START"&amp;OFFSET(BD45,0,COLUMN($B45)-COLUMN(BD45)),$A:$A,0),COLUMN(BD45))&amp;":"&amp;ADDRESS(MATCH("END"&amp;OFFSET(BD45,0,COLUMN($B45)-COLUMN(BD45)),$A:$A,0),COLUMN(BD45)),TRUE)))))</f>
        <v>0</v>
      </c>
      <c r="BE45" s="360">
        <f t="shared" ca="1" si="73"/>
        <v>0</v>
      </c>
      <c r="BF45" s="357">
        <f ca="1">IF(OFFSET(BF45,ROW(BF$2)-ROW(BF45),0)="TT","TT",IF(OFFSET(BF45,0,COLUMN($M45)-COLUMN(BF45))="%",ROUND(OFFSET(BF45,-2,0)*0.07,0),IF(OFFSET(BF45,0,COLUMN($M45)-COLUMN(BF45))="V","x",SUMIF(INDIRECT(ADDRESS(MATCH("START"&amp;OFFSET(BF45,0,COLUMN($B45)-COLUMN(BF45)),$A:$A,0),$C45+COLUMN($E45)+1)&amp;":"&amp;ADDRESS(MATCH("END"&amp;OFFSET(BF45,0,COLUMN($B45)-COLUMN(BF45)),$A:$A,0),$C45+COLUMN($E45)+1),TRUE),INDIRECT(ADDRESS(ROW(BF45),$C45+COLUMN($E45)),TRUE),INDIRECT(ADDRESS(MATCH("START"&amp;OFFSET(BF45,0,COLUMN($B45)-COLUMN(BF45)),$A:$A,0),COLUMN(BF45))&amp;":"&amp;ADDRESS(MATCH("END"&amp;OFFSET(BF45,0,COLUMN($B45)-COLUMN(BF45)),$A:$A,0),COLUMN(BF45)),TRUE)))))</f>
        <v>0</v>
      </c>
      <c r="BG45" s="358"/>
      <c r="BH45" s="359">
        <f t="shared" ref="BH45:BH75" ca="1" si="86">IF(OFFSET(BH45,ROW(BH$2)-ROW(BH45),0)="TT","TT",IF(OFFSET(BH45,0,COLUMN($M45)-COLUMN(BH45))="%",ROUND((OFFSET(BH45,-2,0)-OFFSET(BH45,-21,0))*0.07,2),IF(OFFSET(BH45,0,COLUMN($M45)-COLUMN(BH45))="V",ROUND(OFFSET(BH45,0,-2)*OFFSET(BH45,0,-1),2),SUMIF(INDIRECT(ADDRESS(MATCH("START"&amp;OFFSET(BH45,0,COLUMN($B45)-COLUMN(BH45)),$A:$A,0),$C45+COLUMN($E45)+1)&amp;":"&amp;ADDRESS(MATCH("END"&amp;OFFSET(BH45,0,COLUMN($B45)-COLUMN(BH45)),$A:$A,0),$C45+COLUMN($E45)+1),TRUE),INDIRECT(ADDRESS(ROW(BH45),$C45+COLUMN($E45)),TRUE),INDIRECT(ADDRESS(MATCH("START"&amp;OFFSET(BH45,0,COLUMN($B45)-COLUMN(BH45)),$A:$A,0),COLUMN(BH45))&amp;":"&amp;ADDRESS(MATCH("END"&amp;OFFSET(BH45,0,COLUMN($B45)-COLUMN(BH45)),$A:$A,0),COLUMN(BH45)),TRUE)))))</f>
        <v>0</v>
      </c>
      <c r="BI45" s="360">
        <f t="shared" ca="1" si="74"/>
        <v>0</v>
      </c>
      <c r="BJ45" s="357">
        <f ca="1">IF(OFFSET(BJ45,ROW(BJ$2)-ROW(BJ45),0)="TT","TT",IF(OFFSET(BJ45,0,COLUMN($M45)-COLUMN(BJ45))="%",ROUND(OFFSET(BJ45,-2,0)*0.07,0),IF(OFFSET(BJ45,0,COLUMN($M45)-COLUMN(BJ45))="V","x",SUMIF(INDIRECT(ADDRESS(MATCH("START"&amp;OFFSET(BJ45,0,COLUMN($B45)-COLUMN(BJ45)),$A:$A,0),$C45+COLUMN($E45)+1)&amp;":"&amp;ADDRESS(MATCH("END"&amp;OFFSET(BJ45,0,COLUMN($B45)-COLUMN(BJ45)),$A:$A,0),$C45+COLUMN($E45)+1),TRUE),INDIRECT(ADDRESS(ROW(BJ45),$C45+COLUMN($E45)),TRUE),INDIRECT(ADDRESS(MATCH("START"&amp;OFFSET(BJ45,0,COLUMN($B45)-COLUMN(BJ45)),$A:$A,0),COLUMN(BJ45))&amp;":"&amp;ADDRESS(MATCH("END"&amp;OFFSET(BJ45,0,COLUMN($B45)-COLUMN(BJ45)),$A:$A,0),COLUMN(BJ45)),TRUE)))))</f>
        <v>0</v>
      </c>
      <c r="BK45" s="358"/>
      <c r="BL45" s="359">
        <f t="shared" ref="BL45:BL75" ca="1" si="87">IF(OFFSET(BL45,ROW(BL$2)-ROW(BL45),0)="TT","TT",IF(OFFSET(BL45,0,COLUMN($M45)-COLUMN(BL45))="%",ROUND((OFFSET(BL45,-2,0)-OFFSET(BL45,-21,0))*0.07,2),IF(OFFSET(BL45,0,COLUMN($M45)-COLUMN(BL45))="V",ROUND(OFFSET(BL45,0,-2)*OFFSET(BL45,0,-1),2),SUMIF(INDIRECT(ADDRESS(MATCH("START"&amp;OFFSET(BL45,0,COLUMN($B45)-COLUMN(BL45)),$A:$A,0),$C45+COLUMN($E45)+1)&amp;":"&amp;ADDRESS(MATCH("END"&amp;OFFSET(BL45,0,COLUMN($B45)-COLUMN(BL45)),$A:$A,0),$C45+COLUMN($E45)+1),TRUE),INDIRECT(ADDRESS(ROW(BL45),$C45+COLUMN($E45)),TRUE),INDIRECT(ADDRESS(MATCH("START"&amp;OFFSET(BL45,0,COLUMN($B45)-COLUMN(BL45)),$A:$A,0),COLUMN(BL45))&amp;":"&amp;ADDRESS(MATCH("END"&amp;OFFSET(BL45,0,COLUMN($B45)-COLUMN(BL45)),$A:$A,0),COLUMN(BL45)),TRUE)))))</f>
        <v>0</v>
      </c>
      <c r="BM45" s="360">
        <f t="shared" ca="1" si="75"/>
        <v>0</v>
      </c>
      <c r="BN45" s="360">
        <f t="shared" ca="1" si="75"/>
        <v>0</v>
      </c>
      <c r="BP45" s="246"/>
    </row>
    <row r="46" spans="1:68">
      <c r="A46" s="221" t="str">
        <f t="shared" ca="1" si="62"/>
        <v>WP002</v>
      </c>
      <c r="B46" s="221" t="str">
        <f t="shared" ca="1" si="63"/>
        <v>WP002</v>
      </c>
      <c r="C46" s="221">
        <v>7</v>
      </c>
      <c r="D46" s="221" t="s">
        <v>79</v>
      </c>
      <c r="L46" s="221" t="s">
        <v>77</v>
      </c>
      <c r="M46" s="221" t="s">
        <v>80</v>
      </c>
      <c r="N46" s="461"/>
      <c r="O46" s="247"/>
      <c r="P46" s="248"/>
      <c r="Q46" s="249" t="str">
        <f>EMP_TYPE1</f>
        <v>Type 1</v>
      </c>
      <c r="R46" s="361">
        <f t="shared" ref="R46:S55" ca="1" si="88">INDIRECT("'"&amp; MID(OFFSET(R46,ROW(R$3)-ROW(R46),IF(OFFSET(R46,ROW(R$2)-ROW(R46),2)="T",0,IF(OFFSET(R46,ROW(R$2)-ROW(R46),1)="T",-1,-2))),1,6) &amp; "'!" &amp; ADDRESS(ROW(R46),MATCH(INDIRECT(ADDRESS(2,COLUMN(R46)+IF(OFFSET(R46,ROW(R$2)-ROW(R46),2)="T",1,IF(OFFSET(R46,ROW(R$2)-ROW(R46),1)="T",0,-1))),TRUE),INDIRECT("'"&amp; MID(OFFSET(R46,ROW(R$3)-ROW(R46),IF(OFFSET(R46,ROW(R$2)-ROW(R46),2)="T",0,IF(OFFSET(R46,ROW(R$2)-ROW(R46),1)="T",-1,-2))),1,6) &amp; "'!2:2",TRUE),0)-IF(OFFSET(R46,ROW(R$2)-ROW(R46),2)="T",1,IF(OFFSET(R46,ROW(R$2)-ROW(R46),1)="T",0,-1))),TRUE)</f>
        <v>0</v>
      </c>
      <c r="S46" s="362">
        <f t="shared" ca="1" si="88"/>
        <v>0</v>
      </c>
      <c r="T46" s="363">
        <f t="shared" ca="1" si="76"/>
        <v>0</v>
      </c>
      <c r="U46" s="360">
        <f t="shared" ca="1" si="64"/>
        <v>0</v>
      </c>
      <c r="V46" s="361">
        <f t="shared" ref="V46:W55" ca="1" si="89">INDIRECT("'"&amp; MID(OFFSET(V46,ROW(V$3)-ROW(V46),IF(OFFSET(V46,ROW(V$2)-ROW(V46),2)="T",0,IF(OFFSET(V46,ROW(V$2)-ROW(V46),1)="T",-1,-2))),1,6) &amp; "'!" &amp; ADDRESS(ROW(V46),MATCH(INDIRECT(ADDRESS(2,COLUMN(V46)+IF(OFFSET(V46,ROW(V$2)-ROW(V46),2)="T",1,IF(OFFSET(V46,ROW(V$2)-ROW(V46),1)="T",0,-1))),TRUE),INDIRECT("'"&amp; MID(OFFSET(V46,ROW(V$3)-ROW(V46),IF(OFFSET(V46,ROW(V$2)-ROW(V46),2)="T",0,IF(OFFSET(V46,ROW(V$2)-ROW(V46),1)="T",-1,-2))),1,6) &amp; "'!2:2",TRUE),0)-IF(OFFSET(V46,ROW(V$2)-ROW(V46),2)="T",1,IF(OFFSET(V46,ROW(V$2)-ROW(V46),1)="T",0,-1))),TRUE)</f>
        <v>0</v>
      </c>
      <c r="W46" s="362">
        <f t="shared" ca="1" si="89"/>
        <v>0</v>
      </c>
      <c r="X46" s="363">
        <f t="shared" ca="1" si="77"/>
        <v>0</v>
      </c>
      <c r="Y46" s="360">
        <f t="shared" ca="1" si="65"/>
        <v>0</v>
      </c>
      <c r="Z46" s="361">
        <f t="shared" ref="Z46:AA55" ca="1" si="90">INDIRECT("'"&amp; MID(OFFSET(Z46,ROW(Z$3)-ROW(Z46),IF(OFFSET(Z46,ROW(Z$2)-ROW(Z46),2)="T",0,IF(OFFSET(Z46,ROW(Z$2)-ROW(Z46),1)="T",-1,-2))),1,6) &amp; "'!" &amp; ADDRESS(ROW(Z46),MATCH(INDIRECT(ADDRESS(2,COLUMN(Z46)+IF(OFFSET(Z46,ROW(Z$2)-ROW(Z46),2)="T",1,IF(OFFSET(Z46,ROW(Z$2)-ROW(Z46),1)="T",0,-1))),TRUE),INDIRECT("'"&amp; MID(OFFSET(Z46,ROW(Z$3)-ROW(Z46),IF(OFFSET(Z46,ROW(Z$2)-ROW(Z46),2)="T",0,IF(OFFSET(Z46,ROW(Z$2)-ROW(Z46),1)="T",-1,-2))),1,6) &amp; "'!2:2",TRUE),0)-IF(OFFSET(Z46,ROW(Z$2)-ROW(Z46),2)="T",1,IF(OFFSET(Z46,ROW(Z$2)-ROW(Z46),1)="T",0,-1))),TRUE)</f>
        <v>0</v>
      </c>
      <c r="AA46" s="362">
        <f t="shared" ca="1" si="90"/>
        <v>0</v>
      </c>
      <c r="AB46" s="363">
        <f t="shared" ca="1" si="78"/>
        <v>0</v>
      </c>
      <c r="AC46" s="360">
        <f t="shared" ca="1" si="66"/>
        <v>0</v>
      </c>
      <c r="AD46" s="361">
        <f t="shared" ref="AD46:AE55" ca="1" si="91">INDIRECT("'"&amp; MID(OFFSET(AD46,ROW(AD$3)-ROW(AD46),IF(OFFSET(AD46,ROW(AD$2)-ROW(AD46),2)="T",0,IF(OFFSET(AD46,ROW(AD$2)-ROW(AD46),1)="T",-1,-2))),1,6) &amp; "'!" &amp; ADDRESS(ROW(AD46),MATCH(INDIRECT(ADDRESS(2,COLUMN(AD46)+IF(OFFSET(AD46,ROW(AD$2)-ROW(AD46),2)="T",1,IF(OFFSET(AD46,ROW(AD$2)-ROW(AD46),1)="T",0,-1))),TRUE),INDIRECT("'"&amp; MID(OFFSET(AD46,ROW(AD$3)-ROW(AD46),IF(OFFSET(AD46,ROW(AD$2)-ROW(AD46),2)="T",0,IF(OFFSET(AD46,ROW(AD$2)-ROW(AD46),1)="T",-1,-2))),1,6) &amp; "'!2:2",TRUE),0)-IF(OFFSET(AD46,ROW(AD$2)-ROW(AD46),2)="T",1,IF(OFFSET(AD46,ROW(AD$2)-ROW(AD46),1)="T",0,-1))),TRUE)</f>
        <v>0</v>
      </c>
      <c r="AE46" s="362">
        <f t="shared" ca="1" si="91"/>
        <v>0</v>
      </c>
      <c r="AF46" s="363">
        <f t="shared" ca="1" si="79"/>
        <v>0</v>
      </c>
      <c r="AG46" s="360">
        <f t="shared" ca="1" si="67"/>
        <v>0</v>
      </c>
      <c r="AH46" s="361">
        <f t="shared" ref="AH46:AI55" ca="1" si="92">INDIRECT("'"&amp; MID(OFFSET(AH46,ROW(AH$3)-ROW(AH46),IF(OFFSET(AH46,ROW(AH$2)-ROW(AH46),2)="T",0,IF(OFFSET(AH46,ROW(AH$2)-ROW(AH46),1)="T",-1,-2))),1,6) &amp; "'!" &amp; ADDRESS(ROW(AH46),MATCH(INDIRECT(ADDRESS(2,COLUMN(AH46)+IF(OFFSET(AH46,ROW(AH$2)-ROW(AH46),2)="T",1,IF(OFFSET(AH46,ROW(AH$2)-ROW(AH46),1)="T",0,-1))),TRUE),INDIRECT("'"&amp; MID(OFFSET(AH46,ROW(AH$3)-ROW(AH46),IF(OFFSET(AH46,ROW(AH$2)-ROW(AH46),2)="T",0,IF(OFFSET(AH46,ROW(AH$2)-ROW(AH46),1)="T",-1,-2))),1,6) &amp; "'!2:2",TRUE),0)-IF(OFFSET(AH46,ROW(AH$2)-ROW(AH46),2)="T",1,IF(OFFSET(AH46,ROW(AH$2)-ROW(AH46),1)="T",0,-1))),TRUE)</f>
        <v>0</v>
      </c>
      <c r="AI46" s="362">
        <f t="shared" ca="1" si="92"/>
        <v>0</v>
      </c>
      <c r="AJ46" s="363">
        <f t="shared" ca="1" si="80"/>
        <v>0</v>
      </c>
      <c r="AK46" s="360">
        <f t="shared" ca="1" si="68"/>
        <v>0</v>
      </c>
      <c r="AL46" s="361">
        <f t="shared" ref="AL46:AM55" ca="1" si="93">INDIRECT("'"&amp; MID(OFFSET(AL46,ROW(AL$3)-ROW(AL46),IF(OFFSET(AL46,ROW(AL$2)-ROW(AL46),2)="T",0,IF(OFFSET(AL46,ROW(AL$2)-ROW(AL46),1)="T",-1,-2))),1,6) &amp; "'!" &amp; ADDRESS(ROW(AL46),MATCH(INDIRECT(ADDRESS(2,COLUMN(AL46)+IF(OFFSET(AL46,ROW(AL$2)-ROW(AL46),2)="T",1,IF(OFFSET(AL46,ROW(AL$2)-ROW(AL46),1)="T",0,-1))),TRUE),INDIRECT("'"&amp; MID(OFFSET(AL46,ROW(AL$3)-ROW(AL46),IF(OFFSET(AL46,ROW(AL$2)-ROW(AL46),2)="T",0,IF(OFFSET(AL46,ROW(AL$2)-ROW(AL46),1)="T",-1,-2))),1,6) &amp; "'!2:2",TRUE),0)-IF(OFFSET(AL46,ROW(AL$2)-ROW(AL46),2)="T",1,IF(OFFSET(AL46,ROW(AL$2)-ROW(AL46),1)="T",0,-1))),TRUE)</f>
        <v>0</v>
      </c>
      <c r="AM46" s="362">
        <f t="shared" ca="1" si="93"/>
        <v>0</v>
      </c>
      <c r="AN46" s="363">
        <f t="shared" ca="1" si="81"/>
        <v>0</v>
      </c>
      <c r="AO46" s="360">
        <f t="shared" ca="1" si="69"/>
        <v>0</v>
      </c>
      <c r="AP46" s="361">
        <f t="shared" ref="AP46:AQ55" ca="1" si="94">INDIRECT("'"&amp; MID(OFFSET(AP46,ROW(AP$3)-ROW(AP46),IF(OFFSET(AP46,ROW(AP$2)-ROW(AP46),2)="T",0,IF(OFFSET(AP46,ROW(AP$2)-ROW(AP46),1)="T",-1,-2))),1,6) &amp; "'!" &amp; ADDRESS(ROW(AP46),MATCH(INDIRECT(ADDRESS(2,COLUMN(AP46)+IF(OFFSET(AP46,ROW(AP$2)-ROW(AP46),2)="T",1,IF(OFFSET(AP46,ROW(AP$2)-ROW(AP46),1)="T",0,-1))),TRUE),INDIRECT("'"&amp; MID(OFFSET(AP46,ROW(AP$3)-ROW(AP46),IF(OFFSET(AP46,ROW(AP$2)-ROW(AP46),2)="T",0,IF(OFFSET(AP46,ROW(AP$2)-ROW(AP46),1)="T",-1,-2))),1,6) &amp; "'!2:2",TRUE),0)-IF(OFFSET(AP46,ROW(AP$2)-ROW(AP46),2)="T",1,IF(OFFSET(AP46,ROW(AP$2)-ROW(AP46),1)="T",0,-1))),TRUE)</f>
        <v>0</v>
      </c>
      <c r="AQ46" s="362">
        <f t="shared" ca="1" si="94"/>
        <v>0</v>
      </c>
      <c r="AR46" s="363">
        <f t="shared" ca="1" si="82"/>
        <v>0</v>
      </c>
      <c r="AS46" s="360">
        <f t="shared" ca="1" si="70"/>
        <v>0</v>
      </c>
      <c r="AT46" s="361">
        <f t="shared" ref="AT46:AU55" ca="1" si="95">INDIRECT("'"&amp; MID(OFFSET(AT46,ROW(AT$3)-ROW(AT46),IF(OFFSET(AT46,ROW(AT$2)-ROW(AT46),2)="T",0,IF(OFFSET(AT46,ROW(AT$2)-ROW(AT46),1)="T",-1,-2))),1,6) &amp; "'!" &amp; ADDRESS(ROW(AT46),MATCH(INDIRECT(ADDRESS(2,COLUMN(AT46)+IF(OFFSET(AT46,ROW(AT$2)-ROW(AT46),2)="T",1,IF(OFFSET(AT46,ROW(AT$2)-ROW(AT46),1)="T",0,-1))),TRUE),INDIRECT("'"&amp; MID(OFFSET(AT46,ROW(AT$3)-ROW(AT46),IF(OFFSET(AT46,ROW(AT$2)-ROW(AT46),2)="T",0,IF(OFFSET(AT46,ROW(AT$2)-ROW(AT46),1)="T",-1,-2))),1,6) &amp; "'!2:2",TRUE),0)-IF(OFFSET(AT46,ROW(AT$2)-ROW(AT46),2)="T",1,IF(OFFSET(AT46,ROW(AT$2)-ROW(AT46),1)="T",0,-1))),TRUE)</f>
        <v>0</v>
      </c>
      <c r="AU46" s="362">
        <f t="shared" ca="1" si="95"/>
        <v>0</v>
      </c>
      <c r="AV46" s="363">
        <f t="shared" ca="1" si="83"/>
        <v>0</v>
      </c>
      <c r="AW46" s="360">
        <f t="shared" ca="1" si="71"/>
        <v>0</v>
      </c>
      <c r="AX46" s="361">
        <f t="shared" ref="AX46:AY55" ca="1" si="96">INDIRECT("'"&amp; MID(OFFSET(AX46,ROW(AX$3)-ROW(AX46),IF(OFFSET(AX46,ROW(AX$2)-ROW(AX46),2)="T",0,IF(OFFSET(AX46,ROW(AX$2)-ROW(AX46),1)="T",-1,-2))),1,6) &amp; "'!" &amp; ADDRESS(ROW(AX46),MATCH(INDIRECT(ADDRESS(2,COLUMN(AX46)+IF(OFFSET(AX46,ROW(AX$2)-ROW(AX46),2)="T",1,IF(OFFSET(AX46,ROW(AX$2)-ROW(AX46),1)="T",0,-1))),TRUE),INDIRECT("'"&amp; MID(OFFSET(AX46,ROW(AX$3)-ROW(AX46),IF(OFFSET(AX46,ROW(AX$2)-ROW(AX46),2)="T",0,IF(OFFSET(AX46,ROW(AX$2)-ROW(AX46),1)="T",-1,-2))),1,6) &amp; "'!2:2",TRUE),0)-IF(OFFSET(AX46,ROW(AX$2)-ROW(AX46),2)="T",1,IF(OFFSET(AX46,ROW(AX$2)-ROW(AX46),1)="T",0,-1))),TRUE)</f>
        <v>0</v>
      </c>
      <c r="AY46" s="362">
        <f t="shared" ca="1" si="96"/>
        <v>0</v>
      </c>
      <c r="AZ46" s="363">
        <f t="shared" ca="1" si="84"/>
        <v>0</v>
      </c>
      <c r="BA46" s="360">
        <f t="shared" ca="1" si="72"/>
        <v>0</v>
      </c>
      <c r="BB46" s="361">
        <f t="shared" ref="BB46:BC55" ca="1" si="97">INDIRECT("'"&amp; MID(OFFSET(BB46,ROW(BB$3)-ROW(BB46),IF(OFFSET(BB46,ROW(BB$2)-ROW(BB46),2)="T",0,IF(OFFSET(BB46,ROW(BB$2)-ROW(BB46),1)="T",-1,-2))),1,6) &amp; "'!" &amp; ADDRESS(ROW(BB46),MATCH(INDIRECT(ADDRESS(2,COLUMN(BB46)+IF(OFFSET(BB46,ROW(BB$2)-ROW(BB46),2)="T",1,IF(OFFSET(BB46,ROW(BB$2)-ROW(BB46),1)="T",0,-1))),TRUE),INDIRECT("'"&amp; MID(OFFSET(BB46,ROW(BB$3)-ROW(BB46),IF(OFFSET(BB46,ROW(BB$2)-ROW(BB46),2)="T",0,IF(OFFSET(BB46,ROW(BB$2)-ROW(BB46),1)="T",-1,-2))),1,6) &amp; "'!2:2",TRUE),0)-IF(OFFSET(BB46,ROW(BB$2)-ROW(BB46),2)="T",1,IF(OFFSET(BB46,ROW(BB$2)-ROW(BB46),1)="T",0,-1))),TRUE)</f>
        <v>0</v>
      </c>
      <c r="BC46" s="362">
        <f t="shared" ca="1" si="97"/>
        <v>0</v>
      </c>
      <c r="BD46" s="363">
        <f t="shared" ca="1" si="85"/>
        <v>0</v>
      </c>
      <c r="BE46" s="360">
        <f t="shared" ca="1" si="73"/>
        <v>0</v>
      </c>
      <c r="BF46" s="361">
        <f t="shared" ref="BF46:BG55" ca="1" si="98">INDIRECT("'"&amp; MID(OFFSET(BF46,ROW(BF$3)-ROW(BF46),IF(OFFSET(BF46,ROW(BF$2)-ROW(BF46),2)="T",0,IF(OFFSET(BF46,ROW(BF$2)-ROW(BF46),1)="T",-1,-2))),1,6) &amp; "'!" &amp; ADDRESS(ROW(BF46),MATCH(INDIRECT(ADDRESS(2,COLUMN(BF46)+IF(OFFSET(BF46,ROW(BF$2)-ROW(BF46),2)="T",1,IF(OFFSET(BF46,ROW(BF$2)-ROW(BF46),1)="T",0,-1))),TRUE),INDIRECT("'"&amp; MID(OFFSET(BF46,ROW(BF$3)-ROW(BF46),IF(OFFSET(BF46,ROW(BF$2)-ROW(BF46),2)="T",0,IF(OFFSET(BF46,ROW(BF$2)-ROW(BF46),1)="T",-1,-2))),1,6) &amp; "'!2:2",TRUE),0)-IF(OFFSET(BF46,ROW(BF$2)-ROW(BF46),2)="T",1,IF(OFFSET(BF46,ROW(BF$2)-ROW(BF46),1)="T",0,-1))),TRUE)</f>
        <v>0</v>
      </c>
      <c r="BG46" s="362">
        <f t="shared" ca="1" si="98"/>
        <v>0</v>
      </c>
      <c r="BH46" s="363">
        <f t="shared" ca="1" si="86"/>
        <v>0</v>
      </c>
      <c r="BI46" s="360">
        <f t="shared" ca="1" si="74"/>
        <v>0</v>
      </c>
      <c r="BJ46" s="361">
        <f t="shared" ref="BJ46:BK55" ca="1" si="99">INDIRECT("'"&amp; MID(OFFSET(BJ46,ROW(BJ$3)-ROW(BJ46),IF(OFFSET(BJ46,ROW(BJ$2)-ROW(BJ46),2)="T",0,IF(OFFSET(BJ46,ROW(BJ$2)-ROW(BJ46),1)="T",-1,-2))),1,6) &amp; "'!" &amp; ADDRESS(ROW(BJ46),MATCH(INDIRECT(ADDRESS(2,COLUMN(BJ46)+IF(OFFSET(BJ46,ROW(BJ$2)-ROW(BJ46),2)="T",1,IF(OFFSET(BJ46,ROW(BJ$2)-ROW(BJ46),1)="T",0,-1))),TRUE),INDIRECT("'"&amp; MID(OFFSET(BJ46,ROW(BJ$3)-ROW(BJ46),IF(OFFSET(BJ46,ROW(BJ$2)-ROW(BJ46),2)="T",0,IF(OFFSET(BJ46,ROW(BJ$2)-ROW(BJ46),1)="T",-1,-2))),1,6) &amp; "'!2:2",TRUE),0)-IF(OFFSET(BJ46,ROW(BJ$2)-ROW(BJ46),2)="T",1,IF(OFFSET(BJ46,ROW(BJ$2)-ROW(BJ46),1)="T",0,-1))),TRUE)</f>
        <v>0</v>
      </c>
      <c r="BK46" s="362">
        <f t="shared" ca="1" si="99"/>
        <v>0</v>
      </c>
      <c r="BL46" s="363">
        <f t="shared" ca="1" si="87"/>
        <v>0</v>
      </c>
      <c r="BM46" s="360">
        <f t="shared" ca="1" si="75"/>
        <v>0</v>
      </c>
      <c r="BN46" s="360">
        <f t="shared" ca="1" si="75"/>
        <v>0</v>
      </c>
      <c r="BP46" s="246"/>
    </row>
    <row r="47" spans="1:68">
      <c r="A47" s="221" t="str">
        <f t="shared" ca="1" si="62"/>
        <v>WP002</v>
      </c>
      <c r="B47" s="221" t="str">
        <f t="shared" ca="1" si="63"/>
        <v>WP002</v>
      </c>
      <c r="C47" s="221">
        <v>7</v>
      </c>
      <c r="D47" s="221" t="s">
        <v>81</v>
      </c>
      <c r="L47" s="221" t="s">
        <v>77</v>
      </c>
      <c r="M47" s="221" t="s">
        <v>80</v>
      </c>
      <c r="N47" s="461"/>
      <c r="O47" s="247"/>
      <c r="P47" s="248"/>
      <c r="Q47" s="249" t="str">
        <f>EMP_TYPE2</f>
        <v>Type 2</v>
      </c>
      <c r="R47" s="361">
        <f t="shared" ca="1" si="88"/>
        <v>0</v>
      </c>
      <c r="S47" s="362">
        <f t="shared" ca="1" si="88"/>
        <v>0</v>
      </c>
      <c r="T47" s="363">
        <f t="shared" ca="1" si="76"/>
        <v>0</v>
      </c>
      <c r="U47" s="360">
        <f t="shared" ca="1" si="64"/>
        <v>0</v>
      </c>
      <c r="V47" s="361">
        <f t="shared" ca="1" si="89"/>
        <v>0</v>
      </c>
      <c r="W47" s="362">
        <f t="shared" ca="1" si="89"/>
        <v>0</v>
      </c>
      <c r="X47" s="363">
        <f t="shared" ca="1" si="77"/>
        <v>0</v>
      </c>
      <c r="Y47" s="360">
        <f t="shared" ca="1" si="65"/>
        <v>0</v>
      </c>
      <c r="Z47" s="361">
        <f t="shared" ca="1" si="90"/>
        <v>0</v>
      </c>
      <c r="AA47" s="362">
        <f t="shared" ca="1" si="90"/>
        <v>0</v>
      </c>
      <c r="AB47" s="363">
        <f t="shared" ca="1" si="78"/>
        <v>0</v>
      </c>
      <c r="AC47" s="360">
        <f t="shared" ca="1" si="66"/>
        <v>0</v>
      </c>
      <c r="AD47" s="361">
        <f t="shared" ca="1" si="91"/>
        <v>0</v>
      </c>
      <c r="AE47" s="362">
        <f t="shared" ca="1" si="91"/>
        <v>0</v>
      </c>
      <c r="AF47" s="363">
        <f t="shared" ca="1" si="79"/>
        <v>0</v>
      </c>
      <c r="AG47" s="360">
        <f t="shared" ca="1" si="67"/>
        <v>0</v>
      </c>
      <c r="AH47" s="361">
        <f t="shared" ca="1" si="92"/>
        <v>0</v>
      </c>
      <c r="AI47" s="362">
        <f t="shared" ca="1" si="92"/>
        <v>0</v>
      </c>
      <c r="AJ47" s="363">
        <f t="shared" ca="1" si="80"/>
        <v>0</v>
      </c>
      <c r="AK47" s="360">
        <f t="shared" ca="1" si="68"/>
        <v>0</v>
      </c>
      <c r="AL47" s="361">
        <f t="shared" ca="1" si="93"/>
        <v>0</v>
      </c>
      <c r="AM47" s="362">
        <f t="shared" ca="1" si="93"/>
        <v>0</v>
      </c>
      <c r="AN47" s="363">
        <f t="shared" ca="1" si="81"/>
        <v>0</v>
      </c>
      <c r="AO47" s="360">
        <f t="shared" ca="1" si="69"/>
        <v>0</v>
      </c>
      <c r="AP47" s="361">
        <f t="shared" ca="1" si="94"/>
        <v>0</v>
      </c>
      <c r="AQ47" s="362">
        <f t="shared" ca="1" si="94"/>
        <v>0</v>
      </c>
      <c r="AR47" s="363">
        <f t="shared" ca="1" si="82"/>
        <v>0</v>
      </c>
      <c r="AS47" s="360">
        <f t="shared" ca="1" si="70"/>
        <v>0</v>
      </c>
      <c r="AT47" s="361">
        <f t="shared" ca="1" si="95"/>
        <v>0</v>
      </c>
      <c r="AU47" s="362">
        <f t="shared" ca="1" si="95"/>
        <v>0</v>
      </c>
      <c r="AV47" s="363">
        <f t="shared" ca="1" si="83"/>
        <v>0</v>
      </c>
      <c r="AW47" s="360">
        <f t="shared" ca="1" si="71"/>
        <v>0</v>
      </c>
      <c r="AX47" s="361">
        <f t="shared" ca="1" si="96"/>
        <v>0</v>
      </c>
      <c r="AY47" s="362">
        <f t="shared" ca="1" si="96"/>
        <v>0</v>
      </c>
      <c r="AZ47" s="363">
        <f t="shared" ca="1" si="84"/>
        <v>0</v>
      </c>
      <c r="BA47" s="360">
        <f t="shared" ca="1" si="72"/>
        <v>0</v>
      </c>
      <c r="BB47" s="361">
        <f t="shared" ca="1" si="97"/>
        <v>0</v>
      </c>
      <c r="BC47" s="362">
        <f t="shared" ca="1" si="97"/>
        <v>0</v>
      </c>
      <c r="BD47" s="363">
        <f t="shared" ca="1" si="85"/>
        <v>0</v>
      </c>
      <c r="BE47" s="360">
        <f t="shared" ca="1" si="73"/>
        <v>0</v>
      </c>
      <c r="BF47" s="361">
        <f t="shared" ca="1" si="98"/>
        <v>0</v>
      </c>
      <c r="BG47" s="362">
        <f t="shared" ca="1" si="98"/>
        <v>0</v>
      </c>
      <c r="BH47" s="363">
        <f t="shared" ca="1" si="86"/>
        <v>0</v>
      </c>
      <c r="BI47" s="360">
        <f t="shared" ca="1" si="74"/>
        <v>0</v>
      </c>
      <c r="BJ47" s="361">
        <f t="shared" ca="1" si="99"/>
        <v>0</v>
      </c>
      <c r="BK47" s="362">
        <f t="shared" ca="1" si="99"/>
        <v>0</v>
      </c>
      <c r="BL47" s="363">
        <f t="shared" ca="1" si="87"/>
        <v>0</v>
      </c>
      <c r="BM47" s="360">
        <f t="shared" ca="1" si="75"/>
        <v>0</v>
      </c>
      <c r="BN47" s="360">
        <f t="shared" ca="1" si="75"/>
        <v>0</v>
      </c>
      <c r="BP47" s="246"/>
    </row>
    <row r="48" spans="1:68">
      <c r="A48" s="221" t="str">
        <f t="shared" ca="1" si="62"/>
        <v>WP002</v>
      </c>
      <c r="B48" s="221" t="str">
        <f t="shared" ca="1" si="63"/>
        <v>WP002</v>
      </c>
      <c r="C48" s="221">
        <v>7</v>
      </c>
      <c r="D48" s="221" t="s">
        <v>82</v>
      </c>
      <c r="L48" s="221" t="s">
        <v>77</v>
      </c>
      <c r="M48" s="221" t="s">
        <v>80</v>
      </c>
      <c r="N48" s="461"/>
      <c r="O48" s="247"/>
      <c r="P48" s="248"/>
      <c r="Q48" s="249" t="str">
        <f>EMP_TYPE3</f>
        <v>Type 3</v>
      </c>
      <c r="R48" s="361">
        <f t="shared" ca="1" si="88"/>
        <v>0</v>
      </c>
      <c r="S48" s="362">
        <f t="shared" ca="1" si="88"/>
        <v>0</v>
      </c>
      <c r="T48" s="363">
        <f t="shared" ca="1" si="76"/>
        <v>0</v>
      </c>
      <c r="U48" s="360">
        <f t="shared" ca="1" si="64"/>
        <v>0</v>
      </c>
      <c r="V48" s="361">
        <f t="shared" ca="1" si="89"/>
        <v>0</v>
      </c>
      <c r="W48" s="362">
        <f t="shared" ca="1" si="89"/>
        <v>0</v>
      </c>
      <c r="X48" s="363">
        <f t="shared" ca="1" si="77"/>
        <v>0</v>
      </c>
      <c r="Y48" s="360">
        <f t="shared" ca="1" si="65"/>
        <v>0</v>
      </c>
      <c r="Z48" s="361">
        <f t="shared" ca="1" si="90"/>
        <v>0</v>
      </c>
      <c r="AA48" s="362">
        <f t="shared" ca="1" si="90"/>
        <v>0</v>
      </c>
      <c r="AB48" s="363">
        <f t="shared" ca="1" si="78"/>
        <v>0</v>
      </c>
      <c r="AC48" s="360">
        <f t="shared" ca="1" si="66"/>
        <v>0</v>
      </c>
      <c r="AD48" s="361">
        <f t="shared" ca="1" si="91"/>
        <v>0</v>
      </c>
      <c r="AE48" s="362">
        <f t="shared" ca="1" si="91"/>
        <v>0</v>
      </c>
      <c r="AF48" s="363">
        <f t="shared" ca="1" si="79"/>
        <v>0</v>
      </c>
      <c r="AG48" s="360">
        <f t="shared" ca="1" si="67"/>
        <v>0</v>
      </c>
      <c r="AH48" s="361">
        <f t="shared" ca="1" si="92"/>
        <v>0</v>
      </c>
      <c r="AI48" s="362">
        <f t="shared" ca="1" si="92"/>
        <v>0</v>
      </c>
      <c r="AJ48" s="363">
        <f t="shared" ca="1" si="80"/>
        <v>0</v>
      </c>
      <c r="AK48" s="360">
        <f t="shared" ca="1" si="68"/>
        <v>0</v>
      </c>
      <c r="AL48" s="361">
        <f t="shared" ca="1" si="93"/>
        <v>0</v>
      </c>
      <c r="AM48" s="362">
        <f t="shared" ca="1" si="93"/>
        <v>0</v>
      </c>
      <c r="AN48" s="363">
        <f t="shared" ca="1" si="81"/>
        <v>0</v>
      </c>
      <c r="AO48" s="360">
        <f t="shared" ca="1" si="69"/>
        <v>0</v>
      </c>
      <c r="AP48" s="361">
        <f t="shared" ca="1" si="94"/>
        <v>0</v>
      </c>
      <c r="AQ48" s="362">
        <f t="shared" ca="1" si="94"/>
        <v>0</v>
      </c>
      <c r="AR48" s="363">
        <f t="shared" ca="1" si="82"/>
        <v>0</v>
      </c>
      <c r="AS48" s="360">
        <f t="shared" ca="1" si="70"/>
        <v>0</v>
      </c>
      <c r="AT48" s="361">
        <f t="shared" ca="1" si="95"/>
        <v>0</v>
      </c>
      <c r="AU48" s="362">
        <f t="shared" ca="1" si="95"/>
        <v>0</v>
      </c>
      <c r="AV48" s="363">
        <f t="shared" ca="1" si="83"/>
        <v>0</v>
      </c>
      <c r="AW48" s="360">
        <f t="shared" ca="1" si="71"/>
        <v>0</v>
      </c>
      <c r="AX48" s="361">
        <f t="shared" ca="1" si="96"/>
        <v>0</v>
      </c>
      <c r="AY48" s="362">
        <f t="shared" ca="1" si="96"/>
        <v>0</v>
      </c>
      <c r="AZ48" s="363">
        <f t="shared" ca="1" si="84"/>
        <v>0</v>
      </c>
      <c r="BA48" s="360">
        <f t="shared" ca="1" si="72"/>
        <v>0</v>
      </c>
      <c r="BB48" s="361">
        <f t="shared" ca="1" si="97"/>
        <v>0</v>
      </c>
      <c r="BC48" s="362">
        <f t="shared" ca="1" si="97"/>
        <v>0</v>
      </c>
      <c r="BD48" s="363">
        <f t="shared" ca="1" si="85"/>
        <v>0</v>
      </c>
      <c r="BE48" s="360">
        <f t="shared" ca="1" si="73"/>
        <v>0</v>
      </c>
      <c r="BF48" s="361">
        <f t="shared" ca="1" si="98"/>
        <v>0</v>
      </c>
      <c r="BG48" s="362">
        <f t="shared" ca="1" si="98"/>
        <v>0</v>
      </c>
      <c r="BH48" s="363">
        <f t="shared" ca="1" si="86"/>
        <v>0</v>
      </c>
      <c r="BI48" s="360">
        <f t="shared" ca="1" si="74"/>
        <v>0</v>
      </c>
      <c r="BJ48" s="361">
        <f t="shared" ca="1" si="99"/>
        <v>0</v>
      </c>
      <c r="BK48" s="362">
        <f t="shared" ca="1" si="99"/>
        <v>0</v>
      </c>
      <c r="BL48" s="363">
        <f t="shared" ca="1" si="87"/>
        <v>0</v>
      </c>
      <c r="BM48" s="360">
        <f t="shared" ca="1" si="75"/>
        <v>0</v>
      </c>
      <c r="BN48" s="360">
        <f t="shared" ca="1" si="75"/>
        <v>0</v>
      </c>
      <c r="BP48" s="246"/>
    </row>
    <row r="49" spans="1:68">
      <c r="A49" s="221" t="str">
        <f t="shared" ca="1" si="62"/>
        <v>WP002</v>
      </c>
      <c r="B49" s="221" t="str">
        <f t="shared" ca="1" si="63"/>
        <v>WP002</v>
      </c>
      <c r="C49" s="221">
        <v>7</v>
      </c>
      <c r="D49" s="221" t="s">
        <v>83</v>
      </c>
      <c r="L49" s="221" t="s">
        <v>77</v>
      </c>
      <c r="M49" s="221" t="s">
        <v>80</v>
      </c>
      <c r="N49" s="461"/>
      <c r="O49" s="247"/>
      <c r="P49" s="248"/>
      <c r="Q49" s="249" t="str">
        <f>EMP_TYPE4</f>
        <v>Type 4</v>
      </c>
      <c r="R49" s="361">
        <f t="shared" ca="1" si="88"/>
        <v>0</v>
      </c>
      <c r="S49" s="362">
        <f t="shared" ca="1" si="88"/>
        <v>0</v>
      </c>
      <c r="T49" s="363">
        <f t="shared" ca="1" si="76"/>
        <v>0</v>
      </c>
      <c r="U49" s="360">
        <f t="shared" ca="1" si="64"/>
        <v>0</v>
      </c>
      <c r="V49" s="361">
        <f t="shared" ca="1" si="89"/>
        <v>0</v>
      </c>
      <c r="W49" s="362">
        <f t="shared" ca="1" si="89"/>
        <v>0</v>
      </c>
      <c r="X49" s="363">
        <f t="shared" ca="1" si="77"/>
        <v>0</v>
      </c>
      <c r="Y49" s="360">
        <f t="shared" ca="1" si="65"/>
        <v>0</v>
      </c>
      <c r="Z49" s="361">
        <f t="shared" ca="1" si="90"/>
        <v>0</v>
      </c>
      <c r="AA49" s="362">
        <f t="shared" ca="1" si="90"/>
        <v>0</v>
      </c>
      <c r="AB49" s="363">
        <f t="shared" ca="1" si="78"/>
        <v>0</v>
      </c>
      <c r="AC49" s="360">
        <f t="shared" ca="1" si="66"/>
        <v>0</v>
      </c>
      <c r="AD49" s="361">
        <f t="shared" ca="1" si="91"/>
        <v>0</v>
      </c>
      <c r="AE49" s="362">
        <f t="shared" ca="1" si="91"/>
        <v>0</v>
      </c>
      <c r="AF49" s="363">
        <f t="shared" ca="1" si="79"/>
        <v>0</v>
      </c>
      <c r="AG49" s="360">
        <f t="shared" ca="1" si="67"/>
        <v>0</v>
      </c>
      <c r="AH49" s="361">
        <f t="shared" ca="1" si="92"/>
        <v>0</v>
      </c>
      <c r="AI49" s="362">
        <f t="shared" ca="1" si="92"/>
        <v>0</v>
      </c>
      <c r="AJ49" s="363">
        <f t="shared" ca="1" si="80"/>
        <v>0</v>
      </c>
      <c r="AK49" s="360">
        <f t="shared" ca="1" si="68"/>
        <v>0</v>
      </c>
      <c r="AL49" s="361">
        <f t="shared" ca="1" si="93"/>
        <v>0</v>
      </c>
      <c r="AM49" s="362">
        <f t="shared" ca="1" si="93"/>
        <v>0</v>
      </c>
      <c r="AN49" s="363">
        <f t="shared" ca="1" si="81"/>
        <v>0</v>
      </c>
      <c r="AO49" s="360">
        <f t="shared" ca="1" si="69"/>
        <v>0</v>
      </c>
      <c r="AP49" s="361">
        <f t="shared" ca="1" si="94"/>
        <v>0</v>
      </c>
      <c r="AQ49" s="362">
        <f t="shared" ca="1" si="94"/>
        <v>0</v>
      </c>
      <c r="AR49" s="363">
        <f t="shared" ca="1" si="82"/>
        <v>0</v>
      </c>
      <c r="AS49" s="360">
        <f t="shared" ca="1" si="70"/>
        <v>0</v>
      </c>
      <c r="AT49" s="361">
        <f t="shared" ca="1" si="95"/>
        <v>0</v>
      </c>
      <c r="AU49" s="362">
        <f t="shared" ca="1" si="95"/>
        <v>0</v>
      </c>
      <c r="AV49" s="363">
        <f t="shared" ca="1" si="83"/>
        <v>0</v>
      </c>
      <c r="AW49" s="360">
        <f t="shared" ca="1" si="71"/>
        <v>0</v>
      </c>
      <c r="AX49" s="361">
        <f t="shared" ca="1" si="96"/>
        <v>0</v>
      </c>
      <c r="AY49" s="362">
        <f t="shared" ca="1" si="96"/>
        <v>0</v>
      </c>
      <c r="AZ49" s="363">
        <f t="shared" ca="1" si="84"/>
        <v>0</v>
      </c>
      <c r="BA49" s="360">
        <f t="shared" ca="1" si="72"/>
        <v>0</v>
      </c>
      <c r="BB49" s="361">
        <f t="shared" ca="1" si="97"/>
        <v>0</v>
      </c>
      <c r="BC49" s="362">
        <f t="shared" ca="1" si="97"/>
        <v>0</v>
      </c>
      <c r="BD49" s="363">
        <f t="shared" ca="1" si="85"/>
        <v>0</v>
      </c>
      <c r="BE49" s="360">
        <f t="shared" ca="1" si="73"/>
        <v>0</v>
      </c>
      <c r="BF49" s="361">
        <f t="shared" ca="1" si="98"/>
        <v>0</v>
      </c>
      <c r="BG49" s="362">
        <f t="shared" ca="1" si="98"/>
        <v>0</v>
      </c>
      <c r="BH49" s="363">
        <f t="shared" ca="1" si="86"/>
        <v>0</v>
      </c>
      <c r="BI49" s="360">
        <f t="shared" ca="1" si="74"/>
        <v>0</v>
      </c>
      <c r="BJ49" s="361">
        <f t="shared" ca="1" si="99"/>
        <v>0</v>
      </c>
      <c r="BK49" s="362">
        <f t="shared" ca="1" si="99"/>
        <v>0</v>
      </c>
      <c r="BL49" s="363">
        <f t="shared" ca="1" si="87"/>
        <v>0</v>
      </c>
      <c r="BM49" s="360">
        <f t="shared" ca="1" si="75"/>
        <v>0</v>
      </c>
      <c r="BN49" s="360">
        <f t="shared" ca="1" si="75"/>
        <v>0</v>
      </c>
      <c r="BP49" s="246"/>
    </row>
    <row r="50" spans="1:68">
      <c r="A50" s="221" t="str">
        <f t="shared" ca="1" si="62"/>
        <v>WP002</v>
      </c>
      <c r="B50" s="221" t="str">
        <f t="shared" ca="1" si="63"/>
        <v>WP002</v>
      </c>
      <c r="C50" s="221">
        <v>7</v>
      </c>
      <c r="D50" s="221" t="s">
        <v>84</v>
      </c>
      <c r="L50" s="221" t="s">
        <v>77</v>
      </c>
      <c r="M50" s="221" t="s">
        <v>80</v>
      </c>
      <c r="N50" s="461"/>
      <c r="O50" s="247"/>
      <c r="P50" s="248"/>
      <c r="Q50" s="249" t="str">
        <f>EMP_OTHER</f>
        <v>Type 5</v>
      </c>
      <c r="R50" s="361">
        <f t="shared" ca="1" si="88"/>
        <v>0</v>
      </c>
      <c r="S50" s="362">
        <f t="shared" ca="1" si="88"/>
        <v>0</v>
      </c>
      <c r="T50" s="363">
        <f t="shared" ca="1" si="76"/>
        <v>0</v>
      </c>
      <c r="U50" s="360">
        <f t="shared" ca="1" si="64"/>
        <v>0</v>
      </c>
      <c r="V50" s="361">
        <f t="shared" ca="1" si="89"/>
        <v>0</v>
      </c>
      <c r="W50" s="362">
        <f t="shared" ca="1" si="89"/>
        <v>0</v>
      </c>
      <c r="X50" s="363">
        <f t="shared" ca="1" si="77"/>
        <v>0</v>
      </c>
      <c r="Y50" s="360">
        <f t="shared" ca="1" si="65"/>
        <v>0</v>
      </c>
      <c r="Z50" s="361">
        <f t="shared" ca="1" si="90"/>
        <v>0</v>
      </c>
      <c r="AA50" s="362">
        <f t="shared" ca="1" si="90"/>
        <v>0</v>
      </c>
      <c r="AB50" s="363">
        <f t="shared" ca="1" si="78"/>
        <v>0</v>
      </c>
      <c r="AC50" s="360">
        <f t="shared" ca="1" si="66"/>
        <v>0</v>
      </c>
      <c r="AD50" s="361">
        <f t="shared" ca="1" si="91"/>
        <v>0</v>
      </c>
      <c r="AE50" s="362">
        <f t="shared" ca="1" si="91"/>
        <v>0</v>
      </c>
      <c r="AF50" s="363">
        <f t="shared" ca="1" si="79"/>
        <v>0</v>
      </c>
      <c r="AG50" s="360">
        <f t="shared" ca="1" si="67"/>
        <v>0</v>
      </c>
      <c r="AH50" s="361">
        <f t="shared" ca="1" si="92"/>
        <v>0</v>
      </c>
      <c r="AI50" s="362">
        <f t="shared" ca="1" si="92"/>
        <v>0</v>
      </c>
      <c r="AJ50" s="363">
        <f t="shared" ca="1" si="80"/>
        <v>0</v>
      </c>
      <c r="AK50" s="360">
        <f t="shared" ca="1" si="68"/>
        <v>0</v>
      </c>
      <c r="AL50" s="361">
        <f t="shared" ca="1" si="93"/>
        <v>0</v>
      </c>
      <c r="AM50" s="362">
        <f t="shared" ca="1" si="93"/>
        <v>0</v>
      </c>
      <c r="AN50" s="363">
        <f t="shared" ca="1" si="81"/>
        <v>0</v>
      </c>
      <c r="AO50" s="360">
        <f t="shared" ca="1" si="69"/>
        <v>0</v>
      </c>
      <c r="AP50" s="361">
        <f t="shared" ca="1" si="94"/>
        <v>0</v>
      </c>
      <c r="AQ50" s="362">
        <f t="shared" ca="1" si="94"/>
        <v>0</v>
      </c>
      <c r="AR50" s="363">
        <f t="shared" ca="1" si="82"/>
        <v>0</v>
      </c>
      <c r="AS50" s="360">
        <f t="shared" ca="1" si="70"/>
        <v>0</v>
      </c>
      <c r="AT50" s="361">
        <f t="shared" ca="1" si="95"/>
        <v>0</v>
      </c>
      <c r="AU50" s="362">
        <f t="shared" ca="1" si="95"/>
        <v>0</v>
      </c>
      <c r="AV50" s="363">
        <f t="shared" ca="1" si="83"/>
        <v>0</v>
      </c>
      <c r="AW50" s="360">
        <f t="shared" ca="1" si="71"/>
        <v>0</v>
      </c>
      <c r="AX50" s="361">
        <f t="shared" ca="1" si="96"/>
        <v>0</v>
      </c>
      <c r="AY50" s="362">
        <f t="shared" ca="1" si="96"/>
        <v>0</v>
      </c>
      <c r="AZ50" s="363">
        <f t="shared" ca="1" si="84"/>
        <v>0</v>
      </c>
      <c r="BA50" s="360">
        <f t="shared" ca="1" si="72"/>
        <v>0</v>
      </c>
      <c r="BB50" s="361">
        <f t="shared" ca="1" si="97"/>
        <v>0</v>
      </c>
      <c r="BC50" s="362">
        <f t="shared" ca="1" si="97"/>
        <v>0</v>
      </c>
      <c r="BD50" s="363">
        <f t="shared" ca="1" si="85"/>
        <v>0</v>
      </c>
      <c r="BE50" s="360">
        <f t="shared" ca="1" si="73"/>
        <v>0</v>
      </c>
      <c r="BF50" s="361">
        <f t="shared" ca="1" si="98"/>
        <v>0</v>
      </c>
      <c r="BG50" s="362">
        <f t="shared" ca="1" si="98"/>
        <v>0</v>
      </c>
      <c r="BH50" s="363">
        <f t="shared" ca="1" si="86"/>
        <v>0</v>
      </c>
      <c r="BI50" s="360">
        <f t="shared" ca="1" si="74"/>
        <v>0</v>
      </c>
      <c r="BJ50" s="361">
        <f t="shared" ca="1" si="99"/>
        <v>0</v>
      </c>
      <c r="BK50" s="362">
        <f t="shared" ca="1" si="99"/>
        <v>0</v>
      </c>
      <c r="BL50" s="363">
        <f t="shared" ca="1" si="87"/>
        <v>0</v>
      </c>
      <c r="BM50" s="360">
        <f t="shared" ca="1" si="75"/>
        <v>0</v>
      </c>
      <c r="BN50" s="360">
        <f t="shared" ca="1" si="75"/>
        <v>0</v>
      </c>
      <c r="BP50" s="246"/>
    </row>
    <row r="51" spans="1:68">
      <c r="A51" s="221" t="str">
        <f t="shared" ca="1" si="62"/>
        <v>WP002</v>
      </c>
      <c r="B51" s="221" t="str">
        <f t="shared" ca="1" si="63"/>
        <v>WP002</v>
      </c>
      <c r="C51" s="221">
        <v>6</v>
      </c>
      <c r="D51" s="221" t="s">
        <v>85</v>
      </c>
      <c r="J51" s="222" t="s">
        <v>75</v>
      </c>
      <c r="M51" s="221" t="s">
        <v>80</v>
      </c>
      <c r="N51" s="461"/>
      <c r="O51" s="250"/>
      <c r="P51" s="458" t="s">
        <v>86</v>
      </c>
      <c r="Q51" s="456"/>
      <c r="R51" s="364">
        <f t="shared" ca="1" si="88"/>
        <v>0</v>
      </c>
      <c r="S51" s="358">
        <f t="shared" ca="1" si="88"/>
        <v>0</v>
      </c>
      <c r="T51" s="359">
        <f t="shared" ca="1" si="76"/>
        <v>0</v>
      </c>
      <c r="U51" s="360">
        <f t="shared" ca="1" si="64"/>
        <v>0</v>
      </c>
      <c r="V51" s="364">
        <f t="shared" ca="1" si="89"/>
        <v>0</v>
      </c>
      <c r="W51" s="358">
        <f t="shared" ca="1" si="89"/>
        <v>0</v>
      </c>
      <c r="X51" s="359">
        <f t="shared" ca="1" si="77"/>
        <v>0</v>
      </c>
      <c r="Y51" s="360">
        <f t="shared" ca="1" si="65"/>
        <v>0</v>
      </c>
      <c r="Z51" s="364">
        <f t="shared" ca="1" si="90"/>
        <v>0</v>
      </c>
      <c r="AA51" s="358">
        <f t="shared" ca="1" si="90"/>
        <v>0</v>
      </c>
      <c r="AB51" s="359">
        <f t="shared" ca="1" si="78"/>
        <v>0</v>
      </c>
      <c r="AC51" s="360">
        <f t="shared" ca="1" si="66"/>
        <v>0</v>
      </c>
      <c r="AD51" s="364">
        <f t="shared" ca="1" si="91"/>
        <v>0</v>
      </c>
      <c r="AE51" s="358">
        <f t="shared" ca="1" si="91"/>
        <v>0</v>
      </c>
      <c r="AF51" s="359">
        <f t="shared" ca="1" si="79"/>
        <v>0</v>
      </c>
      <c r="AG51" s="360">
        <f t="shared" ca="1" si="67"/>
        <v>0</v>
      </c>
      <c r="AH51" s="364">
        <f t="shared" ca="1" si="92"/>
        <v>0</v>
      </c>
      <c r="AI51" s="358">
        <f t="shared" ca="1" si="92"/>
        <v>0</v>
      </c>
      <c r="AJ51" s="359">
        <f t="shared" ca="1" si="80"/>
        <v>0</v>
      </c>
      <c r="AK51" s="360">
        <f t="shared" ca="1" si="68"/>
        <v>0</v>
      </c>
      <c r="AL51" s="364">
        <f t="shared" ca="1" si="93"/>
        <v>0</v>
      </c>
      <c r="AM51" s="358">
        <f t="shared" ca="1" si="93"/>
        <v>0</v>
      </c>
      <c r="AN51" s="359">
        <f t="shared" ca="1" si="81"/>
        <v>0</v>
      </c>
      <c r="AO51" s="360">
        <f t="shared" ca="1" si="69"/>
        <v>0</v>
      </c>
      <c r="AP51" s="364">
        <f t="shared" ca="1" si="94"/>
        <v>0</v>
      </c>
      <c r="AQ51" s="358">
        <f t="shared" ca="1" si="94"/>
        <v>0</v>
      </c>
      <c r="AR51" s="359">
        <f t="shared" ca="1" si="82"/>
        <v>0</v>
      </c>
      <c r="AS51" s="360">
        <f t="shared" ca="1" si="70"/>
        <v>0</v>
      </c>
      <c r="AT51" s="364">
        <f t="shared" ca="1" si="95"/>
        <v>0</v>
      </c>
      <c r="AU51" s="358">
        <f t="shared" ca="1" si="95"/>
        <v>0</v>
      </c>
      <c r="AV51" s="359">
        <f t="shared" ca="1" si="83"/>
        <v>0</v>
      </c>
      <c r="AW51" s="360">
        <f t="shared" ca="1" si="71"/>
        <v>0</v>
      </c>
      <c r="AX51" s="364">
        <f t="shared" ca="1" si="96"/>
        <v>0</v>
      </c>
      <c r="AY51" s="358">
        <f t="shared" ca="1" si="96"/>
        <v>0</v>
      </c>
      <c r="AZ51" s="359">
        <f t="shared" ca="1" si="84"/>
        <v>0</v>
      </c>
      <c r="BA51" s="360">
        <f t="shared" ca="1" si="72"/>
        <v>0</v>
      </c>
      <c r="BB51" s="364">
        <f t="shared" ca="1" si="97"/>
        <v>0</v>
      </c>
      <c r="BC51" s="358">
        <f t="shared" ca="1" si="97"/>
        <v>0</v>
      </c>
      <c r="BD51" s="359">
        <f t="shared" ca="1" si="85"/>
        <v>0</v>
      </c>
      <c r="BE51" s="360">
        <f t="shared" ca="1" si="73"/>
        <v>0</v>
      </c>
      <c r="BF51" s="364">
        <f t="shared" ca="1" si="98"/>
        <v>0</v>
      </c>
      <c r="BG51" s="358">
        <f t="shared" ca="1" si="98"/>
        <v>0</v>
      </c>
      <c r="BH51" s="359">
        <f t="shared" ca="1" si="86"/>
        <v>0</v>
      </c>
      <c r="BI51" s="360">
        <f t="shared" ca="1" si="74"/>
        <v>0</v>
      </c>
      <c r="BJ51" s="364">
        <f t="shared" ca="1" si="99"/>
        <v>0</v>
      </c>
      <c r="BK51" s="358">
        <f t="shared" ca="1" si="99"/>
        <v>0</v>
      </c>
      <c r="BL51" s="359">
        <f t="shared" ca="1" si="87"/>
        <v>0</v>
      </c>
      <c r="BM51" s="360">
        <f t="shared" ca="1" si="75"/>
        <v>0</v>
      </c>
      <c r="BN51" s="360">
        <f t="shared" ca="1" si="75"/>
        <v>0</v>
      </c>
      <c r="BP51" s="246"/>
    </row>
    <row r="52" spans="1:68">
      <c r="A52" s="221" t="str">
        <f t="shared" ca="1" si="62"/>
        <v>WP002</v>
      </c>
      <c r="B52" s="221" t="str">
        <f t="shared" ca="1" si="63"/>
        <v>WP002</v>
      </c>
      <c r="C52" s="221">
        <v>6</v>
      </c>
      <c r="D52" s="221" t="s">
        <v>87</v>
      </c>
      <c r="J52" s="222" t="s">
        <v>75</v>
      </c>
      <c r="M52" s="221" t="s">
        <v>80</v>
      </c>
      <c r="N52" s="461"/>
      <c r="O52" s="250"/>
      <c r="P52" s="458" t="s">
        <v>88</v>
      </c>
      <c r="Q52" s="456"/>
      <c r="R52" s="364">
        <f t="shared" ca="1" si="88"/>
        <v>0</v>
      </c>
      <c r="S52" s="358">
        <f t="shared" ca="1" si="88"/>
        <v>0</v>
      </c>
      <c r="T52" s="359">
        <f t="shared" ca="1" si="76"/>
        <v>0</v>
      </c>
      <c r="U52" s="360">
        <f t="shared" ca="1" si="64"/>
        <v>0</v>
      </c>
      <c r="V52" s="364">
        <f t="shared" ca="1" si="89"/>
        <v>0</v>
      </c>
      <c r="W52" s="358">
        <f t="shared" ca="1" si="89"/>
        <v>0</v>
      </c>
      <c r="X52" s="359">
        <f t="shared" ca="1" si="77"/>
        <v>0</v>
      </c>
      <c r="Y52" s="360">
        <f t="shared" ca="1" si="65"/>
        <v>0</v>
      </c>
      <c r="Z52" s="364">
        <f t="shared" ca="1" si="90"/>
        <v>0</v>
      </c>
      <c r="AA52" s="358">
        <f t="shared" ca="1" si="90"/>
        <v>0</v>
      </c>
      <c r="AB52" s="359">
        <f t="shared" ca="1" si="78"/>
        <v>0</v>
      </c>
      <c r="AC52" s="360">
        <f t="shared" ca="1" si="66"/>
        <v>0</v>
      </c>
      <c r="AD52" s="364">
        <f t="shared" ca="1" si="91"/>
        <v>0</v>
      </c>
      <c r="AE52" s="358">
        <f t="shared" ca="1" si="91"/>
        <v>0</v>
      </c>
      <c r="AF52" s="359">
        <f t="shared" ca="1" si="79"/>
        <v>0</v>
      </c>
      <c r="AG52" s="360">
        <f t="shared" ca="1" si="67"/>
        <v>0</v>
      </c>
      <c r="AH52" s="364">
        <f t="shared" ca="1" si="92"/>
        <v>0</v>
      </c>
      <c r="AI52" s="358">
        <f t="shared" ca="1" si="92"/>
        <v>0</v>
      </c>
      <c r="AJ52" s="359">
        <f t="shared" ca="1" si="80"/>
        <v>0</v>
      </c>
      <c r="AK52" s="360">
        <f t="shared" ca="1" si="68"/>
        <v>0</v>
      </c>
      <c r="AL52" s="364">
        <f t="shared" ca="1" si="93"/>
        <v>0</v>
      </c>
      <c r="AM52" s="358">
        <f t="shared" ca="1" si="93"/>
        <v>0</v>
      </c>
      <c r="AN52" s="359">
        <f t="shared" ca="1" si="81"/>
        <v>0</v>
      </c>
      <c r="AO52" s="360">
        <f t="shared" ca="1" si="69"/>
        <v>0</v>
      </c>
      <c r="AP52" s="364">
        <f t="shared" ca="1" si="94"/>
        <v>0</v>
      </c>
      <c r="AQ52" s="358">
        <f t="shared" ca="1" si="94"/>
        <v>0</v>
      </c>
      <c r="AR52" s="359">
        <f t="shared" ca="1" si="82"/>
        <v>0</v>
      </c>
      <c r="AS52" s="360">
        <f t="shared" ca="1" si="70"/>
        <v>0</v>
      </c>
      <c r="AT52" s="364">
        <f t="shared" ca="1" si="95"/>
        <v>0</v>
      </c>
      <c r="AU52" s="358">
        <f t="shared" ca="1" si="95"/>
        <v>0</v>
      </c>
      <c r="AV52" s="359">
        <f t="shared" ca="1" si="83"/>
        <v>0</v>
      </c>
      <c r="AW52" s="360">
        <f t="shared" ca="1" si="71"/>
        <v>0</v>
      </c>
      <c r="AX52" s="364">
        <f t="shared" ca="1" si="96"/>
        <v>0</v>
      </c>
      <c r="AY52" s="358">
        <f t="shared" ca="1" si="96"/>
        <v>0</v>
      </c>
      <c r="AZ52" s="359">
        <f t="shared" ca="1" si="84"/>
        <v>0</v>
      </c>
      <c r="BA52" s="360">
        <f t="shared" ca="1" si="72"/>
        <v>0</v>
      </c>
      <c r="BB52" s="364">
        <f t="shared" ca="1" si="97"/>
        <v>0</v>
      </c>
      <c r="BC52" s="358">
        <f t="shared" ca="1" si="97"/>
        <v>0</v>
      </c>
      <c r="BD52" s="359">
        <f t="shared" ca="1" si="85"/>
        <v>0</v>
      </c>
      <c r="BE52" s="360">
        <f t="shared" ca="1" si="73"/>
        <v>0</v>
      </c>
      <c r="BF52" s="364">
        <f t="shared" ca="1" si="98"/>
        <v>0</v>
      </c>
      <c r="BG52" s="358">
        <f t="shared" ca="1" si="98"/>
        <v>0</v>
      </c>
      <c r="BH52" s="359">
        <f t="shared" ca="1" si="86"/>
        <v>0</v>
      </c>
      <c r="BI52" s="360">
        <f t="shared" ca="1" si="74"/>
        <v>0</v>
      </c>
      <c r="BJ52" s="364">
        <f t="shared" ca="1" si="99"/>
        <v>0</v>
      </c>
      <c r="BK52" s="358">
        <f t="shared" ca="1" si="99"/>
        <v>0</v>
      </c>
      <c r="BL52" s="359">
        <f t="shared" ca="1" si="87"/>
        <v>0</v>
      </c>
      <c r="BM52" s="360">
        <f t="shared" ca="1" si="75"/>
        <v>0</v>
      </c>
      <c r="BN52" s="360">
        <f t="shared" ca="1" si="75"/>
        <v>0</v>
      </c>
      <c r="BP52" s="246"/>
    </row>
    <row r="53" spans="1:68">
      <c r="A53" s="221" t="str">
        <f t="shared" ca="1" si="62"/>
        <v>WP002</v>
      </c>
      <c r="B53" s="221" t="str">
        <f t="shared" ca="1" si="63"/>
        <v>WP002</v>
      </c>
      <c r="C53" s="221">
        <v>6</v>
      </c>
      <c r="D53" s="221" t="s">
        <v>89</v>
      </c>
      <c r="J53" s="222" t="s">
        <v>75</v>
      </c>
      <c r="M53" s="221" t="s">
        <v>80</v>
      </c>
      <c r="N53" s="461"/>
      <c r="O53" s="250"/>
      <c r="P53" s="458" t="s">
        <v>90</v>
      </c>
      <c r="Q53" s="456"/>
      <c r="R53" s="364">
        <f t="shared" ca="1" si="88"/>
        <v>0</v>
      </c>
      <c r="S53" s="358">
        <f t="shared" ca="1" si="88"/>
        <v>0</v>
      </c>
      <c r="T53" s="359">
        <f t="shared" ca="1" si="76"/>
        <v>0</v>
      </c>
      <c r="U53" s="360">
        <f t="shared" ca="1" si="64"/>
        <v>0</v>
      </c>
      <c r="V53" s="364">
        <f t="shared" ca="1" si="89"/>
        <v>0</v>
      </c>
      <c r="W53" s="358">
        <f t="shared" ca="1" si="89"/>
        <v>0</v>
      </c>
      <c r="X53" s="359">
        <f t="shared" ca="1" si="77"/>
        <v>0</v>
      </c>
      <c r="Y53" s="360">
        <f t="shared" ca="1" si="65"/>
        <v>0</v>
      </c>
      <c r="Z53" s="364">
        <f t="shared" ca="1" si="90"/>
        <v>0</v>
      </c>
      <c r="AA53" s="358">
        <f t="shared" ca="1" si="90"/>
        <v>0</v>
      </c>
      <c r="AB53" s="359">
        <f t="shared" ca="1" si="78"/>
        <v>0</v>
      </c>
      <c r="AC53" s="360">
        <f t="shared" ca="1" si="66"/>
        <v>0</v>
      </c>
      <c r="AD53" s="364">
        <f t="shared" ca="1" si="91"/>
        <v>0</v>
      </c>
      <c r="AE53" s="358">
        <f t="shared" ca="1" si="91"/>
        <v>0</v>
      </c>
      <c r="AF53" s="359">
        <f t="shared" ca="1" si="79"/>
        <v>0</v>
      </c>
      <c r="AG53" s="360">
        <f t="shared" ca="1" si="67"/>
        <v>0</v>
      </c>
      <c r="AH53" s="364">
        <f t="shared" ca="1" si="92"/>
        <v>0</v>
      </c>
      <c r="AI53" s="358">
        <f t="shared" ca="1" si="92"/>
        <v>0</v>
      </c>
      <c r="AJ53" s="359">
        <f t="shared" ca="1" si="80"/>
        <v>0</v>
      </c>
      <c r="AK53" s="360">
        <f t="shared" ca="1" si="68"/>
        <v>0</v>
      </c>
      <c r="AL53" s="364">
        <f t="shared" ca="1" si="93"/>
        <v>0</v>
      </c>
      <c r="AM53" s="358">
        <f t="shared" ca="1" si="93"/>
        <v>0</v>
      </c>
      <c r="AN53" s="359">
        <f t="shared" ca="1" si="81"/>
        <v>0</v>
      </c>
      <c r="AO53" s="360">
        <f t="shared" ca="1" si="69"/>
        <v>0</v>
      </c>
      <c r="AP53" s="364">
        <f t="shared" ca="1" si="94"/>
        <v>0</v>
      </c>
      <c r="AQ53" s="358">
        <f t="shared" ca="1" si="94"/>
        <v>0</v>
      </c>
      <c r="AR53" s="359">
        <f t="shared" ca="1" si="82"/>
        <v>0</v>
      </c>
      <c r="AS53" s="360">
        <f t="shared" ca="1" si="70"/>
        <v>0</v>
      </c>
      <c r="AT53" s="364">
        <f t="shared" ca="1" si="95"/>
        <v>0</v>
      </c>
      <c r="AU53" s="358">
        <f t="shared" ca="1" si="95"/>
        <v>0</v>
      </c>
      <c r="AV53" s="359">
        <f t="shared" ca="1" si="83"/>
        <v>0</v>
      </c>
      <c r="AW53" s="360">
        <f t="shared" ca="1" si="71"/>
        <v>0</v>
      </c>
      <c r="AX53" s="364">
        <f t="shared" ca="1" si="96"/>
        <v>0</v>
      </c>
      <c r="AY53" s="358">
        <f t="shared" ca="1" si="96"/>
        <v>0</v>
      </c>
      <c r="AZ53" s="359">
        <f t="shared" ca="1" si="84"/>
        <v>0</v>
      </c>
      <c r="BA53" s="360">
        <f t="shared" ca="1" si="72"/>
        <v>0</v>
      </c>
      <c r="BB53" s="364">
        <f t="shared" ca="1" si="97"/>
        <v>0</v>
      </c>
      <c r="BC53" s="358">
        <f t="shared" ca="1" si="97"/>
        <v>0</v>
      </c>
      <c r="BD53" s="359">
        <f t="shared" ca="1" si="85"/>
        <v>0</v>
      </c>
      <c r="BE53" s="360">
        <f t="shared" ca="1" si="73"/>
        <v>0</v>
      </c>
      <c r="BF53" s="364">
        <f t="shared" ca="1" si="98"/>
        <v>0</v>
      </c>
      <c r="BG53" s="358">
        <f t="shared" ca="1" si="98"/>
        <v>0</v>
      </c>
      <c r="BH53" s="359">
        <f t="shared" ca="1" si="86"/>
        <v>0</v>
      </c>
      <c r="BI53" s="360">
        <f t="shared" ca="1" si="74"/>
        <v>0</v>
      </c>
      <c r="BJ53" s="364">
        <f t="shared" ca="1" si="99"/>
        <v>0</v>
      </c>
      <c r="BK53" s="358">
        <f t="shared" ca="1" si="99"/>
        <v>0</v>
      </c>
      <c r="BL53" s="359">
        <f t="shared" ca="1" si="87"/>
        <v>0</v>
      </c>
      <c r="BM53" s="360">
        <f t="shared" ca="1" si="75"/>
        <v>0</v>
      </c>
      <c r="BN53" s="360">
        <f t="shared" ca="1" si="75"/>
        <v>0</v>
      </c>
      <c r="BP53" s="246"/>
    </row>
    <row r="54" spans="1:68">
      <c r="A54" s="221" t="str">
        <f t="shared" ca="1" si="62"/>
        <v>WP002</v>
      </c>
      <c r="B54" s="221" t="str">
        <f t="shared" ca="1" si="63"/>
        <v>WP002</v>
      </c>
      <c r="C54" s="221">
        <v>6</v>
      </c>
      <c r="D54" s="221" t="s">
        <v>91</v>
      </c>
      <c r="J54" s="222" t="s">
        <v>75</v>
      </c>
      <c r="M54" s="221" t="s">
        <v>80</v>
      </c>
      <c r="N54" s="461"/>
      <c r="O54" s="250"/>
      <c r="P54" s="458" t="s">
        <v>92</v>
      </c>
      <c r="Q54" s="456"/>
      <c r="R54" s="364">
        <f t="shared" ca="1" si="88"/>
        <v>0</v>
      </c>
      <c r="S54" s="358">
        <f t="shared" ca="1" si="88"/>
        <v>0</v>
      </c>
      <c r="T54" s="359">
        <f t="shared" ca="1" si="76"/>
        <v>0</v>
      </c>
      <c r="U54" s="360">
        <f t="shared" ca="1" si="64"/>
        <v>0</v>
      </c>
      <c r="V54" s="364">
        <f t="shared" ca="1" si="89"/>
        <v>0</v>
      </c>
      <c r="W54" s="358">
        <f t="shared" ca="1" si="89"/>
        <v>0</v>
      </c>
      <c r="X54" s="359">
        <f t="shared" ca="1" si="77"/>
        <v>0</v>
      </c>
      <c r="Y54" s="360">
        <f t="shared" ca="1" si="65"/>
        <v>0</v>
      </c>
      <c r="Z54" s="364">
        <f t="shared" ca="1" si="90"/>
        <v>0</v>
      </c>
      <c r="AA54" s="358">
        <f t="shared" ca="1" si="90"/>
        <v>0</v>
      </c>
      <c r="AB54" s="359">
        <f t="shared" ca="1" si="78"/>
        <v>0</v>
      </c>
      <c r="AC54" s="360">
        <f t="shared" ca="1" si="66"/>
        <v>0</v>
      </c>
      <c r="AD54" s="364">
        <f t="shared" ca="1" si="91"/>
        <v>0</v>
      </c>
      <c r="AE54" s="358">
        <f t="shared" ca="1" si="91"/>
        <v>0</v>
      </c>
      <c r="AF54" s="359">
        <f t="shared" ca="1" si="79"/>
        <v>0</v>
      </c>
      <c r="AG54" s="360">
        <f t="shared" ca="1" si="67"/>
        <v>0</v>
      </c>
      <c r="AH54" s="364">
        <f t="shared" ca="1" si="92"/>
        <v>0</v>
      </c>
      <c r="AI54" s="358">
        <f t="shared" ca="1" si="92"/>
        <v>0</v>
      </c>
      <c r="AJ54" s="359">
        <f t="shared" ca="1" si="80"/>
        <v>0</v>
      </c>
      <c r="AK54" s="360">
        <f t="shared" ca="1" si="68"/>
        <v>0</v>
      </c>
      <c r="AL54" s="364">
        <f t="shared" ca="1" si="93"/>
        <v>0</v>
      </c>
      <c r="AM54" s="358">
        <f t="shared" ca="1" si="93"/>
        <v>0</v>
      </c>
      <c r="AN54" s="359">
        <f t="shared" ca="1" si="81"/>
        <v>0</v>
      </c>
      <c r="AO54" s="360">
        <f t="shared" ca="1" si="69"/>
        <v>0</v>
      </c>
      <c r="AP54" s="364">
        <f t="shared" ca="1" si="94"/>
        <v>0</v>
      </c>
      <c r="AQ54" s="358">
        <f t="shared" ca="1" si="94"/>
        <v>0</v>
      </c>
      <c r="AR54" s="359">
        <f t="shared" ca="1" si="82"/>
        <v>0</v>
      </c>
      <c r="AS54" s="360">
        <f t="shared" ca="1" si="70"/>
        <v>0</v>
      </c>
      <c r="AT54" s="364">
        <f t="shared" ca="1" si="95"/>
        <v>0</v>
      </c>
      <c r="AU54" s="358">
        <f t="shared" ca="1" si="95"/>
        <v>0</v>
      </c>
      <c r="AV54" s="359">
        <f t="shared" ca="1" si="83"/>
        <v>0</v>
      </c>
      <c r="AW54" s="360">
        <f t="shared" ca="1" si="71"/>
        <v>0</v>
      </c>
      <c r="AX54" s="364">
        <f t="shared" ca="1" si="96"/>
        <v>0</v>
      </c>
      <c r="AY54" s="358">
        <f t="shared" ca="1" si="96"/>
        <v>0</v>
      </c>
      <c r="AZ54" s="359">
        <f t="shared" ca="1" si="84"/>
        <v>0</v>
      </c>
      <c r="BA54" s="360">
        <f t="shared" ca="1" si="72"/>
        <v>0</v>
      </c>
      <c r="BB54" s="364">
        <f t="shared" ca="1" si="97"/>
        <v>0</v>
      </c>
      <c r="BC54" s="358">
        <f t="shared" ca="1" si="97"/>
        <v>0</v>
      </c>
      <c r="BD54" s="359">
        <f t="shared" ca="1" si="85"/>
        <v>0</v>
      </c>
      <c r="BE54" s="360">
        <f t="shared" ca="1" si="73"/>
        <v>0</v>
      </c>
      <c r="BF54" s="364">
        <f t="shared" ca="1" si="98"/>
        <v>0</v>
      </c>
      <c r="BG54" s="358">
        <f t="shared" ca="1" si="98"/>
        <v>0</v>
      </c>
      <c r="BH54" s="359">
        <f t="shared" ca="1" si="86"/>
        <v>0</v>
      </c>
      <c r="BI54" s="360">
        <f t="shared" ca="1" si="74"/>
        <v>0</v>
      </c>
      <c r="BJ54" s="364">
        <f t="shared" ca="1" si="99"/>
        <v>0</v>
      </c>
      <c r="BK54" s="358">
        <f t="shared" ca="1" si="99"/>
        <v>0</v>
      </c>
      <c r="BL54" s="359">
        <f t="shared" ca="1" si="87"/>
        <v>0</v>
      </c>
      <c r="BM54" s="360">
        <f t="shared" ca="1" si="75"/>
        <v>0</v>
      </c>
      <c r="BN54" s="360">
        <f t="shared" ca="1" si="75"/>
        <v>0</v>
      </c>
    </row>
    <row r="55" spans="1:68">
      <c r="A55" s="221" t="str">
        <f t="shared" ca="1" si="62"/>
        <v>WP002</v>
      </c>
      <c r="B55" s="221" t="str">
        <f t="shared" ca="1" si="63"/>
        <v>WP002</v>
      </c>
      <c r="C55" s="221">
        <v>4</v>
      </c>
      <c r="D55" s="221" t="s">
        <v>93</v>
      </c>
      <c r="H55" s="221" t="s">
        <v>74</v>
      </c>
      <c r="I55" s="221" t="s">
        <v>94</v>
      </c>
      <c r="M55" s="221" t="s">
        <v>80</v>
      </c>
      <c r="N55" s="461"/>
      <c r="O55" s="452" t="s">
        <v>65</v>
      </c>
      <c r="P55" s="453"/>
      <c r="Q55" s="453"/>
      <c r="R55" s="365">
        <f t="shared" ca="1" si="88"/>
        <v>0</v>
      </c>
      <c r="S55" s="354">
        <f t="shared" ca="1" si="88"/>
        <v>0</v>
      </c>
      <c r="T55" s="355">
        <f t="shared" ca="1" si="76"/>
        <v>0</v>
      </c>
      <c r="U55" s="356">
        <f t="shared" ca="1" si="64"/>
        <v>0</v>
      </c>
      <c r="V55" s="365">
        <f t="shared" ca="1" si="89"/>
        <v>0</v>
      </c>
      <c r="W55" s="354">
        <f t="shared" ca="1" si="89"/>
        <v>0</v>
      </c>
      <c r="X55" s="355">
        <f t="shared" ca="1" si="77"/>
        <v>0</v>
      </c>
      <c r="Y55" s="356">
        <f t="shared" ca="1" si="65"/>
        <v>0</v>
      </c>
      <c r="Z55" s="365">
        <f t="shared" ca="1" si="90"/>
        <v>0</v>
      </c>
      <c r="AA55" s="354">
        <f t="shared" ca="1" si="90"/>
        <v>0</v>
      </c>
      <c r="AB55" s="355">
        <f t="shared" ca="1" si="78"/>
        <v>0</v>
      </c>
      <c r="AC55" s="356">
        <f t="shared" ca="1" si="66"/>
        <v>0</v>
      </c>
      <c r="AD55" s="365">
        <f t="shared" ca="1" si="91"/>
        <v>0</v>
      </c>
      <c r="AE55" s="354">
        <f t="shared" ca="1" si="91"/>
        <v>0</v>
      </c>
      <c r="AF55" s="355">
        <f t="shared" ca="1" si="79"/>
        <v>0</v>
      </c>
      <c r="AG55" s="356">
        <f t="shared" ca="1" si="67"/>
        <v>0</v>
      </c>
      <c r="AH55" s="365">
        <f t="shared" ca="1" si="92"/>
        <v>0</v>
      </c>
      <c r="AI55" s="354">
        <f t="shared" ca="1" si="92"/>
        <v>0</v>
      </c>
      <c r="AJ55" s="355">
        <f t="shared" ca="1" si="80"/>
        <v>0</v>
      </c>
      <c r="AK55" s="356">
        <f t="shared" ca="1" si="68"/>
        <v>0</v>
      </c>
      <c r="AL55" s="365">
        <f t="shared" ca="1" si="93"/>
        <v>0</v>
      </c>
      <c r="AM55" s="354">
        <f t="shared" ca="1" si="93"/>
        <v>0</v>
      </c>
      <c r="AN55" s="355">
        <f t="shared" ca="1" si="81"/>
        <v>0</v>
      </c>
      <c r="AO55" s="356">
        <f t="shared" ca="1" si="69"/>
        <v>0</v>
      </c>
      <c r="AP55" s="365">
        <f t="shared" ca="1" si="94"/>
        <v>0</v>
      </c>
      <c r="AQ55" s="354">
        <f t="shared" ca="1" si="94"/>
        <v>0</v>
      </c>
      <c r="AR55" s="355">
        <f t="shared" ca="1" si="82"/>
        <v>0</v>
      </c>
      <c r="AS55" s="356">
        <f t="shared" ca="1" si="70"/>
        <v>0</v>
      </c>
      <c r="AT55" s="365">
        <f t="shared" ca="1" si="95"/>
        <v>0</v>
      </c>
      <c r="AU55" s="354">
        <f t="shared" ca="1" si="95"/>
        <v>0</v>
      </c>
      <c r="AV55" s="355">
        <f t="shared" ca="1" si="83"/>
        <v>0</v>
      </c>
      <c r="AW55" s="356">
        <f t="shared" ca="1" si="71"/>
        <v>0</v>
      </c>
      <c r="AX55" s="365">
        <f t="shared" ca="1" si="96"/>
        <v>0</v>
      </c>
      <c r="AY55" s="354">
        <f t="shared" ca="1" si="96"/>
        <v>0</v>
      </c>
      <c r="AZ55" s="355">
        <f t="shared" ca="1" si="84"/>
        <v>0</v>
      </c>
      <c r="BA55" s="356">
        <f t="shared" ca="1" si="72"/>
        <v>0</v>
      </c>
      <c r="BB55" s="365">
        <f t="shared" ca="1" si="97"/>
        <v>0</v>
      </c>
      <c r="BC55" s="354">
        <f t="shared" ca="1" si="97"/>
        <v>0</v>
      </c>
      <c r="BD55" s="355">
        <f t="shared" ca="1" si="85"/>
        <v>0</v>
      </c>
      <c r="BE55" s="356">
        <f t="shared" ca="1" si="73"/>
        <v>0</v>
      </c>
      <c r="BF55" s="365">
        <f t="shared" ca="1" si="98"/>
        <v>0</v>
      </c>
      <c r="BG55" s="354">
        <f t="shared" ca="1" si="98"/>
        <v>0</v>
      </c>
      <c r="BH55" s="355">
        <f t="shared" ca="1" si="86"/>
        <v>0</v>
      </c>
      <c r="BI55" s="356">
        <f t="shared" ca="1" si="74"/>
        <v>0</v>
      </c>
      <c r="BJ55" s="365">
        <f t="shared" ca="1" si="99"/>
        <v>0</v>
      </c>
      <c r="BK55" s="354">
        <f t="shared" ca="1" si="99"/>
        <v>0</v>
      </c>
      <c r="BL55" s="355">
        <f t="shared" ca="1" si="87"/>
        <v>0</v>
      </c>
      <c r="BM55" s="356">
        <f t="shared" ca="1" si="75"/>
        <v>0</v>
      </c>
      <c r="BN55" s="356">
        <f t="shared" ca="1" si="75"/>
        <v>0</v>
      </c>
    </row>
    <row r="56" spans="1:68">
      <c r="A56" s="221" t="str">
        <f t="shared" ca="1" si="62"/>
        <v>WP002</v>
      </c>
      <c r="B56" s="221" t="str">
        <f t="shared" ca="1" si="63"/>
        <v>WP002</v>
      </c>
      <c r="C56" s="221">
        <v>4</v>
      </c>
      <c r="D56" s="221" t="s">
        <v>95</v>
      </c>
      <c r="H56" s="221" t="s">
        <v>74</v>
      </c>
      <c r="I56" s="221" t="s">
        <v>96</v>
      </c>
      <c r="M56" s="221" t="s">
        <v>46</v>
      </c>
      <c r="N56" s="461"/>
      <c r="O56" s="452" t="s">
        <v>97</v>
      </c>
      <c r="P56" s="453"/>
      <c r="Q56" s="453"/>
      <c r="R56" s="353"/>
      <c r="S56" s="354"/>
      <c r="T56" s="355">
        <f t="shared" ca="1" si="76"/>
        <v>0</v>
      </c>
      <c r="U56" s="356">
        <f t="shared" ca="1" si="64"/>
        <v>0</v>
      </c>
      <c r="V56" s="353"/>
      <c r="W56" s="354"/>
      <c r="X56" s="355">
        <f t="shared" ca="1" si="77"/>
        <v>0</v>
      </c>
      <c r="Y56" s="356">
        <f t="shared" ca="1" si="65"/>
        <v>0</v>
      </c>
      <c r="Z56" s="353"/>
      <c r="AA56" s="354"/>
      <c r="AB56" s="355">
        <f t="shared" ca="1" si="78"/>
        <v>0</v>
      </c>
      <c r="AC56" s="356">
        <f t="shared" ca="1" si="66"/>
        <v>0</v>
      </c>
      <c r="AD56" s="353"/>
      <c r="AE56" s="354"/>
      <c r="AF56" s="355">
        <f t="shared" ca="1" si="79"/>
        <v>0</v>
      </c>
      <c r="AG56" s="356">
        <f t="shared" ca="1" si="67"/>
        <v>0</v>
      </c>
      <c r="AH56" s="353"/>
      <c r="AI56" s="354"/>
      <c r="AJ56" s="355">
        <f t="shared" ca="1" si="80"/>
        <v>0</v>
      </c>
      <c r="AK56" s="356">
        <f t="shared" ca="1" si="68"/>
        <v>0</v>
      </c>
      <c r="AL56" s="353"/>
      <c r="AM56" s="354"/>
      <c r="AN56" s="355">
        <f t="shared" ca="1" si="81"/>
        <v>0</v>
      </c>
      <c r="AO56" s="356">
        <f t="shared" ca="1" si="69"/>
        <v>0</v>
      </c>
      <c r="AP56" s="353"/>
      <c r="AQ56" s="354"/>
      <c r="AR56" s="355">
        <f t="shared" ca="1" si="82"/>
        <v>0</v>
      </c>
      <c r="AS56" s="356">
        <f t="shared" ca="1" si="70"/>
        <v>0</v>
      </c>
      <c r="AT56" s="353"/>
      <c r="AU56" s="354"/>
      <c r="AV56" s="355">
        <f t="shared" ca="1" si="83"/>
        <v>0</v>
      </c>
      <c r="AW56" s="356">
        <f t="shared" ca="1" si="71"/>
        <v>0</v>
      </c>
      <c r="AX56" s="353"/>
      <c r="AY56" s="354"/>
      <c r="AZ56" s="355">
        <f t="shared" ca="1" si="84"/>
        <v>0</v>
      </c>
      <c r="BA56" s="356">
        <f t="shared" ca="1" si="72"/>
        <v>0</v>
      </c>
      <c r="BB56" s="353"/>
      <c r="BC56" s="354"/>
      <c r="BD56" s="355">
        <f t="shared" ca="1" si="85"/>
        <v>0</v>
      </c>
      <c r="BE56" s="356">
        <f t="shared" ca="1" si="73"/>
        <v>0</v>
      </c>
      <c r="BF56" s="353"/>
      <c r="BG56" s="354"/>
      <c r="BH56" s="355">
        <f t="shared" ca="1" si="86"/>
        <v>0</v>
      </c>
      <c r="BI56" s="356">
        <f t="shared" ca="1" si="74"/>
        <v>0</v>
      </c>
      <c r="BJ56" s="353"/>
      <c r="BK56" s="354"/>
      <c r="BL56" s="355">
        <f t="shared" ca="1" si="87"/>
        <v>0</v>
      </c>
      <c r="BM56" s="356">
        <f t="shared" ca="1" si="75"/>
        <v>0</v>
      </c>
      <c r="BN56" s="356">
        <f t="shared" ca="1" si="75"/>
        <v>0</v>
      </c>
    </row>
    <row r="57" spans="1:68">
      <c r="A57" s="221" t="str">
        <f t="shared" ca="1" si="62"/>
        <v>WP002</v>
      </c>
      <c r="B57" s="221" t="str">
        <f t="shared" ca="1" si="63"/>
        <v>WP002</v>
      </c>
      <c r="C57" s="221">
        <v>6</v>
      </c>
      <c r="D57" s="221" t="s">
        <v>98</v>
      </c>
      <c r="J57" s="222" t="s">
        <v>96</v>
      </c>
      <c r="K57" s="221" t="s">
        <v>99</v>
      </c>
      <c r="M57" s="221" t="s">
        <v>46</v>
      </c>
      <c r="N57" s="461"/>
      <c r="O57" s="251"/>
      <c r="P57" s="456" t="s">
        <v>100</v>
      </c>
      <c r="Q57" s="456"/>
      <c r="R57" s="357"/>
      <c r="S57" s="358"/>
      <c r="T57" s="359">
        <f t="shared" ca="1" si="76"/>
        <v>0</v>
      </c>
      <c r="U57" s="360">
        <f t="shared" ca="1" si="64"/>
        <v>0</v>
      </c>
      <c r="V57" s="357"/>
      <c r="W57" s="358"/>
      <c r="X57" s="359">
        <f t="shared" ca="1" si="77"/>
        <v>0</v>
      </c>
      <c r="Y57" s="360">
        <f t="shared" ca="1" si="65"/>
        <v>0</v>
      </c>
      <c r="Z57" s="357"/>
      <c r="AA57" s="358"/>
      <c r="AB57" s="359">
        <f t="shared" ca="1" si="78"/>
        <v>0</v>
      </c>
      <c r="AC57" s="360">
        <f t="shared" ca="1" si="66"/>
        <v>0</v>
      </c>
      <c r="AD57" s="357"/>
      <c r="AE57" s="358"/>
      <c r="AF57" s="359">
        <f t="shared" ca="1" si="79"/>
        <v>0</v>
      </c>
      <c r="AG57" s="360">
        <f t="shared" ca="1" si="67"/>
        <v>0</v>
      </c>
      <c r="AH57" s="357"/>
      <c r="AI57" s="358"/>
      <c r="AJ57" s="359">
        <f t="shared" ca="1" si="80"/>
        <v>0</v>
      </c>
      <c r="AK57" s="360">
        <f t="shared" ca="1" si="68"/>
        <v>0</v>
      </c>
      <c r="AL57" s="357"/>
      <c r="AM57" s="358"/>
      <c r="AN57" s="359">
        <f t="shared" ca="1" si="81"/>
        <v>0</v>
      </c>
      <c r="AO57" s="360">
        <f t="shared" ca="1" si="69"/>
        <v>0</v>
      </c>
      <c r="AP57" s="357"/>
      <c r="AQ57" s="358"/>
      <c r="AR57" s="359">
        <f t="shared" ca="1" si="82"/>
        <v>0</v>
      </c>
      <c r="AS57" s="360">
        <f t="shared" ca="1" si="70"/>
        <v>0</v>
      </c>
      <c r="AT57" s="357"/>
      <c r="AU57" s="358"/>
      <c r="AV57" s="359">
        <f t="shared" ca="1" si="83"/>
        <v>0</v>
      </c>
      <c r="AW57" s="360">
        <f t="shared" ca="1" si="71"/>
        <v>0</v>
      </c>
      <c r="AX57" s="357"/>
      <c r="AY57" s="358"/>
      <c r="AZ57" s="359">
        <f t="shared" ca="1" si="84"/>
        <v>0</v>
      </c>
      <c r="BA57" s="360">
        <f t="shared" ca="1" si="72"/>
        <v>0</v>
      </c>
      <c r="BB57" s="357"/>
      <c r="BC57" s="358"/>
      <c r="BD57" s="359">
        <f t="shared" ca="1" si="85"/>
        <v>0</v>
      </c>
      <c r="BE57" s="360">
        <f t="shared" ca="1" si="73"/>
        <v>0</v>
      </c>
      <c r="BF57" s="357"/>
      <c r="BG57" s="358"/>
      <c r="BH57" s="359">
        <f t="shared" ca="1" si="86"/>
        <v>0</v>
      </c>
      <c r="BI57" s="360">
        <f t="shared" ca="1" si="74"/>
        <v>0</v>
      </c>
      <c r="BJ57" s="357"/>
      <c r="BK57" s="358"/>
      <c r="BL57" s="359">
        <f t="shared" ca="1" si="87"/>
        <v>0</v>
      </c>
      <c r="BM57" s="360">
        <f t="shared" ca="1" si="75"/>
        <v>0</v>
      </c>
      <c r="BN57" s="360">
        <f t="shared" ca="1" si="75"/>
        <v>0</v>
      </c>
    </row>
    <row r="58" spans="1:68">
      <c r="A58" s="221" t="str">
        <f t="shared" ca="1" si="62"/>
        <v>WP002</v>
      </c>
      <c r="B58" s="221" t="str">
        <f t="shared" ca="1" si="63"/>
        <v>WP002</v>
      </c>
      <c r="C58" s="221">
        <v>7</v>
      </c>
      <c r="D58" s="221" t="s">
        <v>101</v>
      </c>
      <c r="L58" s="221" t="s">
        <v>99</v>
      </c>
      <c r="M58" s="221" t="s">
        <v>80</v>
      </c>
      <c r="N58" s="461"/>
      <c r="O58" s="252"/>
      <c r="P58" s="253"/>
      <c r="Q58" s="254" t="s">
        <v>102</v>
      </c>
      <c r="R58" s="361">
        <f t="shared" ref="R58:S61" ca="1" si="100">INDIRECT("'"&amp; MID(OFFSET(R58,ROW(R$3)-ROW(R58),IF(OFFSET(R58,ROW(R$2)-ROW(R58),2)="T",0,IF(OFFSET(R58,ROW(R$2)-ROW(R58),1)="T",-1,-2))),1,6) &amp; "'!" &amp; ADDRESS(ROW(R58),MATCH(INDIRECT(ADDRESS(2,COLUMN(R58)+IF(OFFSET(R58,ROW(R$2)-ROW(R58),2)="T",1,IF(OFFSET(R58,ROW(R$2)-ROW(R58),1)="T",0,-1))),TRUE),INDIRECT("'"&amp; MID(OFFSET(R58,ROW(R$3)-ROW(R58),IF(OFFSET(R58,ROW(R$2)-ROW(R58),2)="T",0,IF(OFFSET(R58,ROW(R$2)-ROW(R58),1)="T",-1,-2))),1,6) &amp; "'!2:2",TRUE),0)-IF(OFFSET(R58,ROW(R$2)-ROW(R58),2)="T",1,IF(OFFSET(R58,ROW(R$2)-ROW(R58),1)="T",0,-1))),TRUE)</f>
        <v>0</v>
      </c>
      <c r="S58" s="362">
        <f t="shared" ca="1" si="100"/>
        <v>0</v>
      </c>
      <c r="T58" s="363">
        <f t="shared" ca="1" si="76"/>
        <v>0</v>
      </c>
      <c r="U58" s="360">
        <f t="shared" ca="1" si="64"/>
        <v>0</v>
      </c>
      <c r="V58" s="361">
        <f t="shared" ref="V58:W61" ca="1" si="101">INDIRECT("'"&amp; MID(OFFSET(V58,ROW(V$3)-ROW(V58),IF(OFFSET(V58,ROW(V$2)-ROW(V58),2)="T",0,IF(OFFSET(V58,ROW(V$2)-ROW(V58),1)="T",-1,-2))),1,6) &amp; "'!" &amp; ADDRESS(ROW(V58),MATCH(INDIRECT(ADDRESS(2,COLUMN(V58)+IF(OFFSET(V58,ROW(V$2)-ROW(V58),2)="T",1,IF(OFFSET(V58,ROW(V$2)-ROW(V58),1)="T",0,-1))),TRUE),INDIRECT("'"&amp; MID(OFFSET(V58,ROW(V$3)-ROW(V58),IF(OFFSET(V58,ROW(V$2)-ROW(V58),2)="T",0,IF(OFFSET(V58,ROW(V$2)-ROW(V58),1)="T",-1,-2))),1,6) &amp; "'!2:2",TRUE),0)-IF(OFFSET(V58,ROW(V$2)-ROW(V58),2)="T",1,IF(OFFSET(V58,ROW(V$2)-ROW(V58),1)="T",0,-1))),TRUE)</f>
        <v>0</v>
      </c>
      <c r="W58" s="362">
        <f t="shared" ca="1" si="101"/>
        <v>0</v>
      </c>
      <c r="X58" s="363">
        <f t="shared" ca="1" si="77"/>
        <v>0</v>
      </c>
      <c r="Y58" s="360">
        <f t="shared" ca="1" si="65"/>
        <v>0</v>
      </c>
      <c r="Z58" s="361">
        <f t="shared" ref="Z58:AA61" ca="1" si="102">INDIRECT("'"&amp; MID(OFFSET(Z58,ROW(Z$3)-ROW(Z58),IF(OFFSET(Z58,ROW(Z$2)-ROW(Z58),2)="T",0,IF(OFFSET(Z58,ROW(Z$2)-ROW(Z58),1)="T",-1,-2))),1,6) &amp; "'!" &amp; ADDRESS(ROW(Z58),MATCH(INDIRECT(ADDRESS(2,COLUMN(Z58)+IF(OFFSET(Z58,ROW(Z$2)-ROW(Z58),2)="T",1,IF(OFFSET(Z58,ROW(Z$2)-ROW(Z58),1)="T",0,-1))),TRUE),INDIRECT("'"&amp; MID(OFFSET(Z58,ROW(Z$3)-ROW(Z58),IF(OFFSET(Z58,ROW(Z$2)-ROW(Z58),2)="T",0,IF(OFFSET(Z58,ROW(Z$2)-ROW(Z58),1)="T",-1,-2))),1,6) &amp; "'!2:2",TRUE),0)-IF(OFFSET(Z58,ROW(Z$2)-ROW(Z58),2)="T",1,IF(OFFSET(Z58,ROW(Z$2)-ROW(Z58),1)="T",0,-1))),TRUE)</f>
        <v>0</v>
      </c>
      <c r="AA58" s="362">
        <f t="shared" ca="1" si="102"/>
        <v>0</v>
      </c>
      <c r="AB58" s="363">
        <f t="shared" ca="1" si="78"/>
        <v>0</v>
      </c>
      <c r="AC58" s="360">
        <f t="shared" ca="1" si="66"/>
        <v>0</v>
      </c>
      <c r="AD58" s="361">
        <f t="shared" ref="AD58:AE61" ca="1" si="103">INDIRECT("'"&amp; MID(OFFSET(AD58,ROW(AD$3)-ROW(AD58),IF(OFFSET(AD58,ROW(AD$2)-ROW(AD58),2)="T",0,IF(OFFSET(AD58,ROW(AD$2)-ROW(AD58),1)="T",-1,-2))),1,6) &amp; "'!" &amp; ADDRESS(ROW(AD58),MATCH(INDIRECT(ADDRESS(2,COLUMN(AD58)+IF(OFFSET(AD58,ROW(AD$2)-ROW(AD58),2)="T",1,IF(OFFSET(AD58,ROW(AD$2)-ROW(AD58),1)="T",0,-1))),TRUE),INDIRECT("'"&amp; MID(OFFSET(AD58,ROW(AD$3)-ROW(AD58),IF(OFFSET(AD58,ROW(AD$2)-ROW(AD58),2)="T",0,IF(OFFSET(AD58,ROW(AD$2)-ROW(AD58),1)="T",-1,-2))),1,6) &amp; "'!2:2",TRUE),0)-IF(OFFSET(AD58,ROW(AD$2)-ROW(AD58),2)="T",1,IF(OFFSET(AD58,ROW(AD$2)-ROW(AD58),1)="T",0,-1))),TRUE)</f>
        <v>0</v>
      </c>
      <c r="AE58" s="362">
        <f t="shared" ca="1" si="103"/>
        <v>0</v>
      </c>
      <c r="AF58" s="363">
        <f t="shared" ca="1" si="79"/>
        <v>0</v>
      </c>
      <c r="AG58" s="360">
        <f t="shared" ca="1" si="67"/>
        <v>0</v>
      </c>
      <c r="AH58" s="361">
        <f t="shared" ref="AH58:AI61" ca="1" si="104">INDIRECT("'"&amp; MID(OFFSET(AH58,ROW(AH$3)-ROW(AH58),IF(OFFSET(AH58,ROW(AH$2)-ROW(AH58),2)="T",0,IF(OFFSET(AH58,ROW(AH$2)-ROW(AH58),1)="T",-1,-2))),1,6) &amp; "'!" &amp; ADDRESS(ROW(AH58),MATCH(INDIRECT(ADDRESS(2,COLUMN(AH58)+IF(OFFSET(AH58,ROW(AH$2)-ROW(AH58),2)="T",1,IF(OFFSET(AH58,ROW(AH$2)-ROW(AH58),1)="T",0,-1))),TRUE),INDIRECT("'"&amp; MID(OFFSET(AH58,ROW(AH$3)-ROW(AH58),IF(OFFSET(AH58,ROW(AH$2)-ROW(AH58),2)="T",0,IF(OFFSET(AH58,ROW(AH$2)-ROW(AH58),1)="T",-1,-2))),1,6) &amp; "'!2:2",TRUE),0)-IF(OFFSET(AH58,ROW(AH$2)-ROW(AH58),2)="T",1,IF(OFFSET(AH58,ROW(AH$2)-ROW(AH58),1)="T",0,-1))),TRUE)</f>
        <v>0</v>
      </c>
      <c r="AI58" s="362">
        <f t="shared" ca="1" si="104"/>
        <v>0</v>
      </c>
      <c r="AJ58" s="363">
        <f t="shared" ca="1" si="80"/>
        <v>0</v>
      </c>
      <c r="AK58" s="360">
        <f t="shared" ca="1" si="68"/>
        <v>0</v>
      </c>
      <c r="AL58" s="361">
        <f t="shared" ref="AL58:AM61" ca="1" si="105">INDIRECT("'"&amp; MID(OFFSET(AL58,ROW(AL$3)-ROW(AL58),IF(OFFSET(AL58,ROW(AL$2)-ROW(AL58),2)="T",0,IF(OFFSET(AL58,ROW(AL$2)-ROW(AL58),1)="T",-1,-2))),1,6) &amp; "'!" &amp; ADDRESS(ROW(AL58),MATCH(INDIRECT(ADDRESS(2,COLUMN(AL58)+IF(OFFSET(AL58,ROW(AL$2)-ROW(AL58),2)="T",1,IF(OFFSET(AL58,ROW(AL$2)-ROW(AL58),1)="T",0,-1))),TRUE),INDIRECT("'"&amp; MID(OFFSET(AL58,ROW(AL$3)-ROW(AL58),IF(OFFSET(AL58,ROW(AL$2)-ROW(AL58),2)="T",0,IF(OFFSET(AL58,ROW(AL$2)-ROW(AL58),1)="T",-1,-2))),1,6) &amp; "'!2:2",TRUE),0)-IF(OFFSET(AL58,ROW(AL$2)-ROW(AL58),2)="T",1,IF(OFFSET(AL58,ROW(AL$2)-ROW(AL58),1)="T",0,-1))),TRUE)</f>
        <v>0</v>
      </c>
      <c r="AM58" s="362">
        <f t="shared" ca="1" si="105"/>
        <v>0</v>
      </c>
      <c r="AN58" s="363">
        <f t="shared" ca="1" si="81"/>
        <v>0</v>
      </c>
      <c r="AO58" s="360">
        <f t="shared" ca="1" si="69"/>
        <v>0</v>
      </c>
      <c r="AP58" s="361">
        <f t="shared" ref="AP58:AQ61" ca="1" si="106">INDIRECT("'"&amp; MID(OFFSET(AP58,ROW(AP$3)-ROW(AP58),IF(OFFSET(AP58,ROW(AP$2)-ROW(AP58),2)="T",0,IF(OFFSET(AP58,ROW(AP$2)-ROW(AP58),1)="T",-1,-2))),1,6) &amp; "'!" &amp; ADDRESS(ROW(AP58),MATCH(INDIRECT(ADDRESS(2,COLUMN(AP58)+IF(OFFSET(AP58,ROW(AP$2)-ROW(AP58),2)="T",1,IF(OFFSET(AP58,ROW(AP$2)-ROW(AP58),1)="T",0,-1))),TRUE),INDIRECT("'"&amp; MID(OFFSET(AP58,ROW(AP$3)-ROW(AP58),IF(OFFSET(AP58,ROW(AP$2)-ROW(AP58),2)="T",0,IF(OFFSET(AP58,ROW(AP$2)-ROW(AP58),1)="T",-1,-2))),1,6) &amp; "'!2:2",TRUE),0)-IF(OFFSET(AP58,ROW(AP$2)-ROW(AP58),2)="T",1,IF(OFFSET(AP58,ROW(AP$2)-ROW(AP58),1)="T",0,-1))),TRUE)</f>
        <v>0</v>
      </c>
      <c r="AQ58" s="362">
        <f t="shared" ca="1" si="106"/>
        <v>0</v>
      </c>
      <c r="AR58" s="363">
        <f t="shared" ca="1" si="82"/>
        <v>0</v>
      </c>
      <c r="AS58" s="360">
        <f t="shared" ca="1" si="70"/>
        <v>0</v>
      </c>
      <c r="AT58" s="361">
        <f t="shared" ref="AT58:AU61" ca="1" si="107">INDIRECT("'"&amp; MID(OFFSET(AT58,ROW(AT$3)-ROW(AT58),IF(OFFSET(AT58,ROW(AT$2)-ROW(AT58),2)="T",0,IF(OFFSET(AT58,ROW(AT$2)-ROW(AT58),1)="T",-1,-2))),1,6) &amp; "'!" &amp; ADDRESS(ROW(AT58),MATCH(INDIRECT(ADDRESS(2,COLUMN(AT58)+IF(OFFSET(AT58,ROW(AT$2)-ROW(AT58),2)="T",1,IF(OFFSET(AT58,ROW(AT$2)-ROW(AT58),1)="T",0,-1))),TRUE),INDIRECT("'"&amp; MID(OFFSET(AT58,ROW(AT$3)-ROW(AT58),IF(OFFSET(AT58,ROW(AT$2)-ROW(AT58),2)="T",0,IF(OFFSET(AT58,ROW(AT$2)-ROW(AT58),1)="T",-1,-2))),1,6) &amp; "'!2:2",TRUE),0)-IF(OFFSET(AT58,ROW(AT$2)-ROW(AT58),2)="T",1,IF(OFFSET(AT58,ROW(AT$2)-ROW(AT58),1)="T",0,-1))),TRUE)</f>
        <v>0</v>
      </c>
      <c r="AU58" s="362">
        <f t="shared" ca="1" si="107"/>
        <v>0</v>
      </c>
      <c r="AV58" s="363">
        <f t="shared" ca="1" si="83"/>
        <v>0</v>
      </c>
      <c r="AW58" s="360">
        <f t="shared" ca="1" si="71"/>
        <v>0</v>
      </c>
      <c r="AX58" s="361">
        <f t="shared" ref="AX58:AY61" ca="1" si="108">INDIRECT("'"&amp; MID(OFFSET(AX58,ROW(AX$3)-ROW(AX58),IF(OFFSET(AX58,ROW(AX$2)-ROW(AX58),2)="T",0,IF(OFFSET(AX58,ROW(AX$2)-ROW(AX58),1)="T",-1,-2))),1,6) &amp; "'!" &amp; ADDRESS(ROW(AX58),MATCH(INDIRECT(ADDRESS(2,COLUMN(AX58)+IF(OFFSET(AX58,ROW(AX$2)-ROW(AX58),2)="T",1,IF(OFFSET(AX58,ROW(AX$2)-ROW(AX58),1)="T",0,-1))),TRUE),INDIRECT("'"&amp; MID(OFFSET(AX58,ROW(AX$3)-ROW(AX58),IF(OFFSET(AX58,ROW(AX$2)-ROW(AX58),2)="T",0,IF(OFFSET(AX58,ROW(AX$2)-ROW(AX58),1)="T",-1,-2))),1,6) &amp; "'!2:2",TRUE),0)-IF(OFFSET(AX58,ROW(AX$2)-ROW(AX58),2)="T",1,IF(OFFSET(AX58,ROW(AX$2)-ROW(AX58),1)="T",0,-1))),TRUE)</f>
        <v>0</v>
      </c>
      <c r="AY58" s="362">
        <f t="shared" ca="1" si="108"/>
        <v>0</v>
      </c>
      <c r="AZ58" s="363">
        <f t="shared" ca="1" si="84"/>
        <v>0</v>
      </c>
      <c r="BA58" s="360">
        <f t="shared" ca="1" si="72"/>
        <v>0</v>
      </c>
      <c r="BB58" s="361">
        <f t="shared" ref="BB58:BC61" ca="1" si="109">INDIRECT("'"&amp; MID(OFFSET(BB58,ROW(BB$3)-ROW(BB58),IF(OFFSET(BB58,ROW(BB$2)-ROW(BB58),2)="T",0,IF(OFFSET(BB58,ROW(BB$2)-ROW(BB58),1)="T",-1,-2))),1,6) &amp; "'!" &amp; ADDRESS(ROW(BB58),MATCH(INDIRECT(ADDRESS(2,COLUMN(BB58)+IF(OFFSET(BB58,ROW(BB$2)-ROW(BB58),2)="T",1,IF(OFFSET(BB58,ROW(BB$2)-ROW(BB58),1)="T",0,-1))),TRUE),INDIRECT("'"&amp; MID(OFFSET(BB58,ROW(BB$3)-ROW(BB58),IF(OFFSET(BB58,ROW(BB$2)-ROW(BB58),2)="T",0,IF(OFFSET(BB58,ROW(BB$2)-ROW(BB58),1)="T",-1,-2))),1,6) &amp; "'!2:2",TRUE),0)-IF(OFFSET(BB58,ROW(BB$2)-ROW(BB58),2)="T",1,IF(OFFSET(BB58,ROW(BB$2)-ROW(BB58),1)="T",0,-1))),TRUE)</f>
        <v>0</v>
      </c>
      <c r="BC58" s="362">
        <f t="shared" ca="1" si="109"/>
        <v>0</v>
      </c>
      <c r="BD58" s="363">
        <f t="shared" ca="1" si="85"/>
        <v>0</v>
      </c>
      <c r="BE58" s="360">
        <f t="shared" ca="1" si="73"/>
        <v>0</v>
      </c>
      <c r="BF58" s="361">
        <f t="shared" ref="BF58:BG61" ca="1" si="110">INDIRECT("'"&amp; MID(OFFSET(BF58,ROW(BF$3)-ROW(BF58),IF(OFFSET(BF58,ROW(BF$2)-ROW(BF58),2)="T",0,IF(OFFSET(BF58,ROW(BF$2)-ROW(BF58),1)="T",-1,-2))),1,6) &amp; "'!" &amp; ADDRESS(ROW(BF58),MATCH(INDIRECT(ADDRESS(2,COLUMN(BF58)+IF(OFFSET(BF58,ROW(BF$2)-ROW(BF58),2)="T",1,IF(OFFSET(BF58,ROW(BF$2)-ROW(BF58),1)="T",0,-1))),TRUE),INDIRECT("'"&amp; MID(OFFSET(BF58,ROW(BF$3)-ROW(BF58),IF(OFFSET(BF58,ROW(BF$2)-ROW(BF58),2)="T",0,IF(OFFSET(BF58,ROW(BF$2)-ROW(BF58),1)="T",-1,-2))),1,6) &amp; "'!2:2",TRUE),0)-IF(OFFSET(BF58,ROW(BF$2)-ROW(BF58),2)="T",1,IF(OFFSET(BF58,ROW(BF$2)-ROW(BF58),1)="T",0,-1))),TRUE)</f>
        <v>0</v>
      </c>
      <c r="BG58" s="362">
        <f t="shared" ca="1" si="110"/>
        <v>0</v>
      </c>
      <c r="BH58" s="363">
        <f t="shared" ca="1" si="86"/>
        <v>0</v>
      </c>
      <c r="BI58" s="360">
        <f t="shared" ca="1" si="74"/>
        <v>0</v>
      </c>
      <c r="BJ58" s="361">
        <f t="shared" ref="BJ58:BK61" ca="1" si="111">INDIRECT("'"&amp; MID(OFFSET(BJ58,ROW(BJ$3)-ROW(BJ58),IF(OFFSET(BJ58,ROW(BJ$2)-ROW(BJ58),2)="T",0,IF(OFFSET(BJ58,ROW(BJ$2)-ROW(BJ58),1)="T",-1,-2))),1,6) &amp; "'!" &amp; ADDRESS(ROW(BJ58),MATCH(INDIRECT(ADDRESS(2,COLUMN(BJ58)+IF(OFFSET(BJ58,ROW(BJ$2)-ROW(BJ58),2)="T",1,IF(OFFSET(BJ58,ROW(BJ$2)-ROW(BJ58),1)="T",0,-1))),TRUE),INDIRECT("'"&amp; MID(OFFSET(BJ58,ROW(BJ$3)-ROW(BJ58),IF(OFFSET(BJ58,ROW(BJ$2)-ROW(BJ58),2)="T",0,IF(OFFSET(BJ58,ROW(BJ$2)-ROW(BJ58),1)="T",-1,-2))),1,6) &amp; "'!2:2",TRUE),0)-IF(OFFSET(BJ58,ROW(BJ$2)-ROW(BJ58),2)="T",1,IF(OFFSET(BJ58,ROW(BJ$2)-ROW(BJ58),1)="T",0,-1))),TRUE)</f>
        <v>0</v>
      </c>
      <c r="BK58" s="362">
        <f t="shared" ca="1" si="111"/>
        <v>0</v>
      </c>
      <c r="BL58" s="363">
        <f t="shared" ca="1" si="87"/>
        <v>0</v>
      </c>
      <c r="BM58" s="360">
        <f t="shared" ca="1" si="75"/>
        <v>0</v>
      </c>
      <c r="BN58" s="360">
        <f t="shared" ca="1" si="75"/>
        <v>0</v>
      </c>
    </row>
    <row r="59" spans="1:68">
      <c r="A59" s="221" t="str">
        <f t="shared" ca="1" si="62"/>
        <v>WP002</v>
      </c>
      <c r="B59" s="221" t="str">
        <f t="shared" ca="1" si="63"/>
        <v>WP002</v>
      </c>
      <c r="C59" s="221">
        <v>7</v>
      </c>
      <c r="D59" s="221" t="s">
        <v>103</v>
      </c>
      <c r="L59" s="221" t="s">
        <v>99</v>
      </c>
      <c r="M59" s="221" t="s">
        <v>80</v>
      </c>
      <c r="N59" s="461"/>
      <c r="O59" s="252"/>
      <c r="P59" s="253"/>
      <c r="Q59" s="254" t="s">
        <v>104</v>
      </c>
      <c r="R59" s="361">
        <f t="shared" ca="1" si="100"/>
        <v>0</v>
      </c>
      <c r="S59" s="362">
        <f t="shared" ca="1" si="100"/>
        <v>0</v>
      </c>
      <c r="T59" s="363">
        <f t="shared" ca="1" si="76"/>
        <v>0</v>
      </c>
      <c r="U59" s="360">
        <f t="shared" ca="1" si="64"/>
        <v>0</v>
      </c>
      <c r="V59" s="361">
        <f t="shared" ca="1" si="101"/>
        <v>0</v>
      </c>
      <c r="W59" s="362">
        <f t="shared" ca="1" si="101"/>
        <v>0</v>
      </c>
      <c r="X59" s="363">
        <f t="shared" ca="1" si="77"/>
        <v>0</v>
      </c>
      <c r="Y59" s="360">
        <f t="shared" ca="1" si="65"/>
        <v>0</v>
      </c>
      <c r="Z59" s="361">
        <f t="shared" ca="1" si="102"/>
        <v>0</v>
      </c>
      <c r="AA59" s="362">
        <f t="shared" ca="1" si="102"/>
        <v>0</v>
      </c>
      <c r="AB59" s="363">
        <f t="shared" ca="1" si="78"/>
        <v>0</v>
      </c>
      <c r="AC59" s="360">
        <f t="shared" ca="1" si="66"/>
        <v>0</v>
      </c>
      <c r="AD59" s="361">
        <f t="shared" ca="1" si="103"/>
        <v>0</v>
      </c>
      <c r="AE59" s="362">
        <f t="shared" ca="1" si="103"/>
        <v>0</v>
      </c>
      <c r="AF59" s="363">
        <f t="shared" ca="1" si="79"/>
        <v>0</v>
      </c>
      <c r="AG59" s="360">
        <f t="shared" ca="1" si="67"/>
        <v>0</v>
      </c>
      <c r="AH59" s="361">
        <f t="shared" ca="1" si="104"/>
        <v>0</v>
      </c>
      <c r="AI59" s="362">
        <f t="shared" ca="1" si="104"/>
        <v>0</v>
      </c>
      <c r="AJ59" s="363">
        <f t="shared" ca="1" si="80"/>
        <v>0</v>
      </c>
      <c r="AK59" s="360">
        <f t="shared" ca="1" si="68"/>
        <v>0</v>
      </c>
      <c r="AL59" s="361">
        <f t="shared" ca="1" si="105"/>
        <v>0</v>
      </c>
      <c r="AM59" s="362">
        <f t="shared" ca="1" si="105"/>
        <v>0</v>
      </c>
      <c r="AN59" s="363">
        <f t="shared" ca="1" si="81"/>
        <v>0</v>
      </c>
      <c r="AO59" s="360">
        <f t="shared" ca="1" si="69"/>
        <v>0</v>
      </c>
      <c r="AP59" s="361">
        <f t="shared" ca="1" si="106"/>
        <v>0</v>
      </c>
      <c r="AQ59" s="362">
        <f t="shared" ca="1" si="106"/>
        <v>0</v>
      </c>
      <c r="AR59" s="363">
        <f t="shared" ca="1" si="82"/>
        <v>0</v>
      </c>
      <c r="AS59" s="360">
        <f t="shared" ca="1" si="70"/>
        <v>0</v>
      </c>
      <c r="AT59" s="361">
        <f t="shared" ca="1" si="107"/>
        <v>0</v>
      </c>
      <c r="AU59" s="362">
        <f t="shared" ca="1" si="107"/>
        <v>0</v>
      </c>
      <c r="AV59" s="363">
        <f t="shared" ca="1" si="83"/>
        <v>0</v>
      </c>
      <c r="AW59" s="360">
        <f t="shared" ca="1" si="71"/>
        <v>0</v>
      </c>
      <c r="AX59" s="361">
        <f t="shared" ca="1" si="108"/>
        <v>0</v>
      </c>
      <c r="AY59" s="362">
        <f t="shared" ca="1" si="108"/>
        <v>0</v>
      </c>
      <c r="AZ59" s="363">
        <f t="shared" ca="1" si="84"/>
        <v>0</v>
      </c>
      <c r="BA59" s="360">
        <f t="shared" ca="1" si="72"/>
        <v>0</v>
      </c>
      <c r="BB59" s="361">
        <f t="shared" ca="1" si="109"/>
        <v>0</v>
      </c>
      <c r="BC59" s="362">
        <f t="shared" ca="1" si="109"/>
        <v>0</v>
      </c>
      <c r="BD59" s="363">
        <f t="shared" ca="1" si="85"/>
        <v>0</v>
      </c>
      <c r="BE59" s="360">
        <f t="shared" ca="1" si="73"/>
        <v>0</v>
      </c>
      <c r="BF59" s="361">
        <f t="shared" ca="1" si="110"/>
        <v>0</v>
      </c>
      <c r="BG59" s="362">
        <f t="shared" ca="1" si="110"/>
        <v>0</v>
      </c>
      <c r="BH59" s="363">
        <f t="shared" ca="1" si="86"/>
        <v>0</v>
      </c>
      <c r="BI59" s="360">
        <f t="shared" ca="1" si="74"/>
        <v>0</v>
      </c>
      <c r="BJ59" s="361">
        <f t="shared" ca="1" si="111"/>
        <v>0</v>
      </c>
      <c r="BK59" s="362">
        <f t="shared" ca="1" si="111"/>
        <v>0</v>
      </c>
      <c r="BL59" s="363">
        <f t="shared" ca="1" si="87"/>
        <v>0</v>
      </c>
      <c r="BM59" s="360">
        <f t="shared" ca="1" si="75"/>
        <v>0</v>
      </c>
      <c r="BN59" s="360">
        <f t="shared" ca="1" si="75"/>
        <v>0</v>
      </c>
    </row>
    <row r="60" spans="1:68">
      <c r="A60" s="221" t="str">
        <f t="shared" ca="1" si="62"/>
        <v>WP002</v>
      </c>
      <c r="B60" s="221" t="str">
        <f t="shared" ca="1" si="63"/>
        <v>WP002</v>
      </c>
      <c r="C60" s="221">
        <v>7</v>
      </c>
      <c r="D60" s="221" t="s">
        <v>105</v>
      </c>
      <c r="L60" s="221" t="s">
        <v>99</v>
      </c>
      <c r="M60" s="221" t="s">
        <v>80</v>
      </c>
      <c r="N60" s="461"/>
      <c r="O60" s="252"/>
      <c r="P60" s="253"/>
      <c r="Q60" s="254" t="s">
        <v>106</v>
      </c>
      <c r="R60" s="361">
        <f t="shared" ca="1" si="100"/>
        <v>0</v>
      </c>
      <c r="S60" s="362">
        <f t="shared" ca="1" si="100"/>
        <v>0</v>
      </c>
      <c r="T60" s="363">
        <f t="shared" ca="1" si="76"/>
        <v>0</v>
      </c>
      <c r="U60" s="360">
        <f t="shared" ca="1" si="64"/>
        <v>0</v>
      </c>
      <c r="V60" s="361">
        <f t="shared" ca="1" si="101"/>
        <v>0</v>
      </c>
      <c r="W60" s="362">
        <f t="shared" ca="1" si="101"/>
        <v>0</v>
      </c>
      <c r="X60" s="363">
        <f t="shared" ca="1" si="77"/>
        <v>0</v>
      </c>
      <c r="Y60" s="360">
        <f t="shared" ca="1" si="65"/>
        <v>0</v>
      </c>
      <c r="Z60" s="361">
        <f t="shared" ca="1" si="102"/>
        <v>0</v>
      </c>
      <c r="AA60" s="362">
        <f t="shared" ca="1" si="102"/>
        <v>0</v>
      </c>
      <c r="AB60" s="363">
        <f t="shared" ca="1" si="78"/>
        <v>0</v>
      </c>
      <c r="AC60" s="360">
        <f t="shared" ca="1" si="66"/>
        <v>0</v>
      </c>
      <c r="AD60" s="361">
        <f t="shared" ca="1" si="103"/>
        <v>0</v>
      </c>
      <c r="AE60" s="362">
        <f t="shared" ca="1" si="103"/>
        <v>0</v>
      </c>
      <c r="AF60" s="363">
        <f t="shared" ca="1" si="79"/>
        <v>0</v>
      </c>
      <c r="AG60" s="360">
        <f t="shared" ca="1" si="67"/>
        <v>0</v>
      </c>
      <c r="AH60" s="361">
        <f t="shared" ca="1" si="104"/>
        <v>0</v>
      </c>
      <c r="AI60" s="362">
        <f t="shared" ca="1" si="104"/>
        <v>0</v>
      </c>
      <c r="AJ60" s="363">
        <f t="shared" ca="1" si="80"/>
        <v>0</v>
      </c>
      <c r="AK60" s="360">
        <f t="shared" ca="1" si="68"/>
        <v>0</v>
      </c>
      <c r="AL60" s="361">
        <f t="shared" ca="1" si="105"/>
        <v>0</v>
      </c>
      <c r="AM60" s="362">
        <f t="shared" ca="1" si="105"/>
        <v>0</v>
      </c>
      <c r="AN60" s="363">
        <f t="shared" ca="1" si="81"/>
        <v>0</v>
      </c>
      <c r="AO60" s="360">
        <f t="shared" ca="1" si="69"/>
        <v>0</v>
      </c>
      <c r="AP60" s="361">
        <f t="shared" ca="1" si="106"/>
        <v>0</v>
      </c>
      <c r="AQ60" s="362">
        <f t="shared" ca="1" si="106"/>
        <v>0</v>
      </c>
      <c r="AR60" s="363">
        <f t="shared" ca="1" si="82"/>
        <v>0</v>
      </c>
      <c r="AS60" s="360">
        <f t="shared" ca="1" si="70"/>
        <v>0</v>
      </c>
      <c r="AT60" s="361">
        <f t="shared" ca="1" si="107"/>
        <v>0</v>
      </c>
      <c r="AU60" s="362">
        <f t="shared" ca="1" si="107"/>
        <v>0</v>
      </c>
      <c r="AV60" s="363">
        <f t="shared" ca="1" si="83"/>
        <v>0</v>
      </c>
      <c r="AW60" s="360">
        <f t="shared" ca="1" si="71"/>
        <v>0</v>
      </c>
      <c r="AX60" s="361">
        <f t="shared" ca="1" si="108"/>
        <v>0</v>
      </c>
      <c r="AY60" s="362">
        <f t="shared" ca="1" si="108"/>
        <v>0</v>
      </c>
      <c r="AZ60" s="363">
        <f t="shared" ca="1" si="84"/>
        <v>0</v>
      </c>
      <c r="BA60" s="360">
        <f t="shared" ca="1" si="72"/>
        <v>0</v>
      </c>
      <c r="BB60" s="361">
        <f t="shared" ca="1" si="109"/>
        <v>0</v>
      </c>
      <c r="BC60" s="362">
        <f t="shared" ca="1" si="109"/>
        <v>0</v>
      </c>
      <c r="BD60" s="363">
        <f t="shared" ca="1" si="85"/>
        <v>0</v>
      </c>
      <c r="BE60" s="360">
        <f t="shared" ca="1" si="73"/>
        <v>0</v>
      </c>
      <c r="BF60" s="361">
        <f t="shared" ca="1" si="110"/>
        <v>0</v>
      </c>
      <c r="BG60" s="362">
        <f t="shared" ca="1" si="110"/>
        <v>0</v>
      </c>
      <c r="BH60" s="363">
        <f t="shared" ca="1" si="86"/>
        <v>0</v>
      </c>
      <c r="BI60" s="360">
        <f t="shared" ca="1" si="74"/>
        <v>0</v>
      </c>
      <c r="BJ60" s="361">
        <f t="shared" ca="1" si="111"/>
        <v>0</v>
      </c>
      <c r="BK60" s="362">
        <f t="shared" ca="1" si="111"/>
        <v>0</v>
      </c>
      <c r="BL60" s="363">
        <f t="shared" ca="1" si="87"/>
        <v>0</v>
      </c>
      <c r="BM60" s="360">
        <f t="shared" ca="1" si="75"/>
        <v>0</v>
      </c>
      <c r="BN60" s="360">
        <f t="shared" ca="1" si="75"/>
        <v>0</v>
      </c>
    </row>
    <row r="61" spans="1:68">
      <c r="A61" s="221" t="str">
        <f t="shared" ca="1" si="62"/>
        <v>WP002</v>
      </c>
      <c r="B61" s="221" t="str">
        <f t="shared" ca="1" si="63"/>
        <v>WP002</v>
      </c>
      <c r="C61" s="221">
        <v>5</v>
      </c>
      <c r="D61" s="221" t="s">
        <v>107</v>
      </c>
      <c r="J61" s="222" t="s">
        <v>96</v>
      </c>
      <c r="M61" s="221" t="s">
        <v>80</v>
      </c>
      <c r="N61" s="461"/>
      <c r="O61" s="255"/>
      <c r="P61" s="456" t="s">
        <v>108</v>
      </c>
      <c r="Q61" s="456"/>
      <c r="R61" s="364">
        <f t="shared" ca="1" si="100"/>
        <v>0</v>
      </c>
      <c r="S61" s="358">
        <f t="shared" ca="1" si="100"/>
        <v>0</v>
      </c>
      <c r="T61" s="359">
        <f t="shared" ca="1" si="76"/>
        <v>0</v>
      </c>
      <c r="U61" s="360">
        <f t="shared" ca="1" si="64"/>
        <v>0</v>
      </c>
      <c r="V61" s="364">
        <f t="shared" ca="1" si="101"/>
        <v>0</v>
      </c>
      <c r="W61" s="358">
        <f t="shared" ca="1" si="101"/>
        <v>0</v>
      </c>
      <c r="X61" s="359">
        <f t="shared" ca="1" si="77"/>
        <v>0</v>
      </c>
      <c r="Y61" s="360">
        <f t="shared" ca="1" si="65"/>
        <v>0</v>
      </c>
      <c r="Z61" s="364">
        <f t="shared" ca="1" si="102"/>
        <v>0</v>
      </c>
      <c r="AA61" s="358">
        <f t="shared" ca="1" si="102"/>
        <v>0</v>
      </c>
      <c r="AB61" s="359">
        <f t="shared" ca="1" si="78"/>
        <v>0</v>
      </c>
      <c r="AC61" s="360">
        <f t="shared" ca="1" si="66"/>
        <v>0</v>
      </c>
      <c r="AD61" s="364">
        <f t="shared" ca="1" si="103"/>
        <v>0</v>
      </c>
      <c r="AE61" s="358">
        <f t="shared" ca="1" si="103"/>
        <v>0</v>
      </c>
      <c r="AF61" s="359">
        <f t="shared" ca="1" si="79"/>
        <v>0</v>
      </c>
      <c r="AG61" s="360">
        <f t="shared" ca="1" si="67"/>
        <v>0</v>
      </c>
      <c r="AH61" s="364">
        <f t="shared" ca="1" si="104"/>
        <v>0</v>
      </c>
      <c r="AI61" s="358">
        <f t="shared" ca="1" si="104"/>
        <v>0</v>
      </c>
      <c r="AJ61" s="359">
        <f t="shared" ca="1" si="80"/>
        <v>0</v>
      </c>
      <c r="AK61" s="360">
        <f t="shared" ca="1" si="68"/>
        <v>0</v>
      </c>
      <c r="AL61" s="364">
        <f t="shared" ca="1" si="105"/>
        <v>0</v>
      </c>
      <c r="AM61" s="358">
        <f t="shared" ca="1" si="105"/>
        <v>0</v>
      </c>
      <c r="AN61" s="359">
        <f t="shared" ca="1" si="81"/>
        <v>0</v>
      </c>
      <c r="AO61" s="360">
        <f t="shared" ca="1" si="69"/>
        <v>0</v>
      </c>
      <c r="AP61" s="364">
        <f t="shared" ca="1" si="106"/>
        <v>0</v>
      </c>
      <c r="AQ61" s="358">
        <f t="shared" ca="1" si="106"/>
        <v>0</v>
      </c>
      <c r="AR61" s="359">
        <f t="shared" ca="1" si="82"/>
        <v>0</v>
      </c>
      <c r="AS61" s="360">
        <f t="shared" ca="1" si="70"/>
        <v>0</v>
      </c>
      <c r="AT61" s="364">
        <f t="shared" ca="1" si="107"/>
        <v>0</v>
      </c>
      <c r="AU61" s="358">
        <f t="shared" ca="1" si="107"/>
        <v>0</v>
      </c>
      <c r="AV61" s="359">
        <f t="shared" ca="1" si="83"/>
        <v>0</v>
      </c>
      <c r="AW61" s="360">
        <f t="shared" ca="1" si="71"/>
        <v>0</v>
      </c>
      <c r="AX61" s="364">
        <f t="shared" ca="1" si="108"/>
        <v>0</v>
      </c>
      <c r="AY61" s="358">
        <f t="shared" ca="1" si="108"/>
        <v>0</v>
      </c>
      <c r="AZ61" s="359">
        <f t="shared" ca="1" si="84"/>
        <v>0</v>
      </c>
      <c r="BA61" s="360">
        <f t="shared" ca="1" si="72"/>
        <v>0</v>
      </c>
      <c r="BB61" s="364">
        <f t="shared" ca="1" si="109"/>
        <v>0</v>
      </c>
      <c r="BC61" s="358">
        <f t="shared" ca="1" si="109"/>
        <v>0</v>
      </c>
      <c r="BD61" s="359">
        <f t="shared" ca="1" si="85"/>
        <v>0</v>
      </c>
      <c r="BE61" s="360">
        <f t="shared" ca="1" si="73"/>
        <v>0</v>
      </c>
      <c r="BF61" s="364">
        <f t="shared" ca="1" si="110"/>
        <v>0</v>
      </c>
      <c r="BG61" s="358">
        <f t="shared" ca="1" si="110"/>
        <v>0</v>
      </c>
      <c r="BH61" s="359">
        <f t="shared" ca="1" si="86"/>
        <v>0</v>
      </c>
      <c r="BI61" s="360">
        <f t="shared" ca="1" si="74"/>
        <v>0</v>
      </c>
      <c r="BJ61" s="364">
        <f t="shared" ca="1" si="111"/>
        <v>0</v>
      </c>
      <c r="BK61" s="358">
        <f t="shared" ca="1" si="111"/>
        <v>0</v>
      </c>
      <c r="BL61" s="359">
        <f t="shared" ca="1" si="87"/>
        <v>0</v>
      </c>
      <c r="BM61" s="360">
        <f t="shared" ca="1" si="75"/>
        <v>0</v>
      </c>
      <c r="BN61" s="360">
        <f t="shared" ca="1" si="75"/>
        <v>0</v>
      </c>
    </row>
    <row r="62" spans="1:68">
      <c r="A62" s="221" t="str">
        <f t="shared" ca="1" si="62"/>
        <v>WP002</v>
      </c>
      <c r="B62" s="221" t="str">
        <f t="shared" ca="1" si="63"/>
        <v>WP002</v>
      </c>
      <c r="C62" s="221">
        <v>6</v>
      </c>
      <c r="D62" s="221" t="s">
        <v>109</v>
      </c>
      <c r="J62" s="222" t="s">
        <v>96</v>
      </c>
      <c r="K62" s="221" t="s">
        <v>110</v>
      </c>
      <c r="M62" s="221" t="s">
        <v>46</v>
      </c>
      <c r="N62" s="461"/>
      <c r="O62" s="255"/>
      <c r="P62" s="456" t="s">
        <v>111</v>
      </c>
      <c r="Q62" s="456"/>
      <c r="R62" s="364"/>
      <c r="S62" s="358"/>
      <c r="T62" s="359">
        <f t="shared" ca="1" si="76"/>
        <v>0</v>
      </c>
      <c r="U62" s="360">
        <f t="shared" ca="1" si="64"/>
        <v>0</v>
      </c>
      <c r="V62" s="364"/>
      <c r="W62" s="358"/>
      <c r="X62" s="359">
        <f t="shared" ca="1" si="77"/>
        <v>0</v>
      </c>
      <c r="Y62" s="360">
        <f t="shared" ca="1" si="65"/>
        <v>0</v>
      </c>
      <c r="Z62" s="364"/>
      <c r="AA62" s="358"/>
      <c r="AB62" s="359">
        <f t="shared" ca="1" si="78"/>
        <v>0</v>
      </c>
      <c r="AC62" s="360">
        <f t="shared" ca="1" si="66"/>
        <v>0</v>
      </c>
      <c r="AD62" s="364"/>
      <c r="AE62" s="358"/>
      <c r="AF62" s="359">
        <f t="shared" ca="1" si="79"/>
        <v>0</v>
      </c>
      <c r="AG62" s="360">
        <f t="shared" ca="1" si="67"/>
        <v>0</v>
      </c>
      <c r="AH62" s="364"/>
      <c r="AI62" s="358"/>
      <c r="AJ62" s="359">
        <f t="shared" ca="1" si="80"/>
        <v>0</v>
      </c>
      <c r="AK62" s="360">
        <f t="shared" ca="1" si="68"/>
        <v>0</v>
      </c>
      <c r="AL62" s="364"/>
      <c r="AM62" s="358"/>
      <c r="AN62" s="359">
        <f t="shared" ca="1" si="81"/>
        <v>0</v>
      </c>
      <c r="AO62" s="360">
        <f t="shared" ca="1" si="69"/>
        <v>0</v>
      </c>
      <c r="AP62" s="364"/>
      <c r="AQ62" s="358"/>
      <c r="AR62" s="359">
        <f t="shared" ca="1" si="82"/>
        <v>0</v>
      </c>
      <c r="AS62" s="360">
        <f t="shared" ca="1" si="70"/>
        <v>0</v>
      </c>
      <c r="AT62" s="364"/>
      <c r="AU62" s="358"/>
      <c r="AV62" s="359">
        <f t="shared" ca="1" si="83"/>
        <v>0</v>
      </c>
      <c r="AW62" s="360">
        <f t="shared" ca="1" si="71"/>
        <v>0</v>
      </c>
      <c r="AX62" s="364"/>
      <c r="AY62" s="358"/>
      <c r="AZ62" s="359">
        <f t="shared" ca="1" si="84"/>
        <v>0</v>
      </c>
      <c r="BA62" s="360">
        <f t="shared" ca="1" si="72"/>
        <v>0</v>
      </c>
      <c r="BB62" s="364"/>
      <c r="BC62" s="358"/>
      <c r="BD62" s="359">
        <f t="shared" ca="1" si="85"/>
        <v>0</v>
      </c>
      <c r="BE62" s="360">
        <f t="shared" ca="1" si="73"/>
        <v>0</v>
      </c>
      <c r="BF62" s="364"/>
      <c r="BG62" s="358"/>
      <c r="BH62" s="359">
        <f t="shared" ca="1" si="86"/>
        <v>0</v>
      </c>
      <c r="BI62" s="360">
        <f t="shared" ca="1" si="74"/>
        <v>0</v>
      </c>
      <c r="BJ62" s="364"/>
      <c r="BK62" s="358"/>
      <c r="BL62" s="359">
        <f t="shared" ca="1" si="87"/>
        <v>0</v>
      </c>
      <c r="BM62" s="360">
        <f t="shared" ca="1" si="75"/>
        <v>0</v>
      </c>
      <c r="BN62" s="360">
        <f t="shared" ca="1" si="75"/>
        <v>0</v>
      </c>
    </row>
    <row r="63" spans="1:68">
      <c r="A63" s="221" t="str">
        <f t="shared" ca="1" si="62"/>
        <v>WP002</v>
      </c>
      <c r="B63" s="221" t="str">
        <f t="shared" ca="1" si="63"/>
        <v>WP002</v>
      </c>
      <c r="C63" s="221">
        <v>7</v>
      </c>
      <c r="D63" s="221" t="s">
        <v>112</v>
      </c>
      <c r="L63" s="221" t="s">
        <v>110</v>
      </c>
      <c r="M63" s="221" t="s">
        <v>80</v>
      </c>
      <c r="N63" s="461"/>
      <c r="O63" s="255"/>
      <c r="P63" s="389"/>
      <c r="Q63" s="254" t="s">
        <v>113</v>
      </c>
      <c r="R63" s="361">
        <f t="shared" ref="R63:S68" ca="1" si="112">INDIRECT("'"&amp; MID(OFFSET(R63,ROW(R$3)-ROW(R63),IF(OFFSET(R63,ROW(R$2)-ROW(R63),2)="T",0,IF(OFFSET(R63,ROW(R$2)-ROW(R63),1)="T",-1,-2))),1,6) &amp; "'!" &amp; ADDRESS(ROW(R63),MATCH(INDIRECT(ADDRESS(2,COLUMN(R63)+IF(OFFSET(R63,ROW(R$2)-ROW(R63),2)="T",1,IF(OFFSET(R63,ROW(R$2)-ROW(R63),1)="T",0,-1))),TRUE),INDIRECT("'"&amp; MID(OFFSET(R63,ROW(R$3)-ROW(R63),IF(OFFSET(R63,ROW(R$2)-ROW(R63),2)="T",0,IF(OFFSET(R63,ROW(R$2)-ROW(R63),1)="T",-1,-2))),1,6) &amp; "'!2:2",TRUE),0)-IF(OFFSET(R63,ROW(R$2)-ROW(R63),2)="T",1,IF(OFFSET(R63,ROW(R$2)-ROW(R63),1)="T",0,-1))),TRUE)</f>
        <v>0</v>
      </c>
      <c r="S63" s="362">
        <f t="shared" ca="1" si="112"/>
        <v>0</v>
      </c>
      <c r="T63" s="363">
        <f t="shared" ca="1" si="76"/>
        <v>0</v>
      </c>
      <c r="U63" s="360">
        <f t="shared" ca="1" si="64"/>
        <v>0</v>
      </c>
      <c r="V63" s="361">
        <f t="shared" ref="V63:W68" ca="1" si="113">INDIRECT("'"&amp; MID(OFFSET(V63,ROW(V$3)-ROW(V63),IF(OFFSET(V63,ROW(V$2)-ROW(V63),2)="T",0,IF(OFFSET(V63,ROW(V$2)-ROW(V63),1)="T",-1,-2))),1,6) &amp; "'!" &amp; ADDRESS(ROW(V63),MATCH(INDIRECT(ADDRESS(2,COLUMN(V63)+IF(OFFSET(V63,ROW(V$2)-ROW(V63),2)="T",1,IF(OFFSET(V63,ROW(V$2)-ROW(V63),1)="T",0,-1))),TRUE),INDIRECT("'"&amp; MID(OFFSET(V63,ROW(V$3)-ROW(V63),IF(OFFSET(V63,ROW(V$2)-ROW(V63),2)="T",0,IF(OFFSET(V63,ROW(V$2)-ROW(V63),1)="T",-1,-2))),1,6) &amp; "'!2:2",TRUE),0)-IF(OFFSET(V63,ROW(V$2)-ROW(V63),2)="T",1,IF(OFFSET(V63,ROW(V$2)-ROW(V63),1)="T",0,-1))),TRUE)</f>
        <v>0</v>
      </c>
      <c r="W63" s="362">
        <f t="shared" ca="1" si="113"/>
        <v>0</v>
      </c>
      <c r="X63" s="363">
        <f t="shared" ca="1" si="77"/>
        <v>0</v>
      </c>
      <c r="Y63" s="360">
        <f t="shared" ca="1" si="65"/>
        <v>0</v>
      </c>
      <c r="Z63" s="361">
        <f t="shared" ref="Z63:AA68" ca="1" si="114">INDIRECT("'"&amp; MID(OFFSET(Z63,ROW(Z$3)-ROW(Z63),IF(OFFSET(Z63,ROW(Z$2)-ROW(Z63),2)="T",0,IF(OFFSET(Z63,ROW(Z$2)-ROW(Z63),1)="T",-1,-2))),1,6) &amp; "'!" &amp; ADDRESS(ROW(Z63),MATCH(INDIRECT(ADDRESS(2,COLUMN(Z63)+IF(OFFSET(Z63,ROW(Z$2)-ROW(Z63),2)="T",1,IF(OFFSET(Z63,ROW(Z$2)-ROW(Z63),1)="T",0,-1))),TRUE),INDIRECT("'"&amp; MID(OFFSET(Z63,ROW(Z$3)-ROW(Z63),IF(OFFSET(Z63,ROW(Z$2)-ROW(Z63),2)="T",0,IF(OFFSET(Z63,ROW(Z$2)-ROW(Z63),1)="T",-1,-2))),1,6) &amp; "'!2:2",TRUE),0)-IF(OFFSET(Z63,ROW(Z$2)-ROW(Z63),2)="T",1,IF(OFFSET(Z63,ROW(Z$2)-ROW(Z63),1)="T",0,-1))),TRUE)</f>
        <v>0</v>
      </c>
      <c r="AA63" s="362">
        <f t="shared" ca="1" si="114"/>
        <v>0</v>
      </c>
      <c r="AB63" s="363">
        <f t="shared" ca="1" si="78"/>
        <v>0</v>
      </c>
      <c r="AC63" s="360">
        <f t="shared" ca="1" si="66"/>
        <v>0</v>
      </c>
      <c r="AD63" s="361">
        <f t="shared" ref="AD63:AE68" ca="1" si="115">INDIRECT("'"&amp; MID(OFFSET(AD63,ROW(AD$3)-ROW(AD63),IF(OFFSET(AD63,ROW(AD$2)-ROW(AD63),2)="T",0,IF(OFFSET(AD63,ROW(AD$2)-ROW(AD63),1)="T",-1,-2))),1,6) &amp; "'!" &amp; ADDRESS(ROW(AD63),MATCH(INDIRECT(ADDRESS(2,COLUMN(AD63)+IF(OFFSET(AD63,ROW(AD$2)-ROW(AD63),2)="T",1,IF(OFFSET(AD63,ROW(AD$2)-ROW(AD63),1)="T",0,-1))),TRUE),INDIRECT("'"&amp; MID(OFFSET(AD63,ROW(AD$3)-ROW(AD63),IF(OFFSET(AD63,ROW(AD$2)-ROW(AD63),2)="T",0,IF(OFFSET(AD63,ROW(AD$2)-ROW(AD63),1)="T",-1,-2))),1,6) &amp; "'!2:2",TRUE),0)-IF(OFFSET(AD63,ROW(AD$2)-ROW(AD63),2)="T",1,IF(OFFSET(AD63,ROW(AD$2)-ROW(AD63),1)="T",0,-1))),TRUE)</f>
        <v>0</v>
      </c>
      <c r="AE63" s="362">
        <f t="shared" ca="1" si="115"/>
        <v>0</v>
      </c>
      <c r="AF63" s="363">
        <f t="shared" ca="1" si="79"/>
        <v>0</v>
      </c>
      <c r="AG63" s="360">
        <f t="shared" ca="1" si="67"/>
        <v>0</v>
      </c>
      <c r="AH63" s="361">
        <f t="shared" ref="AH63:AI68" ca="1" si="116">INDIRECT("'"&amp; MID(OFFSET(AH63,ROW(AH$3)-ROW(AH63),IF(OFFSET(AH63,ROW(AH$2)-ROW(AH63),2)="T",0,IF(OFFSET(AH63,ROW(AH$2)-ROW(AH63),1)="T",-1,-2))),1,6) &amp; "'!" &amp; ADDRESS(ROW(AH63),MATCH(INDIRECT(ADDRESS(2,COLUMN(AH63)+IF(OFFSET(AH63,ROW(AH$2)-ROW(AH63),2)="T",1,IF(OFFSET(AH63,ROW(AH$2)-ROW(AH63),1)="T",0,-1))),TRUE),INDIRECT("'"&amp; MID(OFFSET(AH63,ROW(AH$3)-ROW(AH63),IF(OFFSET(AH63,ROW(AH$2)-ROW(AH63),2)="T",0,IF(OFFSET(AH63,ROW(AH$2)-ROW(AH63),1)="T",-1,-2))),1,6) &amp; "'!2:2",TRUE),0)-IF(OFFSET(AH63,ROW(AH$2)-ROW(AH63),2)="T",1,IF(OFFSET(AH63,ROW(AH$2)-ROW(AH63),1)="T",0,-1))),TRUE)</f>
        <v>0</v>
      </c>
      <c r="AI63" s="362">
        <f t="shared" ca="1" si="116"/>
        <v>0</v>
      </c>
      <c r="AJ63" s="363">
        <f t="shared" ca="1" si="80"/>
        <v>0</v>
      </c>
      <c r="AK63" s="360">
        <f t="shared" ca="1" si="68"/>
        <v>0</v>
      </c>
      <c r="AL63" s="361">
        <f t="shared" ref="AL63:AM68" ca="1" si="117">INDIRECT("'"&amp; MID(OFFSET(AL63,ROW(AL$3)-ROW(AL63),IF(OFFSET(AL63,ROW(AL$2)-ROW(AL63),2)="T",0,IF(OFFSET(AL63,ROW(AL$2)-ROW(AL63),1)="T",-1,-2))),1,6) &amp; "'!" &amp; ADDRESS(ROW(AL63),MATCH(INDIRECT(ADDRESS(2,COLUMN(AL63)+IF(OFFSET(AL63,ROW(AL$2)-ROW(AL63),2)="T",1,IF(OFFSET(AL63,ROW(AL$2)-ROW(AL63),1)="T",0,-1))),TRUE),INDIRECT("'"&amp; MID(OFFSET(AL63,ROW(AL$3)-ROW(AL63),IF(OFFSET(AL63,ROW(AL$2)-ROW(AL63),2)="T",0,IF(OFFSET(AL63,ROW(AL$2)-ROW(AL63),1)="T",-1,-2))),1,6) &amp; "'!2:2",TRUE),0)-IF(OFFSET(AL63,ROW(AL$2)-ROW(AL63),2)="T",1,IF(OFFSET(AL63,ROW(AL$2)-ROW(AL63),1)="T",0,-1))),TRUE)</f>
        <v>0</v>
      </c>
      <c r="AM63" s="362">
        <f t="shared" ca="1" si="117"/>
        <v>0</v>
      </c>
      <c r="AN63" s="363">
        <f t="shared" ca="1" si="81"/>
        <v>0</v>
      </c>
      <c r="AO63" s="360">
        <f t="shared" ca="1" si="69"/>
        <v>0</v>
      </c>
      <c r="AP63" s="361">
        <f t="shared" ref="AP63:AQ68" ca="1" si="118">INDIRECT("'"&amp; MID(OFFSET(AP63,ROW(AP$3)-ROW(AP63),IF(OFFSET(AP63,ROW(AP$2)-ROW(AP63),2)="T",0,IF(OFFSET(AP63,ROW(AP$2)-ROW(AP63),1)="T",-1,-2))),1,6) &amp; "'!" &amp; ADDRESS(ROW(AP63),MATCH(INDIRECT(ADDRESS(2,COLUMN(AP63)+IF(OFFSET(AP63,ROW(AP$2)-ROW(AP63),2)="T",1,IF(OFFSET(AP63,ROW(AP$2)-ROW(AP63),1)="T",0,-1))),TRUE),INDIRECT("'"&amp; MID(OFFSET(AP63,ROW(AP$3)-ROW(AP63),IF(OFFSET(AP63,ROW(AP$2)-ROW(AP63),2)="T",0,IF(OFFSET(AP63,ROW(AP$2)-ROW(AP63),1)="T",-1,-2))),1,6) &amp; "'!2:2",TRUE),0)-IF(OFFSET(AP63,ROW(AP$2)-ROW(AP63),2)="T",1,IF(OFFSET(AP63,ROW(AP$2)-ROW(AP63),1)="T",0,-1))),TRUE)</f>
        <v>0</v>
      </c>
      <c r="AQ63" s="362">
        <f t="shared" ca="1" si="118"/>
        <v>0</v>
      </c>
      <c r="AR63" s="363">
        <f t="shared" ca="1" si="82"/>
        <v>0</v>
      </c>
      <c r="AS63" s="360">
        <f t="shared" ca="1" si="70"/>
        <v>0</v>
      </c>
      <c r="AT63" s="361">
        <f t="shared" ref="AT63:AU68" ca="1" si="119">INDIRECT("'"&amp; MID(OFFSET(AT63,ROW(AT$3)-ROW(AT63),IF(OFFSET(AT63,ROW(AT$2)-ROW(AT63),2)="T",0,IF(OFFSET(AT63,ROW(AT$2)-ROW(AT63),1)="T",-1,-2))),1,6) &amp; "'!" &amp; ADDRESS(ROW(AT63),MATCH(INDIRECT(ADDRESS(2,COLUMN(AT63)+IF(OFFSET(AT63,ROW(AT$2)-ROW(AT63),2)="T",1,IF(OFFSET(AT63,ROW(AT$2)-ROW(AT63),1)="T",0,-1))),TRUE),INDIRECT("'"&amp; MID(OFFSET(AT63,ROW(AT$3)-ROW(AT63),IF(OFFSET(AT63,ROW(AT$2)-ROW(AT63),2)="T",0,IF(OFFSET(AT63,ROW(AT$2)-ROW(AT63),1)="T",-1,-2))),1,6) &amp; "'!2:2",TRUE),0)-IF(OFFSET(AT63,ROW(AT$2)-ROW(AT63),2)="T",1,IF(OFFSET(AT63,ROW(AT$2)-ROW(AT63),1)="T",0,-1))),TRUE)</f>
        <v>0</v>
      </c>
      <c r="AU63" s="362">
        <f t="shared" ca="1" si="119"/>
        <v>0</v>
      </c>
      <c r="AV63" s="363">
        <f t="shared" ca="1" si="83"/>
        <v>0</v>
      </c>
      <c r="AW63" s="360">
        <f t="shared" ca="1" si="71"/>
        <v>0</v>
      </c>
      <c r="AX63" s="361">
        <f t="shared" ref="AX63:AY68" ca="1" si="120">INDIRECT("'"&amp; MID(OFFSET(AX63,ROW(AX$3)-ROW(AX63),IF(OFFSET(AX63,ROW(AX$2)-ROW(AX63),2)="T",0,IF(OFFSET(AX63,ROW(AX$2)-ROW(AX63),1)="T",-1,-2))),1,6) &amp; "'!" &amp; ADDRESS(ROW(AX63),MATCH(INDIRECT(ADDRESS(2,COLUMN(AX63)+IF(OFFSET(AX63,ROW(AX$2)-ROW(AX63),2)="T",1,IF(OFFSET(AX63,ROW(AX$2)-ROW(AX63),1)="T",0,-1))),TRUE),INDIRECT("'"&amp; MID(OFFSET(AX63,ROW(AX$3)-ROW(AX63),IF(OFFSET(AX63,ROW(AX$2)-ROW(AX63),2)="T",0,IF(OFFSET(AX63,ROW(AX$2)-ROW(AX63),1)="T",-1,-2))),1,6) &amp; "'!2:2",TRUE),0)-IF(OFFSET(AX63,ROW(AX$2)-ROW(AX63),2)="T",1,IF(OFFSET(AX63,ROW(AX$2)-ROW(AX63),1)="T",0,-1))),TRUE)</f>
        <v>0</v>
      </c>
      <c r="AY63" s="362">
        <f t="shared" ca="1" si="120"/>
        <v>0</v>
      </c>
      <c r="AZ63" s="363">
        <f t="shared" ca="1" si="84"/>
        <v>0</v>
      </c>
      <c r="BA63" s="360">
        <f t="shared" ca="1" si="72"/>
        <v>0</v>
      </c>
      <c r="BB63" s="361">
        <f t="shared" ref="BB63:BC68" ca="1" si="121">INDIRECT("'"&amp; MID(OFFSET(BB63,ROW(BB$3)-ROW(BB63),IF(OFFSET(BB63,ROW(BB$2)-ROW(BB63),2)="T",0,IF(OFFSET(BB63,ROW(BB$2)-ROW(BB63),1)="T",-1,-2))),1,6) &amp; "'!" &amp; ADDRESS(ROW(BB63),MATCH(INDIRECT(ADDRESS(2,COLUMN(BB63)+IF(OFFSET(BB63,ROW(BB$2)-ROW(BB63),2)="T",1,IF(OFFSET(BB63,ROW(BB$2)-ROW(BB63),1)="T",0,-1))),TRUE),INDIRECT("'"&amp; MID(OFFSET(BB63,ROW(BB$3)-ROW(BB63),IF(OFFSET(BB63,ROW(BB$2)-ROW(BB63),2)="T",0,IF(OFFSET(BB63,ROW(BB$2)-ROW(BB63),1)="T",-1,-2))),1,6) &amp; "'!2:2",TRUE),0)-IF(OFFSET(BB63,ROW(BB$2)-ROW(BB63),2)="T",1,IF(OFFSET(BB63,ROW(BB$2)-ROW(BB63),1)="T",0,-1))),TRUE)</f>
        <v>0</v>
      </c>
      <c r="BC63" s="362">
        <f t="shared" ca="1" si="121"/>
        <v>0</v>
      </c>
      <c r="BD63" s="363">
        <f t="shared" ca="1" si="85"/>
        <v>0</v>
      </c>
      <c r="BE63" s="360">
        <f t="shared" ca="1" si="73"/>
        <v>0</v>
      </c>
      <c r="BF63" s="361">
        <f t="shared" ref="BF63:BG68" ca="1" si="122">INDIRECT("'"&amp; MID(OFFSET(BF63,ROW(BF$3)-ROW(BF63),IF(OFFSET(BF63,ROW(BF$2)-ROW(BF63),2)="T",0,IF(OFFSET(BF63,ROW(BF$2)-ROW(BF63),1)="T",-1,-2))),1,6) &amp; "'!" &amp; ADDRESS(ROW(BF63),MATCH(INDIRECT(ADDRESS(2,COLUMN(BF63)+IF(OFFSET(BF63,ROW(BF$2)-ROW(BF63),2)="T",1,IF(OFFSET(BF63,ROW(BF$2)-ROW(BF63),1)="T",0,-1))),TRUE),INDIRECT("'"&amp; MID(OFFSET(BF63,ROW(BF$3)-ROW(BF63),IF(OFFSET(BF63,ROW(BF$2)-ROW(BF63),2)="T",0,IF(OFFSET(BF63,ROW(BF$2)-ROW(BF63),1)="T",-1,-2))),1,6) &amp; "'!2:2",TRUE),0)-IF(OFFSET(BF63,ROW(BF$2)-ROW(BF63),2)="T",1,IF(OFFSET(BF63,ROW(BF$2)-ROW(BF63),1)="T",0,-1))),TRUE)</f>
        <v>0</v>
      </c>
      <c r="BG63" s="362">
        <f t="shared" ca="1" si="122"/>
        <v>0</v>
      </c>
      <c r="BH63" s="363">
        <f t="shared" ca="1" si="86"/>
        <v>0</v>
      </c>
      <c r="BI63" s="360">
        <f t="shared" ca="1" si="74"/>
        <v>0</v>
      </c>
      <c r="BJ63" s="361">
        <f t="shared" ref="BJ63:BK68" ca="1" si="123">INDIRECT("'"&amp; MID(OFFSET(BJ63,ROW(BJ$3)-ROW(BJ63),IF(OFFSET(BJ63,ROW(BJ$2)-ROW(BJ63),2)="T",0,IF(OFFSET(BJ63,ROW(BJ$2)-ROW(BJ63),1)="T",-1,-2))),1,6) &amp; "'!" &amp; ADDRESS(ROW(BJ63),MATCH(INDIRECT(ADDRESS(2,COLUMN(BJ63)+IF(OFFSET(BJ63,ROW(BJ$2)-ROW(BJ63),2)="T",1,IF(OFFSET(BJ63,ROW(BJ$2)-ROW(BJ63),1)="T",0,-1))),TRUE),INDIRECT("'"&amp; MID(OFFSET(BJ63,ROW(BJ$3)-ROW(BJ63),IF(OFFSET(BJ63,ROW(BJ$2)-ROW(BJ63),2)="T",0,IF(OFFSET(BJ63,ROW(BJ$2)-ROW(BJ63),1)="T",-1,-2))),1,6) &amp; "'!2:2",TRUE),0)-IF(OFFSET(BJ63,ROW(BJ$2)-ROW(BJ63),2)="T",1,IF(OFFSET(BJ63,ROW(BJ$2)-ROW(BJ63),1)="T",0,-1))),TRUE)</f>
        <v>0</v>
      </c>
      <c r="BK63" s="362">
        <f t="shared" ca="1" si="123"/>
        <v>0</v>
      </c>
      <c r="BL63" s="363">
        <f t="shared" ca="1" si="87"/>
        <v>0</v>
      </c>
      <c r="BM63" s="360">
        <f t="shared" ca="1" si="75"/>
        <v>0</v>
      </c>
      <c r="BN63" s="360">
        <f t="shared" ca="1" si="75"/>
        <v>0</v>
      </c>
    </row>
    <row r="64" spans="1:68">
      <c r="A64" s="221" t="str">
        <f t="shared" ca="1" si="62"/>
        <v>WP002</v>
      </c>
      <c r="B64" s="221" t="str">
        <f t="shared" ca="1" si="63"/>
        <v>WP002</v>
      </c>
      <c r="C64" s="221">
        <v>7</v>
      </c>
      <c r="D64" s="221" t="s">
        <v>114</v>
      </c>
      <c r="L64" s="221" t="s">
        <v>110</v>
      </c>
      <c r="M64" s="221" t="s">
        <v>80</v>
      </c>
      <c r="N64" s="461"/>
      <c r="O64" s="255"/>
      <c r="P64" s="389"/>
      <c r="Q64" s="254" t="s">
        <v>115</v>
      </c>
      <c r="R64" s="361">
        <f t="shared" ca="1" si="112"/>
        <v>0</v>
      </c>
      <c r="S64" s="362">
        <f t="shared" ca="1" si="112"/>
        <v>0</v>
      </c>
      <c r="T64" s="363">
        <f t="shared" ca="1" si="76"/>
        <v>0</v>
      </c>
      <c r="U64" s="360">
        <f t="shared" ca="1" si="64"/>
        <v>0</v>
      </c>
      <c r="V64" s="361">
        <f t="shared" ca="1" si="113"/>
        <v>0</v>
      </c>
      <c r="W64" s="362">
        <f t="shared" ca="1" si="113"/>
        <v>0</v>
      </c>
      <c r="X64" s="363">
        <f t="shared" ca="1" si="77"/>
        <v>0</v>
      </c>
      <c r="Y64" s="360">
        <f t="shared" ca="1" si="65"/>
        <v>0</v>
      </c>
      <c r="Z64" s="361">
        <f t="shared" ca="1" si="114"/>
        <v>0</v>
      </c>
      <c r="AA64" s="362">
        <f t="shared" ca="1" si="114"/>
        <v>0</v>
      </c>
      <c r="AB64" s="363">
        <f t="shared" ca="1" si="78"/>
        <v>0</v>
      </c>
      <c r="AC64" s="360">
        <f t="shared" ca="1" si="66"/>
        <v>0</v>
      </c>
      <c r="AD64" s="361">
        <f t="shared" ca="1" si="115"/>
        <v>0</v>
      </c>
      <c r="AE64" s="362">
        <f t="shared" ca="1" si="115"/>
        <v>0</v>
      </c>
      <c r="AF64" s="363">
        <f t="shared" ca="1" si="79"/>
        <v>0</v>
      </c>
      <c r="AG64" s="360">
        <f t="shared" ca="1" si="67"/>
        <v>0</v>
      </c>
      <c r="AH64" s="361">
        <f t="shared" ca="1" si="116"/>
        <v>0</v>
      </c>
      <c r="AI64" s="362">
        <f t="shared" ca="1" si="116"/>
        <v>0</v>
      </c>
      <c r="AJ64" s="363">
        <f t="shared" ca="1" si="80"/>
        <v>0</v>
      </c>
      <c r="AK64" s="360">
        <f t="shared" ca="1" si="68"/>
        <v>0</v>
      </c>
      <c r="AL64" s="361">
        <f t="shared" ca="1" si="117"/>
        <v>0</v>
      </c>
      <c r="AM64" s="362">
        <f t="shared" ca="1" si="117"/>
        <v>0</v>
      </c>
      <c r="AN64" s="363">
        <f t="shared" ca="1" si="81"/>
        <v>0</v>
      </c>
      <c r="AO64" s="360">
        <f t="shared" ca="1" si="69"/>
        <v>0</v>
      </c>
      <c r="AP64" s="361">
        <f t="shared" ca="1" si="118"/>
        <v>0</v>
      </c>
      <c r="AQ64" s="362">
        <f t="shared" ca="1" si="118"/>
        <v>0</v>
      </c>
      <c r="AR64" s="363">
        <f t="shared" ca="1" si="82"/>
        <v>0</v>
      </c>
      <c r="AS64" s="360">
        <f t="shared" ca="1" si="70"/>
        <v>0</v>
      </c>
      <c r="AT64" s="361">
        <f t="shared" ca="1" si="119"/>
        <v>0</v>
      </c>
      <c r="AU64" s="362">
        <f t="shared" ca="1" si="119"/>
        <v>0</v>
      </c>
      <c r="AV64" s="363">
        <f t="shared" ca="1" si="83"/>
        <v>0</v>
      </c>
      <c r="AW64" s="360">
        <f t="shared" ca="1" si="71"/>
        <v>0</v>
      </c>
      <c r="AX64" s="361">
        <f t="shared" ca="1" si="120"/>
        <v>0</v>
      </c>
      <c r="AY64" s="362">
        <f t="shared" ca="1" si="120"/>
        <v>0</v>
      </c>
      <c r="AZ64" s="363">
        <f t="shared" ca="1" si="84"/>
        <v>0</v>
      </c>
      <c r="BA64" s="360">
        <f t="shared" ca="1" si="72"/>
        <v>0</v>
      </c>
      <c r="BB64" s="361">
        <f t="shared" ca="1" si="121"/>
        <v>0</v>
      </c>
      <c r="BC64" s="362">
        <f t="shared" ca="1" si="121"/>
        <v>0</v>
      </c>
      <c r="BD64" s="363">
        <f t="shared" ca="1" si="85"/>
        <v>0</v>
      </c>
      <c r="BE64" s="360">
        <f t="shared" ca="1" si="73"/>
        <v>0</v>
      </c>
      <c r="BF64" s="361">
        <f t="shared" ca="1" si="122"/>
        <v>0</v>
      </c>
      <c r="BG64" s="362">
        <f t="shared" ca="1" si="122"/>
        <v>0</v>
      </c>
      <c r="BH64" s="363">
        <f t="shared" ca="1" si="86"/>
        <v>0</v>
      </c>
      <c r="BI64" s="360">
        <f t="shared" ca="1" si="74"/>
        <v>0</v>
      </c>
      <c r="BJ64" s="361">
        <f t="shared" ca="1" si="123"/>
        <v>0</v>
      </c>
      <c r="BK64" s="362">
        <f t="shared" ca="1" si="123"/>
        <v>0</v>
      </c>
      <c r="BL64" s="363">
        <f t="shared" ca="1" si="87"/>
        <v>0</v>
      </c>
      <c r="BM64" s="360">
        <f t="shared" ca="1" si="75"/>
        <v>0</v>
      </c>
      <c r="BN64" s="360">
        <f t="shared" ca="1" si="75"/>
        <v>0</v>
      </c>
    </row>
    <row r="65" spans="1:68">
      <c r="A65" s="221" t="str">
        <f t="shared" ca="1" si="62"/>
        <v>WP002</v>
      </c>
      <c r="B65" s="221" t="str">
        <f t="shared" ca="1" si="63"/>
        <v>WP002</v>
      </c>
      <c r="C65" s="221">
        <v>7</v>
      </c>
      <c r="D65" s="221" t="s">
        <v>116</v>
      </c>
      <c r="L65" s="221" t="s">
        <v>110</v>
      </c>
      <c r="M65" s="221" t="s">
        <v>80</v>
      </c>
      <c r="N65" s="461"/>
      <c r="O65" s="255"/>
      <c r="P65" s="389"/>
      <c r="Q65" s="254" t="s">
        <v>117</v>
      </c>
      <c r="R65" s="361">
        <f t="shared" ca="1" si="112"/>
        <v>0</v>
      </c>
      <c r="S65" s="362">
        <f t="shared" ca="1" si="112"/>
        <v>0</v>
      </c>
      <c r="T65" s="363">
        <f t="shared" ca="1" si="76"/>
        <v>0</v>
      </c>
      <c r="U65" s="360">
        <f t="shared" ca="1" si="64"/>
        <v>0</v>
      </c>
      <c r="V65" s="361">
        <f t="shared" ca="1" si="113"/>
        <v>0</v>
      </c>
      <c r="W65" s="362">
        <f t="shared" ca="1" si="113"/>
        <v>0</v>
      </c>
      <c r="X65" s="363">
        <f t="shared" ca="1" si="77"/>
        <v>0</v>
      </c>
      <c r="Y65" s="360">
        <f t="shared" ca="1" si="65"/>
        <v>0</v>
      </c>
      <c r="Z65" s="361">
        <f t="shared" ca="1" si="114"/>
        <v>0</v>
      </c>
      <c r="AA65" s="362">
        <f t="shared" ca="1" si="114"/>
        <v>0</v>
      </c>
      <c r="AB65" s="363">
        <f t="shared" ca="1" si="78"/>
        <v>0</v>
      </c>
      <c r="AC65" s="360">
        <f t="shared" ca="1" si="66"/>
        <v>0</v>
      </c>
      <c r="AD65" s="361">
        <f t="shared" ca="1" si="115"/>
        <v>0</v>
      </c>
      <c r="AE65" s="362">
        <f t="shared" ca="1" si="115"/>
        <v>0</v>
      </c>
      <c r="AF65" s="363">
        <f t="shared" ca="1" si="79"/>
        <v>0</v>
      </c>
      <c r="AG65" s="360">
        <f t="shared" ca="1" si="67"/>
        <v>0</v>
      </c>
      <c r="AH65" s="361">
        <f t="shared" ca="1" si="116"/>
        <v>0</v>
      </c>
      <c r="AI65" s="362">
        <f t="shared" ca="1" si="116"/>
        <v>0</v>
      </c>
      <c r="AJ65" s="363">
        <f t="shared" ca="1" si="80"/>
        <v>0</v>
      </c>
      <c r="AK65" s="360">
        <f t="shared" ca="1" si="68"/>
        <v>0</v>
      </c>
      <c r="AL65" s="361">
        <f t="shared" ca="1" si="117"/>
        <v>0</v>
      </c>
      <c r="AM65" s="362">
        <f t="shared" ca="1" si="117"/>
        <v>0</v>
      </c>
      <c r="AN65" s="363">
        <f t="shared" ca="1" si="81"/>
        <v>0</v>
      </c>
      <c r="AO65" s="360">
        <f t="shared" ca="1" si="69"/>
        <v>0</v>
      </c>
      <c r="AP65" s="361">
        <f t="shared" ca="1" si="118"/>
        <v>0</v>
      </c>
      <c r="AQ65" s="362">
        <f t="shared" ca="1" si="118"/>
        <v>0</v>
      </c>
      <c r="AR65" s="363">
        <f t="shared" ca="1" si="82"/>
        <v>0</v>
      </c>
      <c r="AS65" s="360">
        <f t="shared" ca="1" si="70"/>
        <v>0</v>
      </c>
      <c r="AT65" s="361">
        <f t="shared" ca="1" si="119"/>
        <v>0</v>
      </c>
      <c r="AU65" s="362">
        <f t="shared" ca="1" si="119"/>
        <v>0</v>
      </c>
      <c r="AV65" s="363">
        <f t="shared" ca="1" si="83"/>
        <v>0</v>
      </c>
      <c r="AW65" s="360">
        <f t="shared" ca="1" si="71"/>
        <v>0</v>
      </c>
      <c r="AX65" s="361">
        <f t="shared" ca="1" si="120"/>
        <v>0</v>
      </c>
      <c r="AY65" s="362">
        <f t="shared" ca="1" si="120"/>
        <v>0</v>
      </c>
      <c r="AZ65" s="363">
        <f t="shared" ca="1" si="84"/>
        <v>0</v>
      </c>
      <c r="BA65" s="360">
        <f t="shared" ca="1" si="72"/>
        <v>0</v>
      </c>
      <c r="BB65" s="361">
        <f t="shared" ca="1" si="121"/>
        <v>0</v>
      </c>
      <c r="BC65" s="362">
        <f t="shared" ca="1" si="121"/>
        <v>0</v>
      </c>
      <c r="BD65" s="363">
        <f t="shared" ca="1" si="85"/>
        <v>0</v>
      </c>
      <c r="BE65" s="360">
        <f t="shared" ca="1" si="73"/>
        <v>0</v>
      </c>
      <c r="BF65" s="361">
        <f t="shared" ca="1" si="122"/>
        <v>0</v>
      </c>
      <c r="BG65" s="362">
        <f t="shared" ca="1" si="122"/>
        <v>0</v>
      </c>
      <c r="BH65" s="363">
        <f t="shared" ca="1" si="86"/>
        <v>0</v>
      </c>
      <c r="BI65" s="360">
        <f t="shared" ca="1" si="74"/>
        <v>0</v>
      </c>
      <c r="BJ65" s="361">
        <f t="shared" ca="1" si="123"/>
        <v>0</v>
      </c>
      <c r="BK65" s="362">
        <f t="shared" ca="1" si="123"/>
        <v>0</v>
      </c>
      <c r="BL65" s="363">
        <f t="shared" ca="1" si="87"/>
        <v>0</v>
      </c>
      <c r="BM65" s="360">
        <f t="shared" ca="1" si="75"/>
        <v>0</v>
      </c>
      <c r="BN65" s="360">
        <f t="shared" ca="1" si="75"/>
        <v>0</v>
      </c>
    </row>
    <row r="66" spans="1:68">
      <c r="A66" s="221" t="str">
        <f t="shared" ca="1" si="62"/>
        <v>WP002</v>
      </c>
      <c r="B66" s="221" t="str">
        <f t="shared" ca="1" si="63"/>
        <v>WP002</v>
      </c>
      <c r="C66" s="221">
        <v>7</v>
      </c>
      <c r="D66" s="221" t="s">
        <v>118</v>
      </c>
      <c r="L66" s="221" t="s">
        <v>110</v>
      </c>
      <c r="M66" s="221" t="s">
        <v>80</v>
      </c>
      <c r="N66" s="461"/>
      <c r="O66" s="255"/>
      <c r="P66" s="389"/>
      <c r="Q66" s="254" t="s">
        <v>119</v>
      </c>
      <c r="R66" s="361">
        <f t="shared" ca="1" si="112"/>
        <v>0</v>
      </c>
      <c r="S66" s="362">
        <f t="shared" ca="1" si="112"/>
        <v>0</v>
      </c>
      <c r="T66" s="363">
        <f t="shared" ca="1" si="76"/>
        <v>0</v>
      </c>
      <c r="U66" s="360">
        <f t="shared" ca="1" si="64"/>
        <v>0</v>
      </c>
      <c r="V66" s="361">
        <f t="shared" ca="1" si="113"/>
        <v>0</v>
      </c>
      <c r="W66" s="362">
        <f t="shared" ca="1" si="113"/>
        <v>0</v>
      </c>
      <c r="X66" s="363">
        <f t="shared" ca="1" si="77"/>
        <v>0</v>
      </c>
      <c r="Y66" s="360">
        <f t="shared" ca="1" si="65"/>
        <v>0</v>
      </c>
      <c r="Z66" s="361">
        <f t="shared" ca="1" si="114"/>
        <v>0</v>
      </c>
      <c r="AA66" s="362">
        <f t="shared" ca="1" si="114"/>
        <v>0</v>
      </c>
      <c r="AB66" s="363">
        <f t="shared" ca="1" si="78"/>
        <v>0</v>
      </c>
      <c r="AC66" s="360">
        <f t="shared" ca="1" si="66"/>
        <v>0</v>
      </c>
      <c r="AD66" s="361">
        <f t="shared" ca="1" si="115"/>
        <v>0</v>
      </c>
      <c r="AE66" s="362">
        <f t="shared" ca="1" si="115"/>
        <v>0</v>
      </c>
      <c r="AF66" s="363">
        <f t="shared" ca="1" si="79"/>
        <v>0</v>
      </c>
      <c r="AG66" s="360">
        <f t="shared" ca="1" si="67"/>
        <v>0</v>
      </c>
      <c r="AH66" s="361">
        <f t="shared" ca="1" si="116"/>
        <v>0</v>
      </c>
      <c r="AI66" s="362">
        <f t="shared" ca="1" si="116"/>
        <v>0</v>
      </c>
      <c r="AJ66" s="363">
        <f t="shared" ca="1" si="80"/>
        <v>0</v>
      </c>
      <c r="AK66" s="360">
        <f t="shared" ca="1" si="68"/>
        <v>0</v>
      </c>
      <c r="AL66" s="361">
        <f t="shared" ca="1" si="117"/>
        <v>0</v>
      </c>
      <c r="AM66" s="362">
        <f t="shared" ca="1" si="117"/>
        <v>0</v>
      </c>
      <c r="AN66" s="363">
        <f t="shared" ca="1" si="81"/>
        <v>0</v>
      </c>
      <c r="AO66" s="360">
        <f t="shared" ca="1" si="69"/>
        <v>0</v>
      </c>
      <c r="AP66" s="361">
        <f t="shared" ca="1" si="118"/>
        <v>0</v>
      </c>
      <c r="AQ66" s="362">
        <f t="shared" ca="1" si="118"/>
        <v>0</v>
      </c>
      <c r="AR66" s="363">
        <f t="shared" ca="1" si="82"/>
        <v>0</v>
      </c>
      <c r="AS66" s="360">
        <f t="shared" ca="1" si="70"/>
        <v>0</v>
      </c>
      <c r="AT66" s="361">
        <f t="shared" ca="1" si="119"/>
        <v>0</v>
      </c>
      <c r="AU66" s="362">
        <f t="shared" ca="1" si="119"/>
        <v>0</v>
      </c>
      <c r="AV66" s="363">
        <f t="shared" ca="1" si="83"/>
        <v>0</v>
      </c>
      <c r="AW66" s="360">
        <f t="shared" ca="1" si="71"/>
        <v>0</v>
      </c>
      <c r="AX66" s="361">
        <f t="shared" ca="1" si="120"/>
        <v>0</v>
      </c>
      <c r="AY66" s="362">
        <f t="shared" ca="1" si="120"/>
        <v>0</v>
      </c>
      <c r="AZ66" s="363">
        <f t="shared" ca="1" si="84"/>
        <v>0</v>
      </c>
      <c r="BA66" s="360">
        <f t="shared" ca="1" si="72"/>
        <v>0</v>
      </c>
      <c r="BB66" s="361">
        <f t="shared" ca="1" si="121"/>
        <v>0</v>
      </c>
      <c r="BC66" s="362">
        <f t="shared" ca="1" si="121"/>
        <v>0</v>
      </c>
      <c r="BD66" s="363">
        <f t="shared" ca="1" si="85"/>
        <v>0</v>
      </c>
      <c r="BE66" s="360">
        <f t="shared" ca="1" si="73"/>
        <v>0</v>
      </c>
      <c r="BF66" s="361">
        <f t="shared" ca="1" si="122"/>
        <v>0</v>
      </c>
      <c r="BG66" s="362">
        <f t="shared" ca="1" si="122"/>
        <v>0</v>
      </c>
      <c r="BH66" s="363">
        <f t="shared" ca="1" si="86"/>
        <v>0</v>
      </c>
      <c r="BI66" s="360">
        <f t="shared" ca="1" si="74"/>
        <v>0</v>
      </c>
      <c r="BJ66" s="361">
        <f t="shared" ca="1" si="123"/>
        <v>0</v>
      </c>
      <c r="BK66" s="362">
        <f t="shared" ca="1" si="123"/>
        <v>0</v>
      </c>
      <c r="BL66" s="363">
        <f t="shared" ca="1" si="87"/>
        <v>0</v>
      </c>
      <c r="BM66" s="360">
        <f t="shared" ca="1" si="75"/>
        <v>0</v>
      </c>
      <c r="BN66" s="360">
        <f t="shared" ca="1" si="75"/>
        <v>0</v>
      </c>
    </row>
    <row r="67" spans="1:68">
      <c r="A67" s="221" t="str">
        <f t="shared" ca="1" si="62"/>
        <v>WP002</v>
      </c>
      <c r="B67" s="221" t="str">
        <f t="shared" ca="1" si="63"/>
        <v>WP002</v>
      </c>
      <c r="C67" s="221">
        <v>7</v>
      </c>
      <c r="D67" s="221" t="s">
        <v>120</v>
      </c>
      <c r="L67" s="221" t="s">
        <v>110</v>
      </c>
      <c r="M67" s="221" t="s">
        <v>80</v>
      </c>
      <c r="N67" s="461"/>
      <c r="O67" s="255"/>
      <c r="P67" s="389"/>
      <c r="Q67" s="254" t="s">
        <v>121</v>
      </c>
      <c r="R67" s="361">
        <f t="shared" ca="1" si="112"/>
        <v>0</v>
      </c>
      <c r="S67" s="362">
        <f t="shared" ca="1" si="112"/>
        <v>0</v>
      </c>
      <c r="T67" s="363">
        <f t="shared" ca="1" si="76"/>
        <v>0</v>
      </c>
      <c r="U67" s="360">
        <f t="shared" ca="1" si="64"/>
        <v>0</v>
      </c>
      <c r="V67" s="361">
        <f t="shared" ca="1" si="113"/>
        <v>0</v>
      </c>
      <c r="W67" s="362">
        <f t="shared" ca="1" si="113"/>
        <v>0</v>
      </c>
      <c r="X67" s="363">
        <f t="shared" ca="1" si="77"/>
        <v>0</v>
      </c>
      <c r="Y67" s="360">
        <f t="shared" ca="1" si="65"/>
        <v>0</v>
      </c>
      <c r="Z67" s="361">
        <f t="shared" ca="1" si="114"/>
        <v>0</v>
      </c>
      <c r="AA67" s="362">
        <f t="shared" ca="1" si="114"/>
        <v>0</v>
      </c>
      <c r="AB67" s="363">
        <f t="shared" ca="1" si="78"/>
        <v>0</v>
      </c>
      <c r="AC67" s="360">
        <f t="shared" ca="1" si="66"/>
        <v>0</v>
      </c>
      <c r="AD67" s="361">
        <f t="shared" ca="1" si="115"/>
        <v>0</v>
      </c>
      <c r="AE67" s="362">
        <f t="shared" ca="1" si="115"/>
        <v>0</v>
      </c>
      <c r="AF67" s="363">
        <f t="shared" ca="1" si="79"/>
        <v>0</v>
      </c>
      <c r="AG67" s="360">
        <f t="shared" ca="1" si="67"/>
        <v>0</v>
      </c>
      <c r="AH67" s="361">
        <f t="shared" ca="1" si="116"/>
        <v>0</v>
      </c>
      <c r="AI67" s="362">
        <f t="shared" ca="1" si="116"/>
        <v>0</v>
      </c>
      <c r="AJ67" s="363">
        <f t="shared" ca="1" si="80"/>
        <v>0</v>
      </c>
      <c r="AK67" s="360">
        <f t="shared" ca="1" si="68"/>
        <v>0</v>
      </c>
      <c r="AL67" s="361">
        <f t="shared" ca="1" si="117"/>
        <v>0</v>
      </c>
      <c r="AM67" s="362">
        <f t="shared" ca="1" si="117"/>
        <v>0</v>
      </c>
      <c r="AN67" s="363">
        <f t="shared" ca="1" si="81"/>
        <v>0</v>
      </c>
      <c r="AO67" s="360">
        <f t="shared" ca="1" si="69"/>
        <v>0</v>
      </c>
      <c r="AP67" s="361">
        <f t="shared" ca="1" si="118"/>
        <v>0</v>
      </c>
      <c r="AQ67" s="362">
        <f t="shared" ca="1" si="118"/>
        <v>0</v>
      </c>
      <c r="AR67" s="363">
        <f t="shared" ca="1" si="82"/>
        <v>0</v>
      </c>
      <c r="AS67" s="360">
        <f t="shared" ca="1" si="70"/>
        <v>0</v>
      </c>
      <c r="AT67" s="361">
        <f t="shared" ca="1" si="119"/>
        <v>0</v>
      </c>
      <c r="AU67" s="362">
        <f t="shared" ca="1" si="119"/>
        <v>0</v>
      </c>
      <c r="AV67" s="363">
        <f t="shared" ca="1" si="83"/>
        <v>0</v>
      </c>
      <c r="AW67" s="360">
        <f t="shared" ca="1" si="71"/>
        <v>0</v>
      </c>
      <c r="AX67" s="361">
        <f t="shared" ca="1" si="120"/>
        <v>0</v>
      </c>
      <c r="AY67" s="362">
        <f t="shared" ca="1" si="120"/>
        <v>0</v>
      </c>
      <c r="AZ67" s="363">
        <f t="shared" ca="1" si="84"/>
        <v>0</v>
      </c>
      <c r="BA67" s="360">
        <f t="shared" ca="1" si="72"/>
        <v>0</v>
      </c>
      <c r="BB67" s="361">
        <f t="shared" ca="1" si="121"/>
        <v>0</v>
      </c>
      <c r="BC67" s="362">
        <f t="shared" ca="1" si="121"/>
        <v>0</v>
      </c>
      <c r="BD67" s="363">
        <f t="shared" ca="1" si="85"/>
        <v>0</v>
      </c>
      <c r="BE67" s="360">
        <f t="shared" ca="1" si="73"/>
        <v>0</v>
      </c>
      <c r="BF67" s="361">
        <f t="shared" ca="1" si="122"/>
        <v>0</v>
      </c>
      <c r="BG67" s="362">
        <f t="shared" ca="1" si="122"/>
        <v>0</v>
      </c>
      <c r="BH67" s="363">
        <f t="shared" ca="1" si="86"/>
        <v>0</v>
      </c>
      <c r="BI67" s="360">
        <f t="shared" ca="1" si="74"/>
        <v>0</v>
      </c>
      <c r="BJ67" s="361">
        <f t="shared" ca="1" si="123"/>
        <v>0</v>
      </c>
      <c r="BK67" s="362">
        <f t="shared" ca="1" si="123"/>
        <v>0</v>
      </c>
      <c r="BL67" s="363">
        <f t="shared" ca="1" si="87"/>
        <v>0</v>
      </c>
      <c r="BM67" s="360">
        <f t="shared" ca="1" si="75"/>
        <v>0</v>
      </c>
      <c r="BN67" s="360">
        <f t="shared" ca="1" si="75"/>
        <v>0</v>
      </c>
    </row>
    <row r="68" spans="1:68">
      <c r="A68" s="221" t="str">
        <f t="shared" ca="1" si="62"/>
        <v>WP002</v>
      </c>
      <c r="B68" s="221" t="str">
        <f t="shared" ca="1" si="63"/>
        <v>WP002</v>
      </c>
      <c r="C68" s="221">
        <v>7</v>
      </c>
      <c r="D68" s="221" t="s">
        <v>122</v>
      </c>
      <c r="L68" s="221" t="s">
        <v>110</v>
      </c>
      <c r="M68" s="221" t="s">
        <v>80</v>
      </c>
      <c r="N68" s="461"/>
      <c r="O68" s="256"/>
      <c r="P68" s="389"/>
      <c r="Q68" s="254" t="s">
        <v>123</v>
      </c>
      <c r="R68" s="361">
        <f t="shared" ca="1" si="112"/>
        <v>0</v>
      </c>
      <c r="S68" s="362">
        <f t="shared" ca="1" si="112"/>
        <v>0</v>
      </c>
      <c r="T68" s="363">
        <f t="shared" ca="1" si="76"/>
        <v>0</v>
      </c>
      <c r="U68" s="360">
        <f t="shared" ca="1" si="64"/>
        <v>0</v>
      </c>
      <c r="V68" s="361">
        <f t="shared" ca="1" si="113"/>
        <v>0</v>
      </c>
      <c r="W68" s="362">
        <f t="shared" ca="1" si="113"/>
        <v>0</v>
      </c>
      <c r="X68" s="363">
        <f t="shared" ca="1" si="77"/>
        <v>0</v>
      </c>
      <c r="Y68" s="360">
        <f t="shared" ca="1" si="65"/>
        <v>0</v>
      </c>
      <c r="Z68" s="361">
        <f t="shared" ca="1" si="114"/>
        <v>0</v>
      </c>
      <c r="AA68" s="362">
        <f t="shared" ca="1" si="114"/>
        <v>0</v>
      </c>
      <c r="AB68" s="363">
        <f t="shared" ca="1" si="78"/>
        <v>0</v>
      </c>
      <c r="AC68" s="360">
        <f t="shared" ca="1" si="66"/>
        <v>0</v>
      </c>
      <c r="AD68" s="361">
        <f t="shared" ca="1" si="115"/>
        <v>0</v>
      </c>
      <c r="AE68" s="362">
        <f t="shared" ca="1" si="115"/>
        <v>0</v>
      </c>
      <c r="AF68" s="363">
        <f t="shared" ca="1" si="79"/>
        <v>0</v>
      </c>
      <c r="AG68" s="360">
        <f t="shared" ca="1" si="67"/>
        <v>0</v>
      </c>
      <c r="AH68" s="361">
        <f t="shared" ca="1" si="116"/>
        <v>0</v>
      </c>
      <c r="AI68" s="362">
        <f t="shared" ca="1" si="116"/>
        <v>0</v>
      </c>
      <c r="AJ68" s="363">
        <f t="shared" ca="1" si="80"/>
        <v>0</v>
      </c>
      <c r="AK68" s="360">
        <f t="shared" ca="1" si="68"/>
        <v>0</v>
      </c>
      <c r="AL68" s="361">
        <f t="shared" ca="1" si="117"/>
        <v>0</v>
      </c>
      <c r="AM68" s="362">
        <f t="shared" ca="1" si="117"/>
        <v>0</v>
      </c>
      <c r="AN68" s="363">
        <f t="shared" ca="1" si="81"/>
        <v>0</v>
      </c>
      <c r="AO68" s="360">
        <f t="shared" ca="1" si="69"/>
        <v>0</v>
      </c>
      <c r="AP68" s="361">
        <f t="shared" ca="1" si="118"/>
        <v>0</v>
      </c>
      <c r="AQ68" s="362">
        <f t="shared" ca="1" si="118"/>
        <v>0</v>
      </c>
      <c r="AR68" s="363">
        <f t="shared" ca="1" si="82"/>
        <v>0</v>
      </c>
      <c r="AS68" s="360">
        <f t="shared" ca="1" si="70"/>
        <v>0</v>
      </c>
      <c r="AT68" s="361">
        <f t="shared" ca="1" si="119"/>
        <v>0</v>
      </c>
      <c r="AU68" s="362">
        <f t="shared" ca="1" si="119"/>
        <v>0</v>
      </c>
      <c r="AV68" s="363">
        <f t="shared" ca="1" si="83"/>
        <v>0</v>
      </c>
      <c r="AW68" s="360">
        <f t="shared" ca="1" si="71"/>
        <v>0</v>
      </c>
      <c r="AX68" s="361">
        <f t="shared" ca="1" si="120"/>
        <v>0</v>
      </c>
      <c r="AY68" s="362">
        <f t="shared" ca="1" si="120"/>
        <v>0</v>
      </c>
      <c r="AZ68" s="363">
        <f t="shared" ca="1" si="84"/>
        <v>0</v>
      </c>
      <c r="BA68" s="360">
        <f t="shared" ca="1" si="72"/>
        <v>0</v>
      </c>
      <c r="BB68" s="361">
        <f t="shared" ca="1" si="121"/>
        <v>0</v>
      </c>
      <c r="BC68" s="362">
        <f t="shared" ca="1" si="121"/>
        <v>0</v>
      </c>
      <c r="BD68" s="363">
        <f t="shared" ca="1" si="85"/>
        <v>0</v>
      </c>
      <c r="BE68" s="360">
        <f t="shared" ca="1" si="73"/>
        <v>0</v>
      </c>
      <c r="BF68" s="361">
        <f t="shared" ca="1" si="122"/>
        <v>0</v>
      </c>
      <c r="BG68" s="362">
        <f t="shared" ca="1" si="122"/>
        <v>0</v>
      </c>
      <c r="BH68" s="363">
        <f t="shared" ca="1" si="86"/>
        <v>0</v>
      </c>
      <c r="BI68" s="360">
        <f t="shared" ca="1" si="74"/>
        <v>0</v>
      </c>
      <c r="BJ68" s="361">
        <f t="shared" ca="1" si="123"/>
        <v>0</v>
      </c>
      <c r="BK68" s="362">
        <f t="shared" ca="1" si="123"/>
        <v>0</v>
      </c>
      <c r="BL68" s="363">
        <f t="shared" ca="1" si="87"/>
        <v>0</v>
      </c>
      <c r="BM68" s="360">
        <f t="shared" ca="1" si="75"/>
        <v>0</v>
      </c>
      <c r="BN68" s="360">
        <f t="shared" ca="1" si="75"/>
        <v>0</v>
      </c>
    </row>
    <row r="69" spans="1:68">
      <c r="A69" s="221" t="str">
        <f t="shared" ca="1" si="62"/>
        <v>WP002</v>
      </c>
      <c r="B69" s="221" t="str">
        <f t="shared" ca="1" si="63"/>
        <v>WP002</v>
      </c>
      <c r="C69" s="221">
        <v>4</v>
      </c>
      <c r="D69" s="221" t="s">
        <v>124</v>
      </c>
      <c r="H69" s="221" t="s">
        <v>74</v>
      </c>
      <c r="I69" s="221" t="s">
        <v>125</v>
      </c>
      <c r="M69" s="221" t="s">
        <v>46</v>
      </c>
      <c r="N69" s="461"/>
      <c r="O69" s="452" t="s">
        <v>126</v>
      </c>
      <c r="P69" s="453"/>
      <c r="Q69" s="453"/>
      <c r="R69" s="353"/>
      <c r="S69" s="354"/>
      <c r="T69" s="355">
        <f t="shared" ca="1" si="76"/>
        <v>0</v>
      </c>
      <c r="U69" s="356">
        <f t="shared" ca="1" si="64"/>
        <v>0</v>
      </c>
      <c r="V69" s="353"/>
      <c r="W69" s="354"/>
      <c r="X69" s="355">
        <f t="shared" ca="1" si="77"/>
        <v>0</v>
      </c>
      <c r="Y69" s="356">
        <f t="shared" ca="1" si="65"/>
        <v>0</v>
      </c>
      <c r="Z69" s="353"/>
      <c r="AA69" s="354"/>
      <c r="AB69" s="355">
        <f t="shared" ca="1" si="78"/>
        <v>0</v>
      </c>
      <c r="AC69" s="356">
        <f t="shared" ca="1" si="66"/>
        <v>0</v>
      </c>
      <c r="AD69" s="353"/>
      <c r="AE69" s="354"/>
      <c r="AF69" s="355">
        <f t="shared" ca="1" si="79"/>
        <v>0</v>
      </c>
      <c r="AG69" s="356">
        <f t="shared" ca="1" si="67"/>
        <v>0</v>
      </c>
      <c r="AH69" s="353"/>
      <c r="AI69" s="354"/>
      <c r="AJ69" s="355">
        <f t="shared" ca="1" si="80"/>
        <v>0</v>
      </c>
      <c r="AK69" s="356">
        <f t="shared" ca="1" si="68"/>
        <v>0</v>
      </c>
      <c r="AL69" s="353"/>
      <c r="AM69" s="354"/>
      <c r="AN69" s="355">
        <f t="shared" ca="1" si="81"/>
        <v>0</v>
      </c>
      <c r="AO69" s="356">
        <f t="shared" ca="1" si="69"/>
        <v>0</v>
      </c>
      <c r="AP69" s="353"/>
      <c r="AQ69" s="354"/>
      <c r="AR69" s="355">
        <f t="shared" ca="1" si="82"/>
        <v>0</v>
      </c>
      <c r="AS69" s="356">
        <f t="shared" ca="1" si="70"/>
        <v>0</v>
      </c>
      <c r="AT69" s="353"/>
      <c r="AU69" s="354"/>
      <c r="AV69" s="355">
        <f t="shared" ca="1" si="83"/>
        <v>0</v>
      </c>
      <c r="AW69" s="356">
        <f t="shared" ca="1" si="71"/>
        <v>0</v>
      </c>
      <c r="AX69" s="353"/>
      <c r="AY69" s="354"/>
      <c r="AZ69" s="355">
        <f t="shared" ca="1" si="84"/>
        <v>0</v>
      </c>
      <c r="BA69" s="356">
        <f t="shared" ca="1" si="72"/>
        <v>0</v>
      </c>
      <c r="BB69" s="353"/>
      <c r="BC69" s="354"/>
      <c r="BD69" s="355">
        <f t="shared" ca="1" si="85"/>
        <v>0</v>
      </c>
      <c r="BE69" s="356">
        <f t="shared" ca="1" si="73"/>
        <v>0</v>
      </c>
      <c r="BF69" s="353"/>
      <c r="BG69" s="354"/>
      <c r="BH69" s="355">
        <f t="shared" ca="1" si="86"/>
        <v>0</v>
      </c>
      <c r="BI69" s="356">
        <f t="shared" ca="1" si="74"/>
        <v>0</v>
      </c>
      <c r="BJ69" s="353"/>
      <c r="BK69" s="354"/>
      <c r="BL69" s="355">
        <f t="shared" ca="1" si="87"/>
        <v>0</v>
      </c>
      <c r="BM69" s="356">
        <f t="shared" ca="1" si="75"/>
        <v>0</v>
      </c>
      <c r="BN69" s="356">
        <f t="shared" ca="1" si="75"/>
        <v>0</v>
      </c>
    </row>
    <row r="70" spans="1:68">
      <c r="A70" s="221" t="str">
        <f t="shared" ca="1" si="62"/>
        <v>WP002</v>
      </c>
      <c r="B70" s="221" t="str">
        <f t="shared" ca="1" si="63"/>
        <v>WP002</v>
      </c>
      <c r="C70" s="221">
        <v>5</v>
      </c>
      <c r="D70" s="221" t="s">
        <v>127</v>
      </c>
      <c r="J70" s="222" t="s">
        <v>125</v>
      </c>
      <c r="M70" s="221" t="s">
        <v>80</v>
      </c>
      <c r="N70" s="461"/>
      <c r="O70" s="257"/>
      <c r="P70" s="457" t="s">
        <v>128</v>
      </c>
      <c r="Q70" s="458"/>
      <c r="R70" s="361">
        <f ca="1">INDIRECT("'"&amp; MID(OFFSET(R70,ROW(R$3)-ROW(R70),IF(OFFSET(R70,ROW(R$2)-ROW(R70),2)="T",0,IF(OFFSET(R70,ROW(R$2)-ROW(R70),1)="T",-1,-2))),1,6) &amp; "'!" &amp; ADDRESS(ROW(R70),MATCH(INDIRECT(ADDRESS(2,COLUMN(R70)+IF(OFFSET(R70,ROW(R$2)-ROW(R70),2)="T",1,IF(OFFSET(R70,ROW(R$2)-ROW(R70),1)="T",0,-1))),TRUE),INDIRECT("'"&amp; MID(OFFSET(R70,ROW(R$3)-ROW(R70),IF(OFFSET(R70,ROW(R$2)-ROW(R70),2)="T",0,IF(OFFSET(R70,ROW(R$2)-ROW(R70),1)="T",-1,-2))),1,6) &amp; "'!2:2",TRUE),0)-IF(OFFSET(R70,ROW(R$2)-ROW(R70),2)="T",1,IF(OFFSET(R70,ROW(R$2)-ROW(R70),1)="T",0,-1))),TRUE)</f>
        <v>0</v>
      </c>
      <c r="S70" s="362">
        <f ca="1">INDIRECT("'"&amp; MID(OFFSET(S70,ROW(S$3)-ROW(S70),IF(OFFSET(S70,ROW(S$2)-ROW(S70),2)="T",0,IF(OFFSET(S70,ROW(S$2)-ROW(S70),1)="T",-1,-2))),1,6) &amp; "'!" &amp; ADDRESS(ROW(S70),MATCH(INDIRECT(ADDRESS(2,COLUMN(S70)+IF(OFFSET(S70,ROW(S$2)-ROW(S70),2)="T",1,IF(OFFSET(S70,ROW(S$2)-ROW(S70),1)="T",0,-1))),TRUE),INDIRECT("'"&amp; MID(OFFSET(S70,ROW(S$3)-ROW(S70),IF(OFFSET(S70,ROW(S$2)-ROW(S70),2)="T",0,IF(OFFSET(S70,ROW(S$2)-ROW(S70),1)="T",-1,-2))),1,6) &amp; "'!2:2",TRUE),0)-IF(OFFSET(S70,ROW(S$2)-ROW(S70),2)="T",1,IF(OFFSET(S70,ROW(S$2)-ROW(S70),1)="T",0,-1))),TRUE)</f>
        <v>0</v>
      </c>
      <c r="T70" s="363">
        <f t="shared" ca="1" si="76"/>
        <v>0</v>
      </c>
      <c r="U70" s="360">
        <f t="shared" ca="1" si="64"/>
        <v>0</v>
      </c>
      <c r="V70" s="361">
        <f ca="1">INDIRECT("'"&amp; MID(OFFSET(V70,ROW(V$3)-ROW(V70),IF(OFFSET(V70,ROW(V$2)-ROW(V70),2)="T",0,IF(OFFSET(V70,ROW(V$2)-ROW(V70),1)="T",-1,-2))),1,6) &amp; "'!" &amp; ADDRESS(ROW(V70),MATCH(INDIRECT(ADDRESS(2,COLUMN(V70)+IF(OFFSET(V70,ROW(V$2)-ROW(V70),2)="T",1,IF(OFFSET(V70,ROW(V$2)-ROW(V70),1)="T",0,-1))),TRUE),INDIRECT("'"&amp; MID(OFFSET(V70,ROW(V$3)-ROW(V70),IF(OFFSET(V70,ROW(V$2)-ROW(V70),2)="T",0,IF(OFFSET(V70,ROW(V$2)-ROW(V70),1)="T",-1,-2))),1,6) &amp; "'!2:2",TRUE),0)-IF(OFFSET(V70,ROW(V$2)-ROW(V70),2)="T",1,IF(OFFSET(V70,ROW(V$2)-ROW(V70),1)="T",0,-1))),TRUE)</f>
        <v>0</v>
      </c>
      <c r="W70" s="362">
        <f ca="1">INDIRECT("'"&amp; MID(OFFSET(W70,ROW(W$3)-ROW(W70),IF(OFFSET(W70,ROW(W$2)-ROW(W70),2)="T",0,IF(OFFSET(W70,ROW(W$2)-ROW(W70),1)="T",-1,-2))),1,6) &amp; "'!" &amp; ADDRESS(ROW(W70),MATCH(INDIRECT(ADDRESS(2,COLUMN(W70)+IF(OFFSET(W70,ROW(W$2)-ROW(W70),2)="T",1,IF(OFFSET(W70,ROW(W$2)-ROW(W70),1)="T",0,-1))),TRUE),INDIRECT("'"&amp; MID(OFFSET(W70,ROW(W$3)-ROW(W70),IF(OFFSET(W70,ROW(W$2)-ROW(W70),2)="T",0,IF(OFFSET(W70,ROW(W$2)-ROW(W70),1)="T",-1,-2))),1,6) &amp; "'!2:2",TRUE),0)-IF(OFFSET(W70,ROW(W$2)-ROW(W70),2)="T",1,IF(OFFSET(W70,ROW(W$2)-ROW(W70),1)="T",0,-1))),TRUE)</f>
        <v>0</v>
      </c>
      <c r="X70" s="363">
        <f t="shared" ca="1" si="77"/>
        <v>0</v>
      </c>
      <c r="Y70" s="360">
        <f t="shared" ca="1" si="65"/>
        <v>0</v>
      </c>
      <c r="Z70" s="361">
        <f ca="1">INDIRECT("'"&amp; MID(OFFSET(Z70,ROW(Z$3)-ROW(Z70),IF(OFFSET(Z70,ROW(Z$2)-ROW(Z70),2)="T",0,IF(OFFSET(Z70,ROW(Z$2)-ROW(Z70),1)="T",-1,-2))),1,6) &amp; "'!" &amp; ADDRESS(ROW(Z70),MATCH(INDIRECT(ADDRESS(2,COLUMN(Z70)+IF(OFFSET(Z70,ROW(Z$2)-ROW(Z70),2)="T",1,IF(OFFSET(Z70,ROW(Z$2)-ROW(Z70),1)="T",0,-1))),TRUE),INDIRECT("'"&amp; MID(OFFSET(Z70,ROW(Z$3)-ROW(Z70),IF(OFFSET(Z70,ROW(Z$2)-ROW(Z70),2)="T",0,IF(OFFSET(Z70,ROW(Z$2)-ROW(Z70),1)="T",-1,-2))),1,6) &amp; "'!2:2",TRUE),0)-IF(OFFSET(Z70,ROW(Z$2)-ROW(Z70),2)="T",1,IF(OFFSET(Z70,ROW(Z$2)-ROW(Z70),1)="T",0,-1))),TRUE)</f>
        <v>0</v>
      </c>
      <c r="AA70" s="362">
        <f ca="1">INDIRECT("'"&amp; MID(OFFSET(AA70,ROW(AA$3)-ROW(AA70),IF(OFFSET(AA70,ROW(AA$2)-ROW(AA70),2)="T",0,IF(OFFSET(AA70,ROW(AA$2)-ROW(AA70),1)="T",-1,-2))),1,6) &amp; "'!" &amp; ADDRESS(ROW(AA70),MATCH(INDIRECT(ADDRESS(2,COLUMN(AA70)+IF(OFFSET(AA70,ROW(AA$2)-ROW(AA70),2)="T",1,IF(OFFSET(AA70,ROW(AA$2)-ROW(AA70),1)="T",0,-1))),TRUE),INDIRECT("'"&amp; MID(OFFSET(AA70,ROW(AA$3)-ROW(AA70),IF(OFFSET(AA70,ROW(AA$2)-ROW(AA70),2)="T",0,IF(OFFSET(AA70,ROW(AA$2)-ROW(AA70),1)="T",-1,-2))),1,6) &amp; "'!2:2",TRUE),0)-IF(OFFSET(AA70,ROW(AA$2)-ROW(AA70),2)="T",1,IF(OFFSET(AA70,ROW(AA$2)-ROW(AA70),1)="T",0,-1))),TRUE)</f>
        <v>0</v>
      </c>
      <c r="AB70" s="363">
        <f t="shared" ca="1" si="78"/>
        <v>0</v>
      </c>
      <c r="AC70" s="360">
        <f t="shared" ca="1" si="66"/>
        <v>0</v>
      </c>
      <c r="AD70" s="361">
        <f ca="1">INDIRECT("'"&amp; MID(OFFSET(AD70,ROW(AD$3)-ROW(AD70),IF(OFFSET(AD70,ROW(AD$2)-ROW(AD70),2)="T",0,IF(OFFSET(AD70,ROW(AD$2)-ROW(AD70),1)="T",-1,-2))),1,6) &amp; "'!" &amp; ADDRESS(ROW(AD70),MATCH(INDIRECT(ADDRESS(2,COLUMN(AD70)+IF(OFFSET(AD70,ROW(AD$2)-ROW(AD70),2)="T",1,IF(OFFSET(AD70,ROW(AD$2)-ROW(AD70),1)="T",0,-1))),TRUE),INDIRECT("'"&amp; MID(OFFSET(AD70,ROW(AD$3)-ROW(AD70),IF(OFFSET(AD70,ROW(AD$2)-ROW(AD70),2)="T",0,IF(OFFSET(AD70,ROW(AD$2)-ROW(AD70),1)="T",-1,-2))),1,6) &amp; "'!2:2",TRUE),0)-IF(OFFSET(AD70,ROW(AD$2)-ROW(AD70),2)="T",1,IF(OFFSET(AD70,ROW(AD$2)-ROW(AD70),1)="T",0,-1))),TRUE)</f>
        <v>0</v>
      </c>
      <c r="AE70" s="362">
        <f ca="1">INDIRECT("'"&amp; MID(OFFSET(AE70,ROW(AE$3)-ROW(AE70),IF(OFFSET(AE70,ROW(AE$2)-ROW(AE70),2)="T",0,IF(OFFSET(AE70,ROW(AE$2)-ROW(AE70),1)="T",-1,-2))),1,6) &amp; "'!" &amp; ADDRESS(ROW(AE70),MATCH(INDIRECT(ADDRESS(2,COLUMN(AE70)+IF(OFFSET(AE70,ROW(AE$2)-ROW(AE70),2)="T",1,IF(OFFSET(AE70,ROW(AE$2)-ROW(AE70),1)="T",0,-1))),TRUE),INDIRECT("'"&amp; MID(OFFSET(AE70,ROW(AE$3)-ROW(AE70),IF(OFFSET(AE70,ROW(AE$2)-ROW(AE70),2)="T",0,IF(OFFSET(AE70,ROW(AE$2)-ROW(AE70),1)="T",-1,-2))),1,6) &amp; "'!2:2",TRUE),0)-IF(OFFSET(AE70,ROW(AE$2)-ROW(AE70),2)="T",1,IF(OFFSET(AE70,ROW(AE$2)-ROW(AE70),1)="T",0,-1))),TRUE)</f>
        <v>0</v>
      </c>
      <c r="AF70" s="363">
        <f t="shared" ca="1" si="79"/>
        <v>0</v>
      </c>
      <c r="AG70" s="360">
        <f t="shared" ca="1" si="67"/>
        <v>0</v>
      </c>
      <c r="AH70" s="361">
        <f ca="1">INDIRECT("'"&amp; MID(OFFSET(AH70,ROW(AH$3)-ROW(AH70),IF(OFFSET(AH70,ROW(AH$2)-ROW(AH70),2)="T",0,IF(OFFSET(AH70,ROW(AH$2)-ROW(AH70),1)="T",-1,-2))),1,6) &amp; "'!" &amp; ADDRESS(ROW(AH70),MATCH(INDIRECT(ADDRESS(2,COLUMN(AH70)+IF(OFFSET(AH70,ROW(AH$2)-ROW(AH70),2)="T",1,IF(OFFSET(AH70,ROW(AH$2)-ROW(AH70),1)="T",0,-1))),TRUE),INDIRECT("'"&amp; MID(OFFSET(AH70,ROW(AH$3)-ROW(AH70),IF(OFFSET(AH70,ROW(AH$2)-ROW(AH70),2)="T",0,IF(OFFSET(AH70,ROW(AH$2)-ROW(AH70),1)="T",-1,-2))),1,6) &amp; "'!2:2",TRUE),0)-IF(OFFSET(AH70,ROW(AH$2)-ROW(AH70),2)="T",1,IF(OFFSET(AH70,ROW(AH$2)-ROW(AH70),1)="T",0,-1))),TRUE)</f>
        <v>0</v>
      </c>
      <c r="AI70" s="362">
        <f ca="1">INDIRECT("'"&amp; MID(OFFSET(AI70,ROW(AI$3)-ROW(AI70),IF(OFFSET(AI70,ROW(AI$2)-ROW(AI70),2)="T",0,IF(OFFSET(AI70,ROW(AI$2)-ROW(AI70),1)="T",-1,-2))),1,6) &amp; "'!" &amp; ADDRESS(ROW(AI70),MATCH(INDIRECT(ADDRESS(2,COLUMN(AI70)+IF(OFFSET(AI70,ROW(AI$2)-ROW(AI70),2)="T",1,IF(OFFSET(AI70,ROW(AI$2)-ROW(AI70),1)="T",0,-1))),TRUE),INDIRECT("'"&amp; MID(OFFSET(AI70,ROW(AI$3)-ROW(AI70),IF(OFFSET(AI70,ROW(AI$2)-ROW(AI70),2)="T",0,IF(OFFSET(AI70,ROW(AI$2)-ROW(AI70),1)="T",-1,-2))),1,6) &amp; "'!2:2",TRUE),0)-IF(OFFSET(AI70,ROW(AI$2)-ROW(AI70),2)="T",1,IF(OFFSET(AI70,ROW(AI$2)-ROW(AI70),1)="T",0,-1))),TRUE)</f>
        <v>0</v>
      </c>
      <c r="AJ70" s="363">
        <f t="shared" ca="1" si="80"/>
        <v>0</v>
      </c>
      <c r="AK70" s="360">
        <f t="shared" ca="1" si="68"/>
        <v>0</v>
      </c>
      <c r="AL70" s="361">
        <f ca="1">INDIRECT("'"&amp; MID(OFFSET(AL70,ROW(AL$3)-ROW(AL70),IF(OFFSET(AL70,ROW(AL$2)-ROW(AL70),2)="T",0,IF(OFFSET(AL70,ROW(AL$2)-ROW(AL70),1)="T",-1,-2))),1,6) &amp; "'!" &amp; ADDRESS(ROW(AL70),MATCH(INDIRECT(ADDRESS(2,COLUMN(AL70)+IF(OFFSET(AL70,ROW(AL$2)-ROW(AL70),2)="T",1,IF(OFFSET(AL70,ROW(AL$2)-ROW(AL70),1)="T",0,-1))),TRUE),INDIRECT("'"&amp; MID(OFFSET(AL70,ROW(AL$3)-ROW(AL70),IF(OFFSET(AL70,ROW(AL$2)-ROW(AL70),2)="T",0,IF(OFFSET(AL70,ROW(AL$2)-ROW(AL70),1)="T",-1,-2))),1,6) &amp; "'!2:2",TRUE),0)-IF(OFFSET(AL70,ROW(AL$2)-ROW(AL70),2)="T",1,IF(OFFSET(AL70,ROW(AL$2)-ROW(AL70),1)="T",0,-1))),TRUE)</f>
        <v>0</v>
      </c>
      <c r="AM70" s="362">
        <f ca="1">INDIRECT("'"&amp; MID(OFFSET(AM70,ROW(AM$3)-ROW(AM70),IF(OFFSET(AM70,ROW(AM$2)-ROW(AM70),2)="T",0,IF(OFFSET(AM70,ROW(AM$2)-ROW(AM70),1)="T",-1,-2))),1,6) &amp; "'!" &amp; ADDRESS(ROW(AM70),MATCH(INDIRECT(ADDRESS(2,COLUMN(AM70)+IF(OFFSET(AM70,ROW(AM$2)-ROW(AM70),2)="T",1,IF(OFFSET(AM70,ROW(AM$2)-ROW(AM70),1)="T",0,-1))),TRUE),INDIRECT("'"&amp; MID(OFFSET(AM70,ROW(AM$3)-ROW(AM70),IF(OFFSET(AM70,ROW(AM$2)-ROW(AM70),2)="T",0,IF(OFFSET(AM70,ROW(AM$2)-ROW(AM70),1)="T",-1,-2))),1,6) &amp; "'!2:2",TRUE),0)-IF(OFFSET(AM70,ROW(AM$2)-ROW(AM70),2)="T",1,IF(OFFSET(AM70,ROW(AM$2)-ROW(AM70),1)="T",0,-1))),TRUE)</f>
        <v>0</v>
      </c>
      <c r="AN70" s="363">
        <f t="shared" ca="1" si="81"/>
        <v>0</v>
      </c>
      <c r="AO70" s="360">
        <f t="shared" ca="1" si="69"/>
        <v>0</v>
      </c>
      <c r="AP70" s="361">
        <f ca="1">INDIRECT("'"&amp; MID(OFFSET(AP70,ROW(AP$3)-ROW(AP70),IF(OFFSET(AP70,ROW(AP$2)-ROW(AP70),2)="T",0,IF(OFFSET(AP70,ROW(AP$2)-ROW(AP70),1)="T",-1,-2))),1,6) &amp; "'!" &amp; ADDRESS(ROW(AP70),MATCH(INDIRECT(ADDRESS(2,COLUMN(AP70)+IF(OFFSET(AP70,ROW(AP$2)-ROW(AP70),2)="T",1,IF(OFFSET(AP70,ROW(AP$2)-ROW(AP70),1)="T",0,-1))),TRUE),INDIRECT("'"&amp; MID(OFFSET(AP70,ROW(AP$3)-ROW(AP70),IF(OFFSET(AP70,ROW(AP$2)-ROW(AP70),2)="T",0,IF(OFFSET(AP70,ROW(AP$2)-ROW(AP70),1)="T",-1,-2))),1,6) &amp; "'!2:2",TRUE),0)-IF(OFFSET(AP70,ROW(AP$2)-ROW(AP70),2)="T",1,IF(OFFSET(AP70,ROW(AP$2)-ROW(AP70),1)="T",0,-1))),TRUE)</f>
        <v>0</v>
      </c>
      <c r="AQ70" s="362">
        <f ca="1">INDIRECT("'"&amp; MID(OFFSET(AQ70,ROW(AQ$3)-ROW(AQ70),IF(OFFSET(AQ70,ROW(AQ$2)-ROW(AQ70),2)="T",0,IF(OFFSET(AQ70,ROW(AQ$2)-ROW(AQ70),1)="T",-1,-2))),1,6) &amp; "'!" &amp; ADDRESS(ROW(AQ70),MATCH(INDIRECT(ADDRESS(2,COLUMN(AQ70)+IF(OFFSET(AQ70,ROW(AQ$2)-ROW(AQ70),2)="T",1,IF(OFFSET(AQ70,ROW(AQ$2)-ROW(AQ70),1)="T",0,-1))),TRUE),INDIRECT("'"&amp; MID(OFFSET(AQ70,ROW(AQ$3)-ROW(AQ70),IF(OFFSET(AQ70,ROW(AQ$2)-ROW(AQ70),2)="T",0,IF(OFFSET(AQ70,ROW(AQ$2)-ROW(AQ70),1)="T",-1,-2))),1,6) &amp; "'!2:2",TRUE),0)-IF(OFFSET(AQ70,ROW(AQ$2)-ROW(AQ70),2)="T",1,IF(OFFSET(AQ70,ROW(AQ$2)-ROW(AQ70),1)="T",0,-1))),TRUE)</f>
        <v>0</v>
      </c>
      <c r="AR70" s="363">
        <f t="shared" ca="1" si="82"/>
        <v>0</v>
      </c>
      <c r="AS70" s="360">
        <f t="shared" ca="1" si="70"/>
        <v>0</v>
      </c>
      <c r="AT70" s="361">
        <f ca="1">INDIRECT("'"&amp; MID(OFFSET(AT70,ROW(AT$3)-ROW(AT70),IF(OFFSET(AT70,ROW(AT$2)-ROW(AT70),2)="T",0,IF(OFFSET(AT70,ROW(AT$2)-ROW(AT70),1)="T",-1,-2))),1,6) &amp; "'!" &amp; ADDRESS(ROW(AT70),MATCH(INDIRECT(ADDRESS(2,COLUMN(AT70)+IF(OFFSET(AT70,ROW(AT$2)-ROW(AT70),2)="T",1,IF(OFFSET(AT70,ROW(AT$2)-ROW(AT70),1)="T",0,-1))),TRUE),INDIRECT("'"&amp; MID(OFFSET(AT70,ROW(AT$3)-ROW(AT70),IF(OFFSET(AT70,ROW(AT$2)-ROW(AT70),2)="T",0,IF(OFFSET(AT70,ROW(AT$2)-ROW(AT70),1)="T",-1,-2))),1,6) &amp; "'!2:2",TRUE),0)-IF(OFFSET(AT70,ROW(AT$2)-ROW(AT70),2)="T",1,IF(OFFSET(AT70,ROW(AT$2)-ROW(AT70),1)="T",0,-1))),TRUE)</f>
        <v>0</v>
      </c>
      <c r="AU70" s="362">
        <f ca="1">INDIRECT("'"&amp; MID(OFFSET(AU70,ROW(AU$3)-ROW(AU70),IF(OFFSET(AU70,ROW(AU$2)-ROW(AU70),2)="T",0,IF(OFFSET(AU70,ROW(AU$2)-ROW(AU70),1)="T",-1,-2))),1,6) &amp; "'!" &amp; ADDRESS(ROW(AU70),MATCH(INDIRECT(ADDRESS(2,COLUMN(AU70)+IF(OFFSET(AU70,ROW(AU$2)-ROW(AU70),2)="T",1,IF(OFFSET(AU70,ROW(AU$2)-ROW(AU70),1)="T",0,-1))),TRUE),INDIRECT("'"&amp; MID(OFFSET(AU70,ROW(AU$3)-ROW(AU70),IF(OFFSET(AU70,ROW(AU$2)-ROW(AU70),2)="T",0,IF(OFFSET(AU70,ROW(AU$2)-ROW(AU70),1)="T",-1,-2))),1,6) &amp; "'!2:2",TRUE),0)-IF(OFFSET(AU70,ROW(AU$2)-ROW(AU70),2)="T",1,IF(OFFSET(AU70,ROW(AU$2)-ROW(AU70),1)="T",0,-1))),TRUE)</f>
        <v>0</v>
      </c>
      <c r="AV70" s="363">
        <f t="shared" ca="1" si="83"/>
        <v>0</v>
      </c>
      <c r="AW70" s="360">
        <f t="shared" ca="1" si="71"/>
        <v>0</v>
      </c>
      <c r="AX70" s="361">
        <f ca="1">INDIRECT("'"&amp; MID(OFFSET(AX70,ROW(AX$3)-ROW(AX70),IF(OFFSET(AX70,ROW(AX$2)-ROW(AX70),2)="T",0,IF(OFFSET(AX70,ROW(AX$2)-ROW(AX70),1)="T",-1,-2))),1,6) &amp; "'!" &amp; ADDRESS(ROW(AX70),MATCH(INDIRECT(ADDRESS(2,COLUMN(AX70)+IF(OFFSET(AX70,ROW(AX$2)-ROW(AX70),2)="T",1,IF(OFFSET(AX70,ROW(AX$2)-ROW(AX70),1)="T",0,-1))),TRUE),INDIRECT("'"&amp; MID(OFFSET(AX70,ROW(AX$3)-ROW(AX70),IF(OFFSET(AX70,ROW(AX$2)-ROW(AX70),2)="T",0,IF(OFFSET(AX70,ROW(AX$2)-ROW(AX70),1)="T",-1,-2))),1,6) &amp; "'!2:2",TRUE),0)-IF(OFFSET(AX70,ROW(AX$2)-ROW(AX70),2)="T",1,IF(OFFSET(AX70,ROW(AX$2)-ROW(AX70),1)="T",0,-1))),TRUE)</f>
        <v>0</v>
      </c>
      <c r="AY70" s="362">
        <f ca="1">INDIRECT("'"&amp; MID(OFFSET(AY70,ROW(AY$3)-ROW(AY70),IF(OFFSET(AY70,ROW(AY$2)-ROW(AY70),2)="T",0,IF(OFFSET(AY70,ROW(AY$2)-ROW(AY70),1)="T",-1,-2))),1,6) &amp; "'!" &amp; ADDRESS(ROW(AY70),MATCH(INDIRECT(ADDRESS(2,COLUMN(AY70)+IF(OFFSET(AY70,ROW(AY$2)-ROW(AY70),2)="T",1,IF(OFFSET(AY70,ROW(AY$2)-ROW(AY70),1)="T",0,-1))),TRUE),INDIRECT("'"&amp; MID(OFFSET(AY70,ROW(AY$3)-ROW(AY70),IF(OFFSET(AY70,ROW(AY$2)-ROW(AY70),2)="T",0,IF(OFFSET(AY70,ROW(AY$2)-ROW(AY70),1)="T",-1,-2))),1,6) &amp; "'!2:2",TRUE),0)-IF(OFFSET(AY70,ROW(AY$2)-ROW(AY70),2)="T",1,IF(OFFSET(AY70,ROW(AY$2)-ROW(AY70),1)="T",0,-1))),TRUE)</f>
        <v>0</v>
      </c>
      <c r="AZ70" s="363">
        <f t="shared" ca="1" si="84"/>
        <v>0</v>
      </c>
      <c r="BA70" s="360">
        <f t="shared" ca="1" si="72"/>
        <v>0</v>
      </c>
      <c r="BB70" s="361">
        <f ca="1">INDIRECT("'"&amp; MID(OFFSET(BB70,ROW(BB$3)-ROW(BB70),IF(OFFSET(BB70,ROW(BB$2)-ROW(BB70),2)="T",0,IF(OFFSET(BB70,ROW(BB$2)-ROW(BB70),1)="T",-1,-2))),1,6) &amp; "'!" &amp; ADDRESS(ROW(BB70),MATCH(INDIRECT(ADDRESS(2,COLUMN(BB70)+IF(OFFSET(BB70,ROW(BB$2)-ROW(BB70),2)="T",1,IF(OFFSET(BB70,ROW(BB$2)-ROW(BB70),1)="T",0,-1))),TRUE),INDIRECT("'"&amp; MID(OFFSET(BB70,ROW(BB$3)-ROW(BB70),IF(OFFSET(BB70,ROW(BB$2)-ROW(BB70),2)="T",0,IF(OFFSET(BB70,ROW(BB$2)-ROW(BB70),1)="T",-1,-2))),1,6) &amp; "'!2:2",TRUE),0)-IF(OFFSET(BB70,ROW(BB$2)-ROW(BB70),2)="T",1,IF(OFFSET(BB70,ROW(BB$2)-ROW(BB70),1)="T",0,-1))),TRUE)</f>
        <v>0</v>
      </c>
      <c r="BC70" s="362">
        <f ca="1">INDIRECT("'"&amp; MID(OFFSET(BC70,ROW(BC$3)-ROW(BC70),IF(OFFSET(BC70,ROW(BC$2)-ROW(BC70),2)="T",0,IF(OFFSET(BC70,ROW(BC$2)-ROW(BC70),1)="T",-1,-2))),1,6) &amp; "'!" &amp; ADDRESS(ROW(BC70),MATCH(INDIRECT(ADDRESS(2,COLUMN(BC70)+IF(OFFSET(BC70,ROW(BC$2)-ROW(BC70),2)="T",1,IF(OFFSET(BC70,ROW(BC$2)-ROW(BC70),1)="T",0,-1))),TRUE),INDIRECT("'"&amp; MID(OFFSET(BC70,ROW(BC$3)-ROW(BC70),IF(OFFSET(BC70,ROW(BC$2)-ROW(BC70),2)="T",0,IF(OFFSET(BC70,ROW(BC$2)-ROW(BC70),1)="T",-1,-2))),1,6) &amp; "'!2:2",TRUE),0)-IF(OFFSET(BC70,ROW(BC$2)-ROW(BC70),2)="T",1,IF(OFFSET(BC70,ROW(BC$2)-ROW(BC70),1)="T",0,-1))),TRUE)</f>
        <v>0</v>
      </c>
      <c r="BD70" s="363">
        <f t="shared" ca="1" si="85"/>
        <v>0</v>
      </c>
      <c r="BE70" s="360">
        <f t="shared" ca="1" si="73"/>
        <v>0</v>
      </c>
      <c r="BF70" s="361">
        <f ca="1">INDIRECT("'"&amp; MID(OFFSET(BF70,ROW(BF$3)-ROW(BF70),IF(OFFSET(BF70,ROW(BF$2)-ROW(BF70),2)="T",0,IF(OFFSET(BF70,ROW(BF$2)-ROW(BF70),1)="T",-1,-2))),1,6) &amp; "'!" &amp; ADDRESS(ROW(BF70),MATCH(INDIRECT(ADDRESS(2,COLUMN(BF70)+IF(OFFSET(BF70,ROW(BF$2)-ROW(BF70),2)="T",1,IF(OFFSET(BF70,ROW(BF$2)-ROW(BF70),1)="T",0,-1))),TRUE),INDIRECT("'"&amp; MID(OFFSET(BF70,ROW(BF$3)-ROW(BF70),IF(OFFSET(BF70,ROW(BF$2)-ROW(BF70),2)="T",0,IF(OFFSET(BF70,ROW(BF$2)-ROW(BF70),1)="T",-1,-2))),1,6) &amp; "'!2:2",TRUE),0)-IF(OFFSET(BF70,ROW(BF$2)-ROW(BF70),2)="T",1,IF(OFFSET(BF70,ROW(BF$2)-ROW(BF70),1)="T",0,-1))),TRUE)</f>
        <v>0</v>
      </c>
      <c r="BG70" s="362">
        <f ca="1">INDIRECT("'"&amp; MID(OFFSET(BG70,ROW(BG$3)-ROW(BG70),IF(OFFSET(BG70,ROW(BG$2)-ROW(BG70),2)="T",0,IF(OFFSET(BG70,ROW(BG$2)-ROW(BG70),1)="T",-1,-2))),1,6) &amp; "'!" &amp; ADDRESS(ROW(BG70),MATCH(INDIRECT(ADDRESS(2,COLUMN(BG70)+IF(OFFSET(BG70,ROW(BG$2)-ROW(BG70),2)="T",1,IF(OFFSET(BG70,ROW(BG$2)-ROW(BG70),1)="T",0,-1))),TRUE),INDIRECT("'"&amp; MID(OFFSET(BG70,ROW(BG$3)-ROW(BG70),IF(OFFSET(BG70,ROW(BG$2)-ROW(BG70),2)="T",0,IF(OFFSET(BG70,ROW(BG$2)-ROW(BG70),1)="T",-1,-2))),1,6) &amp; "'!2:2",TRUE),0)-IF(OFFSET(BG70,ROW(BG$2)-ROW(BG70),2)="T",1,IF(OFFSET(BG70,ROW(BG$2)-ROW(BG70),1)="T",0,-1))),TRUE)</f>
        <v>0</v>
      </c>
      <c r="BH70" s="363">
        <f t="shared" ca="1" si="86"/>
        <v>0</v>
      </c>
      <c r="BI70" s="360">
        <f t="shared" ca="1" si="74"/>
        <v>0</v>
      </c>
      <c r="BJ70" s="361">
        <f ca="1">INDIRECT("'"&amp; MID(OFFSET(BJ70,ROW(BJ$3)-ROW(BJ70),IF(OFFSET(BJ70,ROW(BJ$2)-ROW(BJ70),2)="T",0,IF(OFFSET(BJ70,ROW(BJ$2)-ROW(BJ70),1)="T",-1,-2))),1,6) &amp; "'!" &amp; ADDRESS(ROW(BJ70),MATCH(INDIRECT(ADDRESS(2,COLUMN(BJ70)+IF(OFFSET(BJ70,ROW(BJ$2)-ROW(BJ70),2)="T",1,IF(OFFSET(BJ70,ROW(BJ$2)-ROW(BJ70),1)="T",0,-1))),TRUE),INDIRECT("'"&amp; MID(OFFSET(BJ70,ROW(BJ$3)-ROW(BJ70),IF(OFFSET(BJ70,ROW(BJ$2)-ROW(BJ70),2)="T",0,IF(OFFSET(BJ70,ROW(BJ$2)-ROW(BJ70),1)="T",-1,-2))),1,6) &amp; "'!2:2",TRUE),0)-IF(OFFSET(BJ70,ROW(BJ$2)-ROW(BJ70),2)="T",1,IF(OFFSET(BJ70,ROW(BJ$2)-ROW(BJ70),1)="T",0,-1))),TRUE)</f>
        <v>0</v>
      </c>
      <c r="BK70" s="362">
        <f ca="1">INDIRECT("'"&amp; MID(OFFSET(BK70,ROW(BK$3)-ROW(BK70),IF(OFFSET(BK70,ROW(BK$2)-ROW(BK70),2)="T",0,IF(OFFSET(BK70,ROW(BK$2)-ROW(BK70),1)="T",-1,-2))),1,6) &amp; "'!" &amp; ADDRESS(ROW(BK70),MATCH(INDIRECT(ADDRESS(2,COLUMN(BK70)+IF(OFFSET(BK70,ROW(BK$2)-ROW(BK70),2)="T",1,IF(OFFSET(BK70,ROW(BK$2)-ROW(BK70),1)="T",0,-1))),TRUE),INDIRECT("'"&amp; MID(OFFSET(BK70,ROW(BK$3)-ROW(BK70),IF(OFFSET(BK70,ROW(BK$2)-ROW(BK70),2)="T",0,IF(OFFSET(BK70,ROW(BK$2)-ROW(BK70),1)="T",-1,-2))),1,6) &amp; "'!2:2",TRUE),0)-IF(OFFSET(BK70,ROW(BK$2)-ROW(BK70),2)="T",1,IF(OFFSET(BK70,ROW(BK$2)-ROW(BK70),1)="T",0,-1))),TRUE)</f>
        <v>0</v>
      </c>
      <c r="BL70" s="363">
        <f t="shared" ca="1" si="87"/>
        <v>0</v>
      </c>
      <c r="BM70" s="360">
        <f t="shared" ca="1" si="75"/>
        <v>0</v>
      </c>
      <c r="BN70" s="360">
        <f t="shared" ca="1" si="75"/>
        <v>0</v>
      </c>
    </row>
    <row r="71" spans="1:68">
      <c r="A71" s="221" t="str">
        <f t="shared" ca="1" si="62"/>
        <v>WP002</v>
      </c>
      <c r="B71" s="221" t="str">
        <f t="shared" ca="1" si="63"/>
        <v>WP002</v>
      </c>
      <c r="C71" s="221">
        <v>2</v>
      </c>
      <c r="D71" s="221" t="s">
        <v>129</v>
      </c>
      <c r="F71" s="221" t="s">
        <v>130</v>
      </c>
      <c r="G71" s="221" t="s">
        <v>74</v>
      </c>
      <c r="M71" s="221" t="s">
        <v>46</v>
      </c>
      <c r="N71" s="461"/>
      <c r="O71" s="450" t="s">
        <v>131</v>
      </c>
      <c r="P71" s="451"/>
      <c r="Q71" s="451"/>
      <c r="R71" s="366"/>
      <c r="S71" s="367"/>
      <c r="T71" s="368">
        <f t="shared" ca="1" si="76"/>
        <v>0</v>
      </c>
      <c r="U71" s="369">
        <f t="shared" ca="1" si="64"/>
        <v>0</v>
      </c>
      <c r="V71" s="366"/>
      <c r="W71" s="367"/>
      <c r="X71" s="368">
        <f t="shared" ca="1" si="77"/>
        <v>0</v>
      </c>
      <c r="Y71" s="369">
        <f t="shared" ca="1" si="65"/>
        <v>0</v>
      </c>
      <c r="Z71" s="366"/>
      <c r="AA71" s="367"/>
      <c r="AB71" s="368">
        <f t="shared" ca="1" si="78"/>
        <v>0</v>
      </c>
      <c r="AC71" s="369">
        <f t="shared" ca="1" si="66"/>
        <v>0</v>
      </c>
      <c r="AD71" s="366"/>
      <c r="AE71" s="367"/>
      <c r="AF71" s="368">
        <f t="shared" ca="1" si="79"/>
        <v>0</v>
      </c>
      <c r="AG71" s="369">
        <f t="shared" ca="1" si="67"/>
        <v>0</v>
      </c>
      <c r="AH71" s="366"/>
      <c r="AI71" s="367"/>
      <c r="AJ71" s="368">
        <f t="shared" ca="1" si="80"/>
        <v>0</v>
      </c>
      <c r="AK71" s="369">
        <f t="shared" ca="1" si="68"/>
        <v>0</v>
      </c>
      <c r="AL71" s="366"/>
      <c r="AM71" s="367"/>
      <c r="AN71" s="368">
        <f t="shared" ca="1" si="81"/>
        <v>0</v>
      </c>
      <c r="AO71" s="369">
        <f t="shared" ca="1" si="69"/>
        <v>0</v>
      </c>
      <c r="AP71" s="366"/>
      <c r="AQ71" s="367"/>
      <c r="AR71" s="368">
        <f t="shared" ca="1" si="82"/>
        <v>0</v>
      </c>
      <c r="AS71" s="369">
        <f t="shared" ca="1" si="70"/>
        <v>0</v>
      </c>
      <c r="AT71" s="366"/>
      <c r="AU71" s="367"/>
      <c r="AV71" s="368">
        <f t="shared" ca="1" si="83"/>
        <v>0</v>
      </c>
      <c r="AW71" s="369">
        <f t="shared" ca="1" si="71"/>
        <v>0</v>
      </c>
      <c r="AX71" s="366"/>
      <c r="AY71" s="367"/>
      <c r="AZ71" s="368">
        <f t="shared" ca="1" si="84"/>
        <v>0</v>
      </c>
      <c r="BA71" s="369">
        <f t="shared" ca="1" si="72"/>
        <v>0</v>
      </c>
      <c r="BB71" s="366"/>
      <c r="BC71" s="367"/>
      <c r="BD71" s="368">
        <f t="shared" ca="1" si="85"/>
        <v>0</v>
      </c>
      <c r="BE71" s="369">
        <f t="shared" ca="1" si="73"/>
        <v>0</v>
      </c>
      <c r="BF71" s="366"/>
      <c r="BG71" s="367"/>
      <c r="BH71" s="368">
        <f t="shared" ca="1" si="86"/>
        <v>0</v>
      </c>
      <c r="BI71" s="369">
        <f t="shared" ca="1" si="74"/>
        <v>0</v>
      </c>
      <c r="BJ71" s="366"/>
      <c r="BK71" s="367"/>
      <c r="BL71" s="368">
        <f t="shared" ca="1" si="87"/>
        <v>0</v>
      </c>
      <c r="BM71" s="369">
        <f t="shared" ca="1" si="75"/>
        <v>0</v>
      </c>
      <c r="BN71" s="369">
        <f t="shared" ca="1" si="75"/>
        <v>0</v>
      </c>
    </row>
    <row r="72" spans="1:68">
      <c r="A72" s="221" t="str">
        <f t="shared" ca="1" si="62"/>
        <v>WP002</v>
      </c>
      <c r="B72" s="221" t="str">
        <f t="shared" ca="1" si="63"/>
        <v>WP002</v>
      </c>
      <c r="C72" s="221">
        <v>1</v>
      </c>
      <c r="N72" s="461"/>
      <c r="O72" s="258"/>
      <c r="P72" s="249"/>
      <c r="Q72" s="249"/>
      <c r="R72" s="361"/>
      <c r="S72" s="362"/>
      <c r="T72" s="363"/>
      <c r="U72" s="360"/>
      <c r="V72" s="361"/>
      <c r="W72" s="362"/>
      <c r="X72" s="363"/>
      <c r="Y72" s="360"/>
      <c r="Z72" s="361"/>
      <c r="AA72" s="362"/>
      <c r="AB72" s="363"/>
      <c r="AC72" s="360"/>
      <c r="AD72" s="361"/>
      <c r="AE72" s="362"/>
      <c r="AF72" s="363"/>
      <c r="AG72" s="360"/>
      <c r="AH72" s="361"/>
      <c r="AI72" s="362"/>
      <c r="AJ72" s="363"/>
      <c r="AK72" s="360"/>
      <c r="AL72" s="361"/>
      <c r="AM72" s="362"/>
      <c r="AN72" s="363"/>
      <c r="AO72" s="360"/>
      <c r="AP72" s="361"/>
      <c r="AQ72" s="362"/>
      <c r="AR72" s="363"/>
      <c r="AS72" s="360"/>
      <c r="AT72" s="361"/>
      <c r="AU72" s="362"/>
      <c r="AV72" s="363"/>
      <c r="AW72" s="360"/>
      <c r="AX72" s="361"/>
      <c r="AY72" s="362"/>
      <c r="AZ72" s="363"/>
      <c r="BA72" s="360"/>
      <c r="BB72" s="361"/>
      <c r="BC72" s="362"/>
      <c r="BD72" s="363"/>
      <c r="BE72" s="360"/>
      <c r="BF72" s="361"/>
      <c r="BG72" s="362"/>
      <c r="BH72" s="363"/>
      <c r="BI72" s="360"/>
      <c r="BJ72" s="361"/>
      <c r="BK72" s="362"/>
      <c r="BL72" s="363"/>
      <c r="BM72" s="360"/>
      <c r="BN72" s="360"/>
    </row>
    <row r="73" spans="1:68">
      <c r="A73" s="221" t="str">
        <f t="shared" ca="1" si="62"/>
        <v>WP002</v>
      </c>
      <c r="B73" s="221" t="str">
        <f t="shared" ca="1" si="63"/>
        <v>WP002</v>
      </c>
      <c r="C73" s="221">
        <v>2</v>
      </c>
      <c r="D73" s="221" t="s">
        <v>132</v>
      </c>
      <c r="F73" s="221" t="s">
        <v>130</v>
      </c>
      <c r="M73" s="221" t="s">
        <v>133</v>
      </c>
      <c r="N73" s="461"/>
      <c r="O73" s="452" t="s">
        <v>134</v>
      </c>
      <c r="P73" s="453"/>
      <c r="Q73" s="453"/>
      <c r="R73" s="370"/>
      <c r="S73" s="371"/>
      <c r="T73" s="372">
        <f ca="1">IF(OFFSET(T73,ROW(T$2)-ROW(T73),0)="TT","TT",IF(OFFSET(T73,0,COLUMN($M73)-COLUMN(T73))="%",ROUND((OFFSET(T73,-2,0)-OFFSET(T73,-19,0))*0.07,2),IF(OFFSET(T73,0,COLUMN($M73)-COLUMN(T73))="V",ROUND(OFFSET(T73,0,-2)*OFFSET(T73,0,-1),2),SUMIF(INDIRECT(ADDRESS(MATCH("START"&amp;OFFSET(T73,0,COLUMN($B73)-COLUMN(T73)),$A:$A,0),$C73+COLUMN($E73)+1)&amp;":"&amp;ADDRESS(MATCH("END"&amp;OFFSET(T73,0,COLUMN($B73)-COLUMN(T73)),$A:$A,0),$C73+COLUMN($E73)+1),TRUE),INDIRECT(ADDRESS(ROW(T73),$C73+COLUMN($E73)),TRUE),INDIRECT(ADDRESS(MATCH("START"&amp;OFFSET(T73,0,COLUMN($B73)-COLUMN(T73)),$A:$A,0),COLUMN(T73))&amp;":"&amp;ADDRESS(MATCH("END"&amp;OFFSET(T73,0,COLUMN($B73)-COLUMN(T73)),$A:$A,0),COLUMN(T73)),TRUE)))))</f>
        <v>0</v>
      </c>
      <c r="U73" s="356">
        <f ca="1">IF(OFFSET(U73,ROW(U$2)-ROW(U73),0)="TT",SUMIF(INDIRECT(ADDRESS(2,COLUMN($Q73)+1) &amp; ":" &amp; ADDRESS(2,COLUMN(U73)-1),TRUE),"TBE",INDIRECT(ADDRESS(ROW(U73), COLUMN($Q73)+1) &amp; ":" &amp; ADDRESS(ROW(U73),COLUMN(U73)-1),TRUE)),IF(OFFSET(U73,ROW(U$2)-ROW(U73),0)="TBE",SUMIF(INDIRECT(ADDRESS(2,MATCH(INT(OFFSET(U73,ROW(U$2)-ROW(U73),-2)),$2:$2,0)) &amp; ":" &amp; ADDRESS(2,COLUMN(U73)-1),TRUE),"T",INDIRECT(ADDRESS(ROW(U73), MATCH(INT(OFFSET(U73,ROW(U$2)-ROW(U73),-2)),$2:$2,0)) &amp; ":" &amp; ADDRESS(ROW(U73),COLUMN(U73)-1),TRUE)),IF(OFFSET(U73,0,COLUMN($M73)-COLUMN(U73))="V",OFFSET(U73,0,-2)*OFFSET(U73,0,-1),"TOTAL")))</f>
        <v>0</v>
      </c>
      <c r="V73" s="370"/>
      <c r="W73" s="371"/>
      <c r="X73" s="372">
        <f ca="1">IF(OFFSET(X73,ROW(X$2)-ROW(X73),0)="TT","TT",IF(OFFSET(X73,0,COLUMN($M73)-COLUMN(X73))="%",ROUND((OFFSET(X73,-2,0)-OFFSET(X73,-19,0))*0.07,2),IF(OFFSET(X73,0,COLUMN($M73)-COLUMN(X73))="V",ROUND(OFFSET(X73,0,-2)*OFFSET(X73,0,-1),2),SUMIF(INDIRECT(ADDRESS(MATCH("START"&amp;OFFSET(X73,0,COLUMN($B73)-COLUMN(X73)),$A:$A,0),$C73+COLUMN($E73)+1)&amp;":"&amp;ADDRESS(MATCH("END"&amp;OFFSET(X73,0,COLUMN($B73)-COLUMN(X73)),$A:$A,0),$C73+COLUMN($E73)+1),TRUE),INDIRECT(ADDRESS(ROW(X73),$C73+COLUMN($E73)),TRUE),INDIRECT(ADDRESS(MATCH("START"&amp;OFFSET(X73,0,COLUMN($B73)-COLUMN(X73)),$A:$A,0),COLUMN(X73))&amp;":"&amp;ADDRESS(MATCH("END"&amp;OFFSET(X73,0,COLUMN($B73)-COLUMN(X73)),$A:$A,0),COLUMN(X73)),TRUE)))))</f>
        <v>0</v>
      </c>
      <c r="Y73" s="356">
        <f ca="1">IF(OFFSET(Y73,ROW(Y$2)-ROW(Y73),0)="TT",SUMIF(INDIRECT(ADDRESS(2,COLUMN($Q73)+1) &amp; ":" &amp; ADDRESS(2,COLUMN(Y73)-1),TRUE),"TBE",INDIRECT(ADDRESS(ROW(Y73), COLUMN($Q73)+1) &amp; ":" &amp; ADDRESS(ROW(Y73),COLUMN(Y73)-1),TRUE)),IF(OFFSET(Y73,ROW(Y$2)-ROW(Y73),0)="TBE",SUMIF(INDIRECT(ADDRESS(2,MATCH(INT(OFFSET(Y73,ROW(Y$2)-ROW(Y73),-2)),$2:$2,0)) &amp; ":" &amp; ADDRESS(2,COLUMN(Y73)-1),TRUE),"T",INDIRECT(ADDRESS(ROW(Y73), MATCH(INT(OFFSET(Y73,ROW(Y$2)-ROW(Y73),-2)),$2:$2,0)) &amp; ":" &amp; ADDRESS(ROW(Y73),COLUMN(Y73)-1),TRUE)),IF(OFFSET(Y73,0,COLUMN($M73)-COLUMN(Y73))="V",OFFSET(Y73,0,-2)*OFFSET(Y73,0,-1),"TOTAL")))</f>
        <v>0</v>
      </c>
      <c r="Z73" s="370"/>
      <c r="AA73" s="371"/>
      <c r="AB73" s="372">
        <f ca="1">IF(OFFSET(AB73,ROW(AB$2)-ROW(AB73),0)="TT","TT",IF(OFFSET(AB73,0,COLUMN($M73)-COLUMN(AB73))="%",ROUND((OFFSET(AB73,-2,0)-OFFSET(AB73,-19,0))*0.07,2),IF(OFFSET(AB73,0,COLUMN($M73)-COLUMN(AB73))="V",ROUND(OFFSET(AB73,0,-2)*OFFSET(AB73,0,-1),2),SUMIF(INDIRECT(ADDRESS(MATCH("START"&amp;OFFSET(AB73,0,COLUMN($B73)-COLUMN(AB73)),$A:$A,0),$C73+COLUMN($E73)+1)&amp;":"&amp;ADDRESS(MATCH("END"&amp;OFFSET(AB73,0,COLUMN($B73)-COLUMN(AB73)),$A:$A,0),$C73+COLUMN($E73)+1),TRUE),INDIRECT(ADDRESS(ROW(AB73),$C73+COLUMN($E73)),TRUE),INDIRECT(ADDRESS(MATCH("START"&amp;OFFSET(AB73,0,COLUMN($B73)-COLUMN(AB73)),$A:$A,0),COLUMN(AB73))&amp;":"&amp;ADDRESS(MATCH("END"&amp;OFFSET(AB73,0,COLUMN($B73)-COLUMN(AB73)),$A:$A,0),COLUMN(AB73)),TRUE)))))</f>
        <v>0</v>
      </c>
      <c r="AC73" s="356">
        <f ca="1">IF(OFFSET(AC73,ROW(AC$2)-ROW(AC73),0)="TT",SUMIF(INDIRECT(ADDRESS(2,COLUMN($Q73)+1) &amp; ":" &amp; ADDRESS(2,COLUMN(AC73)-1),TRUE),"TBE",INDIRECT(ADDRESS(ROW(AC73), COLUMN($Q73)+1) &amp; ":" &amp; ADDRESS(ROW(AC73),COLUMN(AC73)-1),TRUE)),IF(OFFSET(AC73,ROW(AC$2)-ROW(AC73),0)="TBE",SUMIF(INDIRECT(ADDRESS(2,MATCH(INT(OFFSET(AC73,ROW(AC$2)-ROW(AC73),-2)),$2:$2,0)) &amp; ":" &amp; ADDRESS(2,COLUMN(AC73)-1),TRUE),"T",INDIRECT(ADDRESS(ROW(AC73), MATCH(INT(OFFSET(AC73,ROW(AC$2)-ROW(AC73),-2)),$2:$2,0)) &amp; ":" &amp; ADDRESS(ROW(AC73),COLUMN(AC73)-1),TRUE)),IF(OFFSET(AC73,0,COLUMN($M73)-COLUMN(AC73))="V",OFFSET(AC73,0,-2)*OFFSET(AC73,0,-1),"TOTAL")))</f>
        <v>0</v>
      </c>
      <c r="AD73" s="370"/>
      <c r="AE73" s="371"/>
      <c r="AF73" s="372">
        <f ca="1">IF(OFFSET(AF73,ROW(AF$2)-ROW(AF73),0)="TT","TT",IF(OFFSET(AF73,0,COLUMN($M73)-COLUMN(AF73))="%",ROUND((OFFSET(AF73,-2,0)-OFFSET(AF73,-19,0))*0.07,2),IF(OFFSET(AF73,0,COLUMN($M73)-COLUMN(AF73))="V",ROUND(OFFSET(AF73,0,-2)*OFFSET(AF73,0,-1),2),SUMIF(INDIRECT(ADDRESS(MATCH("START"&amp;OFFSET(AF73,0,COLUMN($B73)-COLUMN(AF73)),$A:$A,0),$C73+COLUMN($E73)+1)&amp;":"&amp;ADDRESS(MATCH("END"&amp;OFFSET(AF73,0,COLUMN($B73)-COLUMN(AF73)),$A:$A,0),$C73+COLUMN($E73)+1),TRUE),INDIRECT(ADDRESS(ROW(AF73),$C73+COLUMN($E73)),TRUE),INDIRECT(ADDRESS(MATCH("START"&amp;OFFSET(AF73,0,COLUMN($B73)-COLUMN(AF73)),$A:$A,0),COLUMN(AF73))&amp;":"&amp;ADDRESS(MATCH("END"&amp;OFFSET(AF73,0,COLUMN($B73)-COLUMN(AF73)),$A:$A,0),COLUMN(AF73)),TRUE)))))</f>
        <v>0</v>
      </c>
      <c r="AG73" s="356">
        <f ca="1">IF(OFFSET(AG73,ROW(AG$2)-ROW(AG73),0)="TT",SUMIF(INDIRECT(ADDRESS(2,COLUMN($Q73)+1) &amp; ":" &amp; ADDRESS(2,COLUMN(AG73)-1),TRUE),"TBE",INDIRECT(ADDRESS(ROW(AG73), COLUMN($Q73)+1) &amp; ":" &amp; ADDRESS(ROW(AG73),COLUMN(AG73)-1),TRUE)),IF(OFFSET(AG73,ROW(AG$2)-ROW(AG73),0)="TBE",SUMIF(INDIRECT(ADDRESS(2,MATCH(INT(OFFSET(AG73,ROW(AG$2)-ROW(AG73),-2)),$2:$2,0)) &amp; ":" &amp; ADDRESS(2,COLUMN(AG73)-1),TRUE),"T",INDIRECT(ADDRESS(ROW(AG73), MATCH(INT(OFFSET(AG73,ROW(AG$2)-ROW(AG73),-2)),$2:$2,0)) &amp; ":" &amp; ADDRESS(ROW(AG73),COLUMN(AG73)-1),TRUE)),IF(OFFSET(AG73,0,COLUMN($M73)-COLUMN(AG73))="V",OFFSET(AG73,0,-2)*OFFSET(AG73,0,-1),"TOTAL")))</f>
        <v>0</v>
      </c>
      <c r="AH73" s="370"/>
      <c r="AI73" s="371"/>
      <c r="AJ73" s="372">
        <f ca="1">IF(OFFSET(AJ73,ROW(AJ$2)-ROW(AJ73),0)="TT","TT",IF(OFFSET(AJ73,0,COLUMN($M73)-COLUMN(AJ73))="%",ROUND((OFFSET(AJ73,-2,0)-OFFSET(AJ73,-19,0))*0.07,2),IF(OFFSET(AJ73,0,COLUMN($M73)-COLUMN(AJ73))="V",ROUND(OFFSET(AJ73,0,-2)*OFFSET(AJ73,0,-1),2),SUMIF(INDIRECT(ADDRESS(MATCH("START"&amp;OFFSET(AJ73,0,COLUMN($B73)-COLUMN(AJ73)),$A:$A,0),$C73+COLUMN($E73)+1)&amp;":"&amp;ADDRESS(MATCH("END"&amp;OFFSET(AJ73,0,COLUMN($B73)-COLUMN(AJ73)),$A:$A,0),$C73+COLUMN($E73)+1),TRUE),INDIRECT(ADDRESS(ROW(AJ73),$C73+COLUMN($E73)),TRUE),INDIRECT(ADDRESS(MATCH("START"&amp;OFFSET(AJ73,0,COLUMN($B73)-COLUMN(AJ73)),$A:$A,0),COLUMN(AJ73))&amp;":"&amp;ADDRESS(MATCH("END"&amp;OFFSET(AJ73,0,COLUMN($B73)-COLUMN(AJ73)),$A:$A,0),COLUMN(AJ73)),TRUE)))))</f>
        <v>0</v>
      </c>
      <c r="AK73" s="356">
        <f ca="1">IF(OFFSET(AK73,ROW(AK$2)-ROW(AK73),0)="TT",SUMIF(INDIRECT(ADDRESS(2,COLUMN($Q73)+1) &amp; ":" &amp; ADDRESS(2,COLUMN(AK73)-1),TRUE),"TBE",INDIRECT(ADDRESS(ROW(AK73), COLUMN($Q73)+1) &amp; ":" &amp; ADDRESS(ROW(AK73),COLUMN(AK73)-1),TRUE)),IF(OFFSET(AK73,ROW(AK$2)-ROW(AK73),0)="TBE",SUMIF(INDIRECT(ADDRESS(2,MATCH(INT(OFFSET(AK73,ROW(AK$2)-ROW(AK73),-2)),$2:$2,0)) &amp; ":" &amp; ADDRESS(2,COLUMN(AK73)-1),TRUE),"T",INDIRECT(ADDRESS(ROW(AK73), MATCH(INT(OFFSET(AK73,ROW(AK$2)-ROW(AK73),-2)),$2:$2,0)) &amp; ":" &amp; ADDRESS(ROW(AK73),COLUMN(AK73)-1),TRUE)),IF(OFFSET(AK73,0,COLUMN($M73)-COLUMN(AK73))="V",OFFSET(AK73,0,-2)*OFFSET(AK73,0,-1),"TOTAL")))</f>
        <v>0</v>
      </c>
      <c r="AL73" s="370"/>
      <c r="AM73" s="371"/>
      <c r="AN73" s="372">
        <f ca="1">IF(OFFSET(AN73,ROW(AN$2)-ROW(AN73),0)="TT","TT",IF(OFFSET(AN73,0,COLUMN($M73)-COLUMN(AN73))="%",ROUND((OFFSET(AN73,-2,0)-OFFSET(AN73,-19,0))*0.07,2),IF(OFFSET(AN73,0,COLUMN($M73)-COLUMN(AN73))="V",ROUND(OFFSET(AN73,0,-2)*OFFSET(AN73,0,-1),2),SUMIF(INDIRECT(ADDRESS(MATCH("START"&amp;OFFSET(AN73,0,COLUMN($B73)-COLUMN(AN73)),$A:$A,0),$C73+COLUMN($E73)+1)&amp;":"&amp;ADDRESS(MATCH("END"&amp;OFFSET(AN73,0,COLUMN($B73)-COLUMN(AN73)),$A:$A,0),$C73+COLUMN($E73)+1),TRUE),INDIRECT(ADDRESS(ROW(AN73),$C73+COLUMN($E73)),TRUE),INDIRECT(ADDRESS(MATCH("START"&amp;OFFSET(AN73,0,COLUMN($B73)-COLUMN(AN73)),$A:$A,0),COLUMN(AN73))&amp;":"&amp;ADDRESS(MATCH("END"&amp;OFFSET(AN73,0,COLUMN($B73)-COLUMN(AN73)),$A:$A,0),COLUMN(AN73)),TRUE)))))</f>
        <v>0</v>
      </c>
      <c r="AO73" s="356">
        <f ca="1">IF(OFFSET(AO73,ROW(AO$2)-ROW(AO73),0)="TT",SUMIF(INDIRECT(ADDRESS(2,COLUMN($Q73)+1) &amp; ":" &amp; ADDRESS(2,COLUMN(AO73)-1),TRUE),"TBE",INDIRECT(ADDRESS(ROW(AO73), COLUMN($Q73)+1) &amp; ":" &amp; ADDRESS(ROW(AO73),COLUMN(AO73)-1),TRUE)),IF(OFFSET(AO73,ROW(AO$2)-ROW(AO73),0)="TBE",SUMIF(INDIRECT(ADDRESS(2,MATCH(INT(OFFSET(AO73,ROW(AO$2)-ROW(AO73),-2)),$2:$2,0)) &amp; ":" &amp; ADDRESS(2,COLUMN(AO73)-1),TRUE),"T",INDIRECT(ADDRESS(ROW(AO73), MATCH(INT(OFFSET(AO73,ROW(AO$2)-ROW(AO73),-2)),$2:$2,0)) &amp; ":" &amp; ADDRESS(ROW(AO73),COLUMN(AO73)-1),TRUE)),IF(OFFSET(AO73,0,COLUMN($M73)-COLUMN(AO73))="V",OFFSET(AO73,0,-2)*OFFSET(AO73,0,-1),"TOTAL")))</f>
        <v>0</v>
      </c>
      <c r="AP73" s="370"/>
      <c r="AQ73" s="371"/>
      <c r="AR73" s="372">
        <f ca="1">IF(OFFSET(AR73,ROW(AR$2)-ROW(AR73),0)="TT","TT",IF(OFFSET(AR73,0,COLUMN($M73)-COLUMN(AR73))="%",ROUND((OFFSET(AR73,-2,0)-OFFSET(AR73,-19,0))*0.07,2),IF(OFFSET(AR73,0,COLUMN($M73)-COLUMN(AR73))="V",ROUND(OFFSET(AR73,0,-2)*OFFSET(AR73,0,-1),2),SUMIF(INDIRECT(ADDRESS(MATCH("START"&amp;OFFSET(AR73,0,COLUMN($B73)-COLUMN(AR73)),$A:$A,0),$C73+COLUMN($E73)+1)&amp;":"&amp;ADDRESS(MATCH("END"&amp;OFFSET(AR73,0,COLUMN($B73)-COLUMN(AR73)),$A:$A,0),$C73+COLUMN($E73)+1),TRUE),INDIRECT(ADDRESS(ROW(AR73),$C73+COLUMN($E73)),TRUE),INDIRECT(ADDRESS(MATCH("START"&amp;OFFSET(AR73,0,COLUMN($B73)-COLUMN(AR73)),$A:$A,0),COLUMN(AR73))&amp;":"&amp;ADDRESS(MATCH("END"&amp;OFFSET(AR73,0,COLUMN($B73)-COLUMN(AR73)),$A:$A,0),COLUMN(AR73)),TRUE)))))</f>
        <v>0</v>
      </c>
      <c r="AS73" s="356">
        <f ca="1">IF(OFFSET(AS73,ROW(AS$2)-ROW(AS73),0)="TT",SUMIF(INDIRECT(ADDRESS(2,COLUMN($Q73)+1) &amp; ":" &amp; ADDRESS(2,COLUMN(AS73)-1),TRUE),"TBE",INDIRECT(ADDRESS(ROW(AS73), COLUMN($Q73)+1) &amp; ":" &amp; ADDRESS(ROW(AS73),COLUMN(AS73)-1),TRUE)),IF(OFFSET(AS73,ROW(AS$2)-ROW(AS73),0)="TBE",SUMIF(INDIRECT(ADDRESS(2,MATCH(INT(OFFSET(AS73,ROW(AS$2)-ROW(AS73),-2)),$2:$2,0)) &amp; ":" &amp; ADDRESS(2,COLUMN(AS73)-1),TRUE),"T",INDIRECT(ADDRESS(ROW(AS73), MATCH(INT(OFFSET(AS73,ROW(AS$2)-ROW(AS73),-2)),$2:$2,0)) &amp; ":" &amp; ADDRESS(ROW(AS73),COLUMN(AS73)-1),TRUE)),IF(OFFSET(AS73,0,COLUMN($M73)-COLUMN(AS73))="V",OFFSET(AS73,0,-2)*OFFSET(AS73,0,-1),"TOTAL")))</f>
        <v>0</v>
      </c>
      <c r="AT73" s="370"/>
      <c r="AU73" s="371"/>
      <c r="AV73" s="372">
        <f ca="1">IF(OFFSET(AV73,ROW(AV$2)-ROW(AV73),0)="TT","TT",IF(OFFSET(AV73,0,COLUMN($M73)-COLUMN(AV73))="%",ROUND((OFFSET(AV73,-2,0)-OFFSET(AV73,-19,0))*0.07,2),IF(OFFSET(AV73,0,COLUMN($M73)-COLUMN(AV73))="V",ROUND(OFFSET(AV73,0,-2)*OFFSET(AV73,0,-1),2),SUMIF(INDIRECT(ADDRESS(MATCH("START"&amp;OFFSET(AV73,0,COLUMN($B73)-COLUMN(AV73)),$A:$A,0),$C73+COLUMN($E73)+1)&amp;":"&amp;ADDRESS(MATCH("END"&amp;OFFSET(AV73,0,COLUMN($B73)-COLUMN(AV73)),$A:$A,0),$C73+COLUMN($E73)+1),TRUE),INDIRECT(ADDRESS(ROW(AV73),$C73+COLUMN($E73)),TRUE),INDIRECT(ADDRESS(MATCH("START"&amp;OFFSET(AV73,0,COLUMN($B73)-COLUMN(AV73)),$A:$A,0),COLUMN(AV73))&amp;":"&amp;ADDRESS(MATCH("END"&amp;OFFSET(AV73,0,COLUMN($B73)-COLUMN(AV73)),$A:$A,0),COLUMN(AV73)),TRUE)))))</f>
        <v>0</v>
      </c>
      <c r="AW73" s="356">
        <f ca="1">IF(OFFSET(AW73,ROW(AW$2)-ROW(AW73),0)="TT",SUMIF(INDIRECT(ADDRESS(2,COLUMN($Q73)+1) &amp; ":" &amp; ADDRESS(2,COLUMN(AW73)-1),TRUE),"TBE",INDIRECT(ADDRESS(ROW(AW73), COLUMN($Q73)+1) &amp; ":" &amp; ADDRESS(ROW(AW73),COLUMN(AW73)-1),TRUE)),IF(OFFSET(AW73,ROW(AW$2)-ROW(AW73),0)="TBE",SUMIF(INDIRECT(ADDRESS(2,MATCH(INT(OFFSET(AW73,ROW(AW$2)-ROW(AW73),-2)),$2:$2,0)) &amp; ":" &amp; ADDRESS(2,COLUMN(AW73)-1),TRUE),"T",INDIRECT(ADDRESS(ROW(AW73), MATCH(INT(OFFSET(AW73,ROW(AW$2)-ROW(AW73),-2)),$2:$2,0)) &amp; ":" &amp; ADDRESS(ROW(AW73),COLUMN(AW73)-1),TRUE)),IF(OFFSET(AW73,0,COLUMN($M73)-COLUMN(AW73))="V",OFFSET(AW73,0,-2)*OFFSET(AW73,0,-1),"TOTAL")))</f>
        <v>0</v>
      </c>
      <c r="AX73" s="370"/>
      <c r="AY73" s="371"/>
      <c r="AZ73" s="372">
        <f ca="1">IF(OFFSET(AZ73,ROW(AZ$2)-ROW(AZ73),0)="TT","TT",IF(OFFSET(AZ73,0,COLUMN($M73)-COLUMN(AZ73))="%",ROUND((OFFSET(AZ73,-2,0)-OFFSET(AZ73,-19,0))*0.07,2),IF(OFFSET(AZ73,0,COLUMN($M73)-COLUMN(AZ73))="V",ROUND(OFFSET(AZ73,0,-2)*OFFSET(AZ73,0,-1),2),SUMIF(INDIRECT(ADDRESS(MATCH("START"&amp;OFFSET(AZ73,0,COLUMN($B73)-COLUMN(AZ73)),$A:$A,0),$C73+COLUMN($E73)+1)&amp;":"&amp;ADDRESS(MATCH("END"&amp;OFFSET(AZ73,0,COLUMN($B73)-COLUMN(AZ73)),$A:$A,0),$C73+COLUMN($E73)+1),TRUE),INDIRECT(ADDRESS(ROW(AZ73),$C73+COLUMN($E73)),TRUE),INDIRECT(ADDRESS(MATCH("START"&amp;OFFSET(AZ73,0,COLUMN($B73)-COLUMN(AZ73)),$A:$A,0),COLUMN(AZ73))&amp;":"&amp;ADDRESS(MATCH("END"&amp;OFFSET(AZ73,0,COLUMN($B73)-COLUMN(AZ73)),$A:$A,0),COLUMN(AZ73)),TRUE)))))</f>
        <v>0</v>
      </c>
      <c r="BA73" s="356">
        <f ca="1">IF(OFFSET(BA73,ROW(BA$2)-ROW(BA73),0)="TT",SUMIF(INDIRECT(ADDRESS(2,COLUMN($Q73)+1) &amp; ":" &amp; ADDRESS(2,COLUMN(BA73)-1),TRUE),"TBE",INDIRECT(ADDRESS(ROW(BA73), COLUMN($Q73)+1) &amp; ":" &amp; ADDRESS(ROW(BA73),COLUMN(BA73)-1),TRUE)),IF(OFFSET(BA73,ROW(BA$2)-ROW(BA73),0)="TBE",SUMIF(INDIRECT(ADDRESS(2,MATCH(INT(OFFSET(BA73,ROW(BA$2)-ROW(BA73),-2)),$2:$2,0)) &amp; ":" &amp; ADDRESS(2,COLUMN(BA73)-1),TRUE),"T",INDIRECT(ADDRESS(ROW(BA73), MATCH(INT(OFFSET(BA73,ROW(BA$2)-ROW(BA73),-2)),$2:$2,0)) &amp; ":" &amp; ADDRESS(ROW(BA73),COLUMN(BA73)-1),TRUE)),IF(OFFSET(BA73,0,COLUMN($M73)-COLUMN(BA73))="V",OFFSET(BA73,0,-2)*OFFSET(BA73,0,-1),"TOTAL")))</f>
        <v>0</v>
      </c>
      <c r="BB73" s="370"/>
      <c r="BC73" s="371"/>
      <c r="BD73" s="372">
        <f ca="1">IF(OFFSET(BD73,ROW(BD$2)-ROW(BD73),0)="TT","TT",IF(OFFSET(BD73,0,COLUMN($M73)-COLUMN(BD73))="%",ROUND((OFFSET(BD73,-2,0)-OFFSET(BD73,-19,0))*0.07,2),IF(OFFSET(BD73,0,COLUMN($M73)-COLUMN(BD73))="V",ROUND(OFFSET(BD73,0,-2)*OFFSET(BD73,0,-1),2),SUMIF(INDIRECT(ADDRESS(MATCH("START"&amp;OFFSET(BD73,0,COLUMN($B73)-COLUMN(BD73)),$A:$A,0),$C73+COLUMN($E73)+1)&amp;":"&amp;ADDRESS(MATCH("END"&amp;OFFSET(BD73,0,COLUMN($B73)-COLUMN(BD73)),$A:$A,0),$C73+COLUMN($E73)+1),TRUE),INDIRECT(ADDRESS(ROW(BD73),$C73+COLUMN($E73)),TRUE),INDIRECT(ADDRESS(MATCH("START"&amp;OFFSET(BD73,0,COLUMN($B73)-COLUMN(BD73)),$A:$A,0),COLUMN(BD73))&amp;":"&amp;ADDRESS(MATCH("END"&amp;OFFSET(BD73,0,COLUMN($B73)-COLUMN(BD73)),$A:$A,0),COLUMN(BD73)),TRUE)))))</f>
        <v>0</v>
      </c>
      <c r="BE73" s="356">
        <f ca="1">IF(OFFSET(BE73,ROW(BE$2)-ROW(BE73),0)="TT",SUMIF(INDIRECT(ADDRESS(2,COLUMN($Q73)+1) &amp; ":" &amp; ADDRESS(2,COLUMN(BE73)-1),TRUE),"TBE",INDIRECT(ADDRESS(ROW(BE73), COLUMN($Q73)+1) &amp; ":" &amp; ADDRESS(ROW(BE73),COLUMN(BE73)-1),TRUE)),IF(OFFSET(BE73,ROW(BE$2)-ROW(BE73),0)="TBE",SUMIF(INDIRECT(ADDRESS(2,MATCH(INT(OFFSET(BE73,ROW(BE$2)-ROW(BE73),-2)),$2:$2,0)) &amp; ":" &amp; ADDRESS(2,COLUMN(BE73)-1),TRUE),"T",INDIRECT(ADDRESS(ROW(BE73), MATCH(INT(OFFSET(BE73,ROW(BE$2)-ROW(BE73),-2)),$2:$2,0)) &amp; ":" &amp; ADDRESS(ROW(BE73),COLUMN(BE73)-1),TRUE)),IF(OFFSET(BE73,0,COLUMN($M73)-COLUMN(BE73))="V",OFFSET(BE73,0,-2)*OFFSET(BE73,0,-1),"TOTAL")))</f>
        <v>0</v>
      </c>
      <c r="BF73" s="370"/>
      <c r="BG73" s="371"/>
      <c r="BH73" s="372">
        <f ca="1">IF(OFFSET(BH73,ROW(BH$2)-ROW(BH73),0)="TT","TT",IF(OFFSET(BH73,0,COLUMN($M73)-COLUMN(BH73))="%",ROUND((OFFSET(BH73,-2,0)-OFFSET(BH73,-19,0))*0.07,2),IF(OFFSET(BH73,0,COLUMN($M73)-COLUMN(BH73))="V",ROUND(OFFSET(BH73,0,-2)*OFFSET(BH73,0,-1),2),SUMIF(INDIRECT(ADDRESS(MATCH("START"&amp;OFFSET(BH73,0,COLUMN($B73)-COLUMN(BH73)),$A:$A,0),$C73+COLUMN($E73)+1)&amp;":"&amp;ADDRESS(MATCH("END"&amp;OFFSET(BH73,0,COLUMN($B73)-COLUMN(BH73)),$A:$A,0),$C73+COLUMN($E73)+1),TRUE),INDIRECT(ADDRESS(ROW(BH73),$C73+COLUMN($E73)),TRUE),INDIRECT(ADDRESS(MATCH("START"&amp;OFFSET(BH73,0,COLUMN($B73)-COLUMN(BH73)),$A:$A,0),COLUMN(BH73))&amp;":"&amp;ADDRESS(MATCH("END"&amp;OFFSET(BH73,0,COLUMN($B73)-COLUMN(BH73)),$A:$A,0),COLUMN(BH73)),TRUE)))))</f>
        <v>0</v>
      </c>
      <c r="BI73" s="356">
        <f ca="1">IF(OFFSET(BI73,ROW(BI$2)-ROW(BI73),0)="TT",SUMIF(INDIRECT(ADDRESS(2,COLUMN($Q73)+1) &amp; ":" &amp; ADDRESS(2,COLUMN(BI73)-1),TRUE),"TBE",INDIRECT(ADDRESS(ROW(BI73), COLUMN($Q73)+1) &amp; ":" &amp; ADDRESS(ROW(BI73),COLUMN(BI73)-1),TRUE)),IF(OFFSET(BI73,ROW(BI$2)-ROW(BI73),0)="TBE",SUMIF(INDIRECT(ADDRESS(2,MATCH(INT(OFFSET(BI73,ROW(BI$2)-ROW(BI73),-2)),$2:$2,0)) &amp; ":" &amp; ADDRESS(2,COLUMN(BI73)-1),TRUE),"T",INDIRECT(ADDRESS(ROW(BI73), MATCH(INT(OFFSET(BI73,ROW(BI$2)-ROW(BI73),-2)),$2:$2,0)) &amp; ":" &amp; ADDRESS(ROW(BI73),COLUMN(BI73)-1),TRUE)),IF(OFFSET(BI73,0,COLUMN($M73)-COLUMN(BI73))="V",OFFSET(BI73,0,-2)*OFFSET(BI73,0,-1),"TOTAL")))</f>
        <v>0</v>
      </c>
      <c r="BJ73" s="370"/>
      <c r="BK73" s="371"/>
      <c r="BL73" s="372">
        <f ca="1">IF(OFFSET(BL73,ROW(BL$2)-ROW(BL73),0)="TT","TT",IF(OFFSET(BL73,0,COLUMN($M73)-COLUMN(BL73))="%",ROUND((OFFSET(BL73,-2,0)-OFFSET(BL73,-19,0))*0.07,2),IF(OFFSET(BL73,0,COLUMN($M73)-COLUMN(BL73))="V",ROUND(OFFSET(BL73,0,-2)*OFFSET(BL73,0,-1),2),SUMIF(INDIRECT(ADDRESS(MATCH("START"&amp;OFFSET(BL73,0,COLUMN($B73)-COLUMN(BL73)),$A:$A,0),$C73+COLUMN($E73)+1)&amp;":"&amp;ADDRESS(MATCH("END"&amp;OFFSET(BL73,0,COLUMN($B73)-COLUMN(BL73)),$A:$A,0),$C73+COLUMN($E73)+1),TRUE),INDIRECT(ADDRESS(ROW(BL73),$C73+COLUMN($E73)),TRUE),INDIRECT(ADDRESS(MATCH("START"&amp;OFFSET(BL73,0,COLUMN($B73)-COLUMN(BL73)),$A:$A,0),COLUMN(BL73))&amp;":"&amp;ADDRESS(MATCH("END"&amp;OFFSET(BL73,0,COLUMN($B73)-COLUMN(BL73)),$A:$A,0),COLUMN(BL73)),TRUE)))))</f>
        <v>0</v>
      </c>
      <c r="BM73" s="356">
        <f ca="1">IF(OFFSET(BM73,ROW(BM$2)-ROW(BM73),0)="TT",SUMIF(INDIRECT(ADDRESS(2,COLUMN($Q73)+1) &amp; ":" &amp; ADDRESS(2,COLUMN(BM73)-1),TRUE),"TBE",INDIRECT(ADDRESS(ROW(BM73), COLUMN($Q73)+1) &amp; ":" &amp; ADDRESS(ROW(BM73),COLUMN(BM73)-1),TRUE)),IF(OFFSET(BM73,ROW(BM$2)-ROW(BM73),0)="TBE",SUMIF(INDIRECT(ADDRESS(2,MATCH(INT(OFFSET(BM73,ROW(BM$2)-ROW(BM73),-2)),$2:$2,0)) &amp; ":" &amp; ADDRESS(2,COLUMN(BM73)-1),TRUE),"T",INDIRECT(ADDRESS(ROW(BM73), MATCH(INT(OFFSET(BM73,ROW(BM$2)-ROW(BM73),-2)),$2:$2,0)) &amp; ":" &amp; ADDRESS(ROW(BM73),COLUMN(BM73)-1),TRUE)),IF(OFFSET(BM73,0,COLUMN($M73)-COLUMN(BM73))="V",OFFSET(BM73,0,-2)*OFFSET(BM73,0,-1),"TOTAL")))</f>
        <v>0</v>
      </c>
      <c r="BN73" s="356">
        <f ca="1">IF(OFFSET(BN73,ROW(BN$2)-ROW(BN73),0)="TT",SUMIF(INDIRECT(ADDRESS(2,COLUMN($Q73)+1) &amp; ":" &amp; ADDRESS(2,COLUMN(BN73)-1),TRUE),"TBE",INDIRECT(ADDRESS(ROW(BN73), COLUMN($Q73)+1) &amp; ":" &amp; ADDRESS(ROW(BN73),COLUMN(BN73)-1),TRUE)),IF(OFFSET(BN73,ROW(BN$2)-ROW(BN73),0)="TBE",SUMIF(INDIRECT(ADDRESS(2,MATCH(INT(OFFSET(BN73,ROW(BN$2)-ROW(BN73),-2)),$2:$2,0)) &amp; ":" &amp; ADDRESS(2,COLUMN(BN73)-1),TRUE),"T",INDIRECT(ADDRESS(ROW(BN73), MATCH(INT(OFFSET(BN73,ROW(BN$2)-ROW(BN73),-2)),$2:$2,0)) &amp; ":" &amp; ADDRESS(ROW(BN73),COLUMN(BN73)-1),TRUE)),IF(OFFSET(BN73,0,COLUMN($M73)-COLUMN(BN73))="V",OFFSET(BN73,0,-2)*OFFSET(BN73,0,-1),"TOTAL")))</f>
        <v>0</v>
      </c>
    </row>
    <row r="74" spans="1:68">
      <c r="A74" s="221" t="str">
        <f t="shared" ca="1" si="62"/>
        <v>WP002</v>
      </c>
      <c r="B74" s="221" t="str">
        <f t="shared" ca="1" si="63"/>
        <v>WP002</v>
      </c>
      <c r="C74" s="221">
        <v>1</v>
      </c>
      <c r="N74" s="461"/>
      <c r="O74" s="259"/>
      <c r="P74" s="389"/>
      <c r="Q74" s="389"/>
      <c r="R74" s="361"/>
      <c r="S74" s="362"/>
      <c r="T74" s="363"/>
      <c r="U74" s="360"/>
      <c r="V74" s="361"/>
      <c r="W74" s="362"/>
      <c r="X74" s="363"/>
      <c r="Y74" s="360"/>
      <c r="Z74" s="361"/>
      <c r="AA74" s="362"/>
      <c r="AB74" s="363"/>
      <c r="AC74" s="360"/>
      <c r="AD74" s="361"/>
      <c r="AE74" s="362"/>
      <c r="AF74" s="363"/>
      <c r="AG74" s="360"/>
      <c r="AH74" s="361"/>
      <c r="AI74" s="362"/>
      <c r="AJ74" s="363"/>
      <c r="AK74" s="360"/>
      <c r="AL74" s="361"/>
      <c r="AM74" s="362"/>
      <c r="AN74" s="363"/>
      <c r="AO74" s="360"/>
      <c r="AP74" s="361"/>
      <c r="AQ74" s="362"/>
      <c r="AR74" s="363"/>
      <c r="AS74" s="360"/>
      <c r="AT74" s="361"/>
      <c r="AU74" s="362"/>
      <c r="AV74" s="363"/>
      <c r="AW74" s="360"/>
      <c r="AX74" s="361"/>
      <c r="AY74" s="362"/>
      <c r="AZ74" s="363"/>
      <c r="BA74" s="360"/>
      <c r="BB74" s="361"/>
      <c r="BC74" s="362"/>
      <c r="BD74" s="363"/>
      <c r="BE74" s="360"/>
      <c r="BF74" s="361"/>
      <c r="BG74" s="362"/>
      <c r="BH74" s="363"/>
      <c r="BI74" s="360"/>
      <c r="BJ74" s="361"/>
      <c r="BK74" s="362"/>
      <c r="BL74" s="363"/>
      <c r="BM74" s="360"/>
      <c r="BN74" s="360"/>
    </row>
    <row r="75" spans="1:68" ht="12.75" thickBot="1">
      <c r="A75" s="221" t="str">
        <f t="shared" ca="1" si="62"/>
        <v>ENDWP002</v>
      </c>
      <c r="B75" s="221" t="str">
        <f t="shared" ca="1" si="63"/>
        <v>WP002</v>
      </c>
      <c r="C75" s="221">
        <v>0</v>
      </c>
      <c r="D75" s="221" t="s">
        <v>135</v>
      </c>
      <c r="E75" s="221" t="s">
        <v>130</v>
      </c>
      <c r="M75" s="221" t="s">
        <v>46</v>
      </c>
      <c r="N75" s="462"/>
      <c r="O75" s="454" t="str">
        <f ca="1">"TOTAL COSTS (A+B+C+D+E) - " &amp; OFFSET(O75,-26,0)</f>
        <v xml:space="preserve">TOTAL COSTS (A+B+C+D+E) - </v>
      </c>
      <c r="P75" s="455"/>
      <c r="Q75" s="455"/>
      <c r="R75" s="373"/>
      <c r="S75" s="374"/>
      <c r="T75" s="375">
        <f t="shared" ca="1" si="76"/>
        <v>0</v>
      </c>
      <c r="U75" s="376">
        <f ca="1">IF(OFFSET(U75,ROW(U$2)-ROW(U75),0)="TT",SUMIF(INDIRECT(ADDRESS(2,COLUMN($Q75)+1) &amp; ":" &amp; ADDRESS(2,COLUMN(U75)-1),TRUE),"TBE",INDIRECT(ADDRESS(ROW(U75), COLUMN($Q75)+1) &amp; ":" &amp; ADDRESS(ROW(U75),COLUMN(U75)-1),TRUE)),IF(OFFSET(U75,ROW(U$2)-ROW(U75),0)="TBE",SUMIF(INDIRECT(ADDRESS(2,MATCH(INT(OFFSET(U75,ROW(U$2)-ROW(U75),-2)),$2:$2,0)) &amp; ":" &amp; ADDRESS(2,COLUMN(U75)-1),TRUE),"T",INDIRECT(ADDRESS(ROW(U75), MATCH(INT(OFFSET(U75,ROW(U$2)-ROW(U75),-2)),$2:$2,0)) &amp; ":" &amp; ADDRESS(ROW(U75),COLUMN(U75)-1),TRUE)),IF(OFFSET(U75,0,COLUMN($M75)-COLUMN(U75))="V",OFFSET(U75,0,-2)*OFFSET(U75,0,-1),"TOTAL")))</f>
        <v>0</v>
      </c>
      <c r="V75" s="373"/>
      <c r="W75" s="374"/>
      <c r="X75" s="375">
        <f t="shared" ca="1" si="77"/>
        <v>0</v>
      </c>
      <c r="Y75" s="376">
        <f ca="1">IF(OFFSET(Y75,ROW(Y$2)-ROW(Y75),0)="TT",SUMIF(INDIRECT(ADDRESS(2,COLUMN($Q75)+1) &amp; ":" &amp; ADDRESS(2,COLUMN(Y75)-1),TRUE),"TBE",INDIRECT(ADDRESS(ROW(Y75), COLUMN($Q75)+1) &amp; ":" &amp; ADDRESS(ROW(Y75),COLUMN(Y75)-1),TRUE)),IF(OFFSET(Y75,ROW(Y$2)-ROW(Y75),0)="TBE",SUMIF(INDIRECT(ADDRESS(2,MATCH(INT(OFFSET(Y75,ROW(Y$2)-ROW(Y75),-2)),$2:$2,0)) &amp; ":" &amp; ADDRESS(2,COLUMN(Y75)-1),TRUE),"T",INDIRECT(ADDRESS(ROW(Y75), MATCH(INT(OFFSET(Y75,ROW(Y$2)-ROW(Y75),-2)),$2:$2,0)) &amp; ":" &amp; ADDRESS(ROW(Y75),COLUMN(Y75)-1),TRUE)),IF(OFFSET(Y75,0,COLUMN($M75)-COLUMN(Y75))="V",OFFSET(Y75,0,-2)*OFFSET(Y75,0,-1),"TOTAL")))</f>
        <v>0</v>
      </c>
      <c r="Z75" s="373"/>
      <c r="AA75" s="374"/>
      <c r="AB75" s="375">
        <f t="shared" ca="1" si="78"/>
        <v>0</v>
      </c>
      <c r="AC75" s="376">
        <f ca="1">IF(OFFSET(AC75,ROW(AC$2)-ROW(AC75),0)="TT",SUMIF(INDIRECT(ADDRESS(2,COLUMN($Q75)+1) &amp; ":" &amp; ADDRESS(2,COLUMN(AC75)-1),TRUE),"TBE",INDIRECT(ADDRESS(ROW(AC75), COLUMN($Q75)+1) &amp; ":" &amp; ADDRESS(ROW(AC75),COLUMN(AC75)-1),TRUE)),IF(OFFSET(AC75,ROW(AC$2)-ROW(AC75),0)="TBE",SUMIF(INDIRECT(ADDRESS(2,MATCH(INT(OFFSET(AC75,ROW(AC$2)-ROW(AC75),-2)),$2:$2,0)) &amp; ":" &amp; ADDRESS(2,COLUMN(AC75)-1),TRUE),"T",INDIRECT(ADDRESS(ROW(AC75), MATCH(INT(OFFSET(AC75,ROW(AC$2)-ROW(AC75),-2)),$2:$2,0)) &amp; ":" &amp; ADDRESS(ROW(AC75),COLUMN(AC75)-1),TRUE)),IF(OFFSET(AC75,0,COLUMN($M75)-COLUMN(AC75))="V",OFFSET(AC75,0,-2)*OFFSET(AC75,0,-1),"TOTAL")))</f>
        <v>0</v>
      </c>
      <c r="AD75" s="373"/>
      <c r="AE75" s="374"/>
      <c r="AF75" s="375">
        <f t="shared" ca="1" si="79"/>
        <v>0</v>
      </c>
      <c r="AG75" s="376">
        <f ca="1">IF(OFFSET(AG75,ROW(AG$2)-ROW(AG75),0)="TT",SUMIF(INDIRECT(ADDRESS(2,COLUMN($Q75)+1) &amp; ":" &amp; ADDRESS(2,COLUMN(AG75)-1),TRUE),"TBE",INDIRECT(ADDRESS(ROW(AG75), COLUMN($Q75)+1) &amp; ":" &amp; ADDRESS(ROW(AG75),COLUMN(AG75)-1),TRUE)),IF(OFFSET(AG75,ROW(AG$2)-ROW(AG75),0)="TBE",SUMIF(INDIRECT(ADDRESS(2,MATCH(INT(OFFSET(AG75,ROW(AG$2)-ROW(AG75),-2)),$2:$2,0)) &amp; ":" &amp; ADDRESS(2,COLUMN(AG75)-1),TRUE),"T",INDIRECT(ADDRESS(ROW(AG75), MATCH(INT(OFFSET(AG75,ROW(AG$2)-ROW(AG75),-2)),$2:$2,0)) &amp; ":" &amp; ADDRESS(ROW(AG75),COLUMN(AG75)-1),TRUE)),IF(OFFSET(AG75,0,COLUMN($M75)-COLUMN(AG75))="V",OFFSET(AG75,0,-2)*OFFSET(AG75,0,-1),"TOTAL")))</f>
        <v>0</v>
      </c>
      <c r="AH75" s="373"/>
      <c r="AI75" s="374"/>
      <c r="AJ75" s="375">
        <f t="shared" ca="1" si="80"/>
        <v>0</v>
      </c>
      <c r="AK75" s="376">
        <f ca="1">IF(OFFSET(AK75,ROW(AK$2)-ROW(AK75),0)="TT",SUMIF(INDIRECT(ADDRESS(2,COLUMN($Q75)+1) &amp; ":" &amp; ADDRESS(2,COLUMN(AK75)-1),TRUE),"TBE",INDIRECT(ADDRESS(ROW(AK75), COLUMN($Q75)+1) &amp; ":" &amp; ADDRESS(ROW(AK75),COLUMN(AK75)-1),TRUE)),IF(OFFSET(AK75,ROW(AK$2)-ROW(AK75),0)="TBE",SUMIF(INDIRECT(ADDRESS(2,MATCH(INT(OFFSET(AK75,ROW(AK$2)-ROW(AK75),-2)),$2:$2,0)) &amp; ":" &amp; ADDRESS(2,COLUMN(AK75)-1),TRUE),"T",INDIRECT(ADDRESS(ROW(AK75), MATCH(INT(OFFSET(AK75,ROW(AK$2)-ROW(AK75),-2)),$2:$2,0)) &amp; ":" &amp; ADDRESS(ROW(AK75),COLUMN(AK75)-1),TRUE)),IF(OFFSET(AK75,0,COLUMN($M75)-COLUMN(AK75))="V",OFFSET(AK75,0,-2)*OFFSET(AK75,0,-1),"TOTAL")))</f>
        <v>0</v>
      </c>
      <c r="AL75" s="373"/>
      <c r="AM75" s="374"/>
      <c r="AN75" s="375">
        <f t="shared" ca="1" si="81"/>
        <v>0</v>
      </c>
      <c r="AO75" s="376">
        <f ca="1">IF(OFFSET(AO75,ROW(AO$2)-ROW(AO75),0)="TT",SUMIF(INDIRECT(ADDRESS(2,COLUMN($Q75)+1) &amp; ":" &amp; ADDRESS(2,COLUMN(AO75)-1),TRUE),"TBE",INDIRECT(ADDRESS(ROW(AO75), COLUMN($Q75)+1) &amp; ":" &amp; ADDRESS(ROW(AO75),COLUMN(AO75)-1),TRUE)),IF(OFFSET(AO75,ROW(AO$2)-ROW(AO75),0)="TBE",SUMIF(INDIRECT(ADDRESS(2,MATCH(INT(OFFSET(AO75,ROW(AO$2)-ROW(AO75),-2)),$2:$2,0)) &amp; ":" &amp; ADDRESS(2,COLUMN(AO75)-1),TRUE),"T",INDIRECT(ADDRESS(ROW(AO75), MATCH(INT(OFFSET(AO75,ROW(AO$2)-ROW(AO75),-2)),$2:$2,0)) &amp; ":" &amp; ADDRESS(ROW(AO75),COLUMN(AO75)-1),TRUE)),IF(OFFSET(AO75,0,COLUMN($M75)-COLUMN(AO75))="V",OFFSET(AO75,0,-2)*OFFSET(AO75,0,-1),"TOTAL")))</f>
        <v>0</v>
      </c>
      <c r="AP75" s="373"/>
      <c r="AQ75" s="374"/>
      <c r="AR75" s="375">
        <f t="shared" ca="1" si="82"/>
        <v>0</v>
      </c>
      <c r="AS75" s="376">
        <f ca="1">IF(OFFSET(AS75,ROW(AS$2)-ROW(AS75),0)="TT",SUMIF(INDIRECT(ADDRESS(2,COLUMN($Q75)+1) &amp; ":" &amp; ADDRESS(2,COLUMN(AS75)-1),TRUE),"TBE",INDIRECT(ADDRESS(ROW(AS75), COLUMN($Q75)+1) &amp; ":" &amp; ADDRESS(ROW(AS75),COLUMN(AS75)-1),TRUE)),IF(OFFSET(AS75,ROW(AS$2)-ROW(AS75),0)="TBE",SUMIF(INDIRECT(ADDRESS(2,MATCH(INT(OFFSET(AS75,ROW(AS$2)-ROW(AS75),-2)),$2:$2,0)) &amp; ":" &amp; ADDRESS(2,COLUMN(AS75)-1),TRUE),"T",INDIRECT(ADDRESS(ROW(AS75), MATCH(INT(OFFSET(AS75,ROW(AS$2)-ROW(AS75),-2)),$2:$2,0)) &amp; ":" &amp; ADDRESS(ROW(AS75),COLUMN(AS75)-1),TRUE)),IF(OFFSET(AS75,0,COLUMN($M75)-COLUMN(AS75))="V",OFFSET(AS75,0,-2)*OFFSET(AS75,0,-1),"TOTAL")))</f>
        <v>0</v>
      </c>
      <c r="AT75" s="373"/>
      <c r="AU75" s="374"/>
      <c r="AV75" s="375">
        <f t="shared" ca="1" si="83"/>
        <v>0</v>
      </c>
      <c r="AW75" s="376">
        <f ca="1">IF(OFFSET(AW75,ROW(AW$2)-ROW(AW75),0)="TT",SUMIF(INDIRECT(ADDRESS(2,COLUMN($Q75)+1) &amp; ":" &amp; ADDRESS(2,COLUMN(AW75)-1),TRUE),"TBE",INDIRECT(ADDRESS(ROW(AW75), COLUMN($Q75)+1) &amp; ":" &amp; ADDRESS(ROW(AW75),COLUMN(AW75)-1),TRUE)),IF(OFFSET(AW75,ROW(AW$2)-ROW(AW75),0)="TBE",SUMIF(INDIRECT(ADDRESS(2,MATCH(INT(OFFSET(AW75,ROW(AW$2)-ROW(AW75),-2)),$2:$2,0)) &amp; ":" &amp; ADDRESS(2,COLUMN(AW75)-1),TRUE),"T",INDIRECT(ADDRESS(ROW(AW75), MATCH(INT(OFFSET(AW75,ROW(AW$2)-ROW(AW75),-2)),$2:$2,0)) &amp; ":" &amp; ADDRESS(ROW(AW75),COLUMN(AW75)-1),TRUE)),IF(OFFSET(AW75,0,COLUMN($M75)-COLUMN(AW75))="V",OFFSET(AW75,0,-2)*OFFSET(AW75,0,-1),"TOTAL")))</f>
        <v>0</v>
      </c>
      <c r="AX75" s="373"/>
      <c r="AY75" s="374"/>
      <c r="AZ75" s="375">
        <f t="shared" ca="1" si="84"/>
        <v>0</v>
      </c>
      <c r="BA75" s="376">
        <f ca="1">IF(OFFSET(BA75,ROW(BA$2)-ROW(BA75),0)="TT",SUMIF(INDIRECT(ADDRESS(2,COLUMN($Q75)+1) &amp; ":" &amp; ADDRESS(2,COLUMN(BA75)-1),TRUE),"TBE",INDIRECT(ADDRESS(ROW(BA75), COLUMN($Q75)+1) &amp; ":" &amp; ADDRESS(ROW(BA75),COLUMN(BA75)-1),TRUE)),IF(OFFSET(BA75,ROW(BA$2)-ROW(BA75),0)="TBE",SUMIF(INDIRECT(ADDRESS(2,MATCH(INT(OFFSET(BA75,ROW(BA$2)-ROW(BA75),-2)),$2:$2,0)) &amp; ":" &amp; ADDRESS(2,COLUMN(BA75)-1),TRUE),"T",INDIRECT(ADDRESS(ROW(BA75), MATCH(INT(OFFSET(BA75,ROW(BA$2)-ROW(BA75),-2)),$2:$2,0)) &amp; ":" &amp; ADDRESS(ROW(BA75),COLUMN(BA75)-1),TRUE)),IF(OFFSET(BA75,0,COLUMN($M75)-COLUMN(BA75))="V",OFFSET(BA75,0,-2)*OFFSET(BA75,0,-1),"TOTAL")))</f>
        <v>0</v>
      </c>
      <c r="BB75" s="373"/>
      <c r="BC75" s="374"/>
      <c r="BD75" s="375">
        <f t="shared" ca="1" si="85"/>
        <v>0</v>
      </c>
      <c r="BE75" s="376">
        <f ca="1">IF(OFFSET(BE75,ROW(BE$2)-ROW(BE75),0)="TT",SUMIF(INDIRECT(ADDRESS(2,COLUMN($Q75)+1) &amp; ":" &amp; ADDRESS(2,COLUMN(BE75)-1),TRUE),"TBE",INDIRECT(ADDRESS(ROW(BE75), COLUMN($Q75)+1) &amp; ":" &amp; ADDRESS(ROW(BE75),COLUMN(BE75)-1),TRUE)),IF(OFFSET(BE75,ROW(BE$2)-ROW(BE75),0)="TBE",SUMIF(INDIRECT(ADDRESS(2,MATCH(INT(OFFSET(BE75,ROW(BE$2)-ROW(BE75),-2)),$2:$2,0)) &amp; ":" &amp; ADDRESS(2,COLUMN(BE75)-1),TRUE),"T",INDIRECT(ADDRESS(ROW(BE75), MATCH(INT(OFFSET(BE75,ROW(BE$2)-ROW(BE75),-2)),$2:$2,0)) &amp; ":" &amp; ADDRESS(ROW(BE75),COLUMN(BE75)-1),TRUE)),IF(OFFSET(BE75,0,COLUMN($M75)-COLUMN(BE75))="V",OFFSET(BE75,0,-2)*OFFSET(BE75,0,-1),"TOTAL")))</f>
        <v>0</v>
      </c>
      <c r="BF75" s="373"/>
      <c r="BG75" s="374"/>
      <c r="BH75" s="375">
        <f t="shared" ca="1" si="86"/>
        <v>0</v>
      </c>
      <c r="BI75" s="376">
        <f ca="1">IF(OFFSET(BI75,ROW(BI$2)-ROW(BI75),0)="TT",SUMIF(INDIRECT(ADDRESS(2,COLUMN($Q75)+1) &amp; ":" &amp; ADDRESS(2,COLUMN(BI75)-1),TRUE),"TBE",INDIRECT(ADDRESS(ROW(BI75), COLUMN($Q75)+1) &amp; ":" &amp; ADDRESS(ROW(BI75),COLUMN(BI75)-1),TRUE)),IF(OFFSET(BI75,ROW(BI$2)-ROW(BI75),0)="TBE",SUMIF(INDIRECT(ADDRESS(2,MATCH(INT(OFFSET(BI75,ROW(BI$2)-ROW(BI75),-2)),$2:$2,0)) &amp; ":" &amp; ADDRESS(2,COLUMN(BI75)-1),TRUE),"T",INDIRECT(ADDRESS(ROW(BI75), MATCH(INT(OFFSET(BI75,ROW(BI$2)-ROW(BI75),-2)),$2:$2,0)) &amp; ":" &amp; ADDRESS(ROW(BI75),COLUMN(BI75)-1),TRUE)),IF(OFFSET(BI75,0,COLUMN($M75)-COLUMN(BI75))="V",OFFSET(BI75,0,-2)*OFFSET(BI75,0,-1),"TOTAL")))</f>
        <v>0</v>
      </c>
      <c r="BJ75" s="373"/>
      <c r="BK75" s="374"/>
      <c r="BL75" s="375">
        <f t="shared" ca="1" si="87"/>
        <v>0</v>
      </c>
      <c r="BM75" s="376">
        <f ca="1">IF(OFFSET(BM75,ROW(BM$2)-ROW(BM75),0)="TT",SUMIF(INDIRECT(ADDRESS(2,COLUMN($Q75)+1) &amp; ":" &amp; ADDRESS(2,COLUMN(BM75)-1),TRUE),"TBE",INDIRECT(ADDRESS(ROW(BM75), COLUMN($Q75)+1) &amp; ":" &amp; ADDRESS(ROW(BM75),COLUMN(BM75)-1),TRUE)),IF(OFFSET(BM75,ROW(BM$2)-ROW(BM75),0)="TBE",SUMIF(INDIRECT(ADDRESS(2,MATCH(INT(OFFSET(BM75,ROW(BM$2)-ROW(BM75),-2)),$2:$2,0)) &amp; ":" &amp; ADDRESS(2,COLUMN(BM75)-1),TRUE),"T",INDIRECT(ADDRESS(ROW(BM75), MATCH(INT(OFFSET(BM75,ROW(BM$2)-ROW(BM75),-2)),$2:$2,0)) &amp; ":" &amp; ADDRESS(ROW(BM75),COLUMN(BM75)-1),TRUE)),IF(OFFSET(BM75,0,COLUMN($M75)-COLUMN(BM75))="V",OFFSET(BM75,0,-2)*OFFSET(BM75,0,-1),"TOTAL")))</f>
        <v>0</v>
      </c>
      <c r="BN75" s="376">
        <f ca="1">IF(OFFSET(BN75,ROW(BN$2)-ROW(BN75),0)="TT",SUMIF(INDIRECT(ADDRESS(2,COLUMN($Q75)+1) &amp; ":" &amp; ADDRESS(2,COLUMN(BN75)-1),TRUE),"TBE",INDIRECT(ADDRESS(ROW(BN75), COLUMN($Q75)+1) &amp; ":" &amp; ADDRESS(ROW(BN75),COLUMN(BN75)-1),TRUE)),IF(OFFSET(BN75,ROW(BN$2)-ROW(BN75),0)="TBE",SUMIF(INDIRECT(ADDRESS(2,MATCH(INT(OFFSET(BN75,ROW(BN$2)-ROW(BN75),-2)),$2:$2,0)) &amp; ":" &amp; ADDRESS(2,COLUMN(BN75)-1),TRUE),"T",INDIRECT(ADDRESS(ROW(BN75), MATCH(INT(OFFSET(BN75,ROW(BN$2)-ROW(BN75),-2)),$2:$2,0)) &amp; ":" &amp; ADDRESS(ROW(BN75),COLUMN(BN75)-1),TRUE)),IF(OFFSET(BN75,0,COLUMN($M75)-COLUMN(BN75))="V",OFFSET(BN75,0,-2)*OFFSET(BN75,0,-1),"TOTAL")))</f>
        <v>0</v>
      </c>
    </row>
    <row r="76" spans="1:68" ht="13.5" thickTop="1" thickBot="1">
      <c r="A76" s="221" t="s">
        <v>137</v>
      </c>
    </row>
    <row r="77" spans="1:68" ht="13.5" thickTop="1" thickBot="1">
      <c r="A77" s="221" t="str">
        <f ca="1">IF(ISNUMBER(OFFSET(A77,0,13)),"START",IF(AND(OFFSET(A77,0,2)=0,OFFSET(A77,0,4)="GT"),"END",""))&amp;OFFSET(A77,0,1)</f>
        <v>STARTWP003</v>
      </c>
      <c r="B77" s="221" t="str">
        <f ca="1">IF(ISNUMBER(OFFSET(B77,0,12)),"WP" &amp; TEXT(OFFSET(B77,0,12),"000"),OFFSET(B77,-1,0))</f>
        <v>WP003</v>
      </c>
      <c r="N77" s="244">
        <v>3</v>
      </c>
      <c r="O77" s="459" t="str">
        <f ca="1">""&amp;VLOOKUP(OFFSET(N77,1,0),'Work Packages List'!A:B,2,FALSE)</f>
        <v/>
      </c>
      <c r="P77" s="459"/>
      <c r="Q77" s="460"/>
      <c r="R77" s="349"/>
      <c r="S77" s="350"/>
      <c r="T77" s="351"/>
      <c r="U77" s="352"/>
      <c r="V77" s="349"/>
      <c r="W77" s="350"/>
      <c r="X77" s="351"/>
      <c r="Y77" s="352"/>
      <c r="Z77" s="349"/>
      <c r="AA77" s="350"/>
      <c r="AB77" s="351"/>
      <c r="AC77" s="352"/>
      <c r="AD77" s="349"/>
      <c r="AE77" s="350"/>
      <c r="AF77" s="351"/>
      <c r="AG77" s="352"/>
      <c r="AH77" s="349"/>
      <c r="AI77" s="350"/>
      <c r="AJ77" s="351"/>
      <c r="AK77" s="352"/>
      <c r="AL77" s="349"/>
      <c r="AM77" s="350"/>
      <c r="AN77" s="351"/>
      <c r="AO77" s="352"/>
      <c r="AP77" s="349"/>
      <c r="AQ77" s="350"/>
      <c r="AR77" s="351"/>
      <c r="AS77" s="352"/>
      <c r="AT77" s="349"/>
      <c r="AU77" s="350"/>
      <c r="AV77" s="351"/>
      <c r="AW77" s="352"/>
      <c r="AX77" s="349"/>
      <c r="AY77" s="350"/>
      <c r="AZ77" s="351"/>
      <c r="BA77" s="352"/>
      <c r="BB77" s="349"/>
      <c r="BC77" s="350"/>
      <c r="BD77" s="351"/>
      <c r="BE77" s="352"/>
      <c r="BF77" s="349"/>
      <c r="BG77" s="350"/>
      <c r="BH77" s="351"/>
      <c r="BI77" s="352"/>
      <c r="BJ77" s="349"/>
      <c r="BK77" s="350"/>
      <c r="BL77" s="351"/>
      <c r="BM77" s="352"/>
      <c r="BN77" s="352"/>
    </row>
    <row r="78" spans="1:68">
      <c r="A78" s="221" t="str">
        <f t="shared" ref="A78:A109" ca="1" si="124">IF(ISNUMBER(OFFSET(A78,0,12)),"START",IF(AND(OFFSET(A78,0,2)=0,OFFSET(A78,0,4)="GT"),"END",""))&amp;OFFSET(A78,0,1)</f>
        <v>WP003</v>
      </c>
      <c r="B78" s="221" t="str">
        <f t="shared" ref="B78:B109" ca="1" si="125">IF(ISNUMBER(OFFSET(B78,0,11)),"WP" &amp; TEXT(OFFSET(B78,0,11),"000"),OFFSET(B78,-1,0))</f>
        <v>WP003</v>
      </c>
      <c r="C78" s="221">
        <v>4</v>
      </c>
      <c r="D78" s="221" t="s">
        <v>73</v>
      </c>
      <c r="H78" s="221" t="s">
        <v>74</v>
      </c>
      <c r="I78" s="221" t="s">
        <v>75</v>
      </c>
      <c r="M78" s="221" t="s">
        <v>46</v>
      </c>
      <c r="N78" s="461" t="str">
        <f ca="1">"WP " &amp; TEXT(OFFSET(N78,-1,0),"000")</f>
        <v>WP 003</v>
      </c>
      <c r="O78" s="452" t="s">
        <v>37</v>
      </c>
      <c r="P78" s="453"/>
      <c r="Q78" s="463"/>
      <c r="R78" s="353">
        <f ca="1">IF(OFFSET(R78,ROW(R$2)-ROW(R78),0)="TT","TT",IF(OFFSET(R78,0,COLUMN($M78)-COLUMN(R78))="%",ROUND(OFFSET(R78,-2,0)*0.07,0),IF(OFFSET(R78,0,COLUMN($M78)-COLUMN(R78))="V","x",SUMIF(INDIRECT(ADDRESS(MATCH("START"&amp;OFFSET(R78,0,COLUMN($B78)-COLUMN(R78)),$A:$A,0),$C78+COLUMN($E78)+1)&amp;":"&amp;ADDRESS(MATCH("END"&amp;OFFSET(R78,0,COLUMN($B78)-COLUMN(R78)),$A:$A,0),$C78+COLUMN($E78)+1),TRUE),INDIRECT(ADDRESS(ROW(R78),$C78+COLUMN($E78)),TRUE),INDIRECT(ADDRESS(MATCH("START"&amp;OFFSET(R78,0,COLUMN($B78)-COLUMN(R78)),$A:$A,0),COLUMN(R78))&amp;":"&amp;ADDRESS(MATCH("END"&amp;OFFSET(R78,0,COLUMN($B78)-COLUMN(R78)),$A:$A,0),COLUMN(R78)),TRUE)))))</f>
        <v>0</v>
      </c>
      <c r="S78" s="354"/>
      <c r="T78" s="355">
        <f ca="1">IF(OFFSET(T78,ROW(T$2)-ROW(T78),0)="TT","TT",IF(OFFSET(T78,0,COLUMN($M78)-COLUMN(T78))="%",ROUND((OFFSET(T78,-2,0)-OFFSET(T78,-21,0))*0.07,2),IF(OFFSET(T78,0,COLUMN($M78)-COLUMN(T78))="V",ROUND(OFFSET(T78,0,-2)*OFFSET(T78,0,-1),2),SUMIF(INDIRECT(ADDRESS(MATCH("START"&amp;OFFSET(T78,0,COLUMN($B78)-COLUMN(T78)),$A:$A,0),$C78+COLUMN($E78)+1)&amp;":"&amp;ADDRESS(MATCH("END"&amp;OFFSET(T78,0,COLUMN($B78)-COLUMN(T78)),$A:$A,0),$C78+COLUMN($E78)+1),TRUE),INDIRECT(ADDRESS(ROW(T78),$C78+COLUMN($E78)),TRUE),INDIRECT(ADDRESS(MATCH("START"&amp;OFFSET(T78,0,COLUMN($B78)-COLUMN(T78)),$A:$A,0),COLUMN(T78))&amp;":"&amp;ADDRESS(MATCH("END"&amp;OFFSET(T78,0,COLUMN($B78)-COLUMN(T78)),$A:$A,0),COLUMN(T78)),TRUE)))))</f>
        <v>0</v>
      </c>
      <c r="U78" s="356">
        <f t="shared" ref="U78:U105" ca="1" si="126">IF(OFFSET(U78,ROW(U$2)-ROW(U78),0)="TT",SUMIF(INDIRECT(ADDRESS(2,COLUMN($Q78)+1) &amp; ":" &amp; ADDRESS(2,COLUMN(U78)-1),TRUE),"TBE",INDIRECT(ADDRESS(ROW(U78), COLUMN($Q78)+1) &amp; ":" &amp; ADDRESS(ROW(U78),COLUMN(U78)-1),TRUE)),IF(OFFSET(U78,ROW(U$2)-ROW(U78),0)="TBE",SUMIF(INDIRECT(ADDRESS(2,MATCH(INT(OFFSET(U78,ROW(U$2)-ROW(U78),-2)),$2:$2,0)) &amp; ":" &amp; ADDRESS(2,COLUMN(U78)-1),TRUE),"T",INDIRECT(ADDRESS(ROW(U78), MATCH(INT(OFFSET(U78,ROW(U$2)-ROW(U78),-2)),$2:$2,0)) &amp; ":" &amp; ADDRESS(ROW(U78),COLUMN(U78)-1),TRUE)),IF(OFFSET(U78,0,COLUMN($M78)-COLUMN(U78))="V",OFFSET(U78,0,-2)*OFFSET(U78,0,-1),"TOTAL")))</f>
        <v>0</v>
      </c>
      <c r="V78" s="353">
        <f ca="1">IF(OFFSET(V78,ROW(V$2)-ROW(V78),0)="TT","TT",IF(OFFSET(V78,0,COLUMN($M78)-COLUMN(V78))="%",ROUND(OFFSET(V78,-2,0)*0.07,0),IF(OFFSET(V78,0,COLUMN($M78)-COLUMN(V78))="V","x",SUMIF(INDIRECT(ADDRESS(MATCH("START"&amp;OFFSET(V78,0,COLUMN($B78)-COLUMN(V78)),$A:$A,0),$C78+COLUMN($E78)+1)&amp;":"&amp;ADDRESS(MATCH("END"&amp;OFFSET(V78,0,COLUMN($B78)-COLUMN(V78)),$A:$A,0),$C78+COLUMN($E78)+1),TRUE),INDIRECT(ADDRESS(ROW(V78),$C78+COLUMN($E78)),TRUE),INDIRECT(ADDRESS(MATCH("START"&amp;OFFSET(V78,0,COLUMN($B78)-COLUMN(V78)),$A:$A,0),COLUMN(V78))&amp;":"&amp;ADDRESS(MATCH("END"&amp;OFFSET(V78,0,COLUMN($B78)-COLUMN(V78)),$A:$A,0),COLUMN(V78)),TRUE)))))</f>
        <v>0</v>
      </c>
      <c r="W78" s="354"/>
      <c r="X78" s="355">
        <f ca="1">IF(OFFSET(X78,ROW(X$2)-ROW(X78),0)="TT","TT",IF(OFFSET(X78,0,COLUMN($M78)-COLUMN(X78))="%",ROUND((OFFSET(X78,-2,0)-OFFSET(X78,-21,0))*0.07,2),IF(OFFSET(X78,0,COLUMN($M78)-COLUMN(X78))="V",ROUND(OFFSET(X78,0,-2)*OFFSET(X78,0,-1),2),SUMIF(INDIRECT(ADDRESS(MATCH("START"&amp;OFFSET(X78,0,COLUMN($B78)-COLUMN(X78)),$A:$A,0),$C78+COLUMN($E78)+1)&amp;":"&amp;ADDRESS(MATCH("END"&amp;OFFSET(X78,0,COLUMN($B78)-COLUMN(X78)),$A:$A,0),$C78+COLUMN($E78)+1),TRUE),INDIRECT(ADDRESS(ROW(X78),$C78+COLUMN($E78)),TRUE),INDIRECT(ADDRESS(MATCH("START"&amp;OFFSET(X78,0,COLUMN($B78)-COLUMN(X78)),$A:$A,0),COLUMN(X78))&amp;":"&amp;ADDRESS(MATCH("END"&amp;OFFSET(X78,0,COLUMN($B78)-COLUMN(X78)),$A:$A,0),COLUMN(X78)),TRUE)))))</f>
        <v>0</v>
      </c>
      <c r="Y78" s="356">
        <f t="shared" ref="Y78:Y105" ca="1" si="127">IF(OFFSET(Y78,ROW(Y$2)-ROW(Y78),0)="TT",SUMIF(INDIRECT(ADDRESS(2,COLUMN($Q78)+1) &amp; ":" &amp; ADDRESS(2,COLUMN(Y78)-1),TRUE),"TBE",INDIRECT(ADDRESS(ROW(Y78), COLUMN($Q78)+1) &amp; ":" &amp; ADDRESS(ROW(Y78),COLUMN(Y78)-1),TRUE)),IF(OFFSET(Y78,ROW(Y$2)-ROW(Y78),0)="TBE",SUMIF(INDIRECT(ADDRESS(2,MATCH(INT(OFFSET(Y78,ROW(Y$2)-ROW(Y78),-2)),$2:$2,0)) &amp; ":" &amp; ADDRESS(2,COLUMN(Y78)-1),TRUE),"T",INDIRECT(ADDRESS(ROW(Y78), MATCH(INT(OFFSET(Y78,ROW(Y$2)-ROW(Y78),-2)),$2:$2,0)) &amp; ":" &amp; ADDRESS(ROW(Y78),COLUMN(Y78)-1),TRUE)),IF(OFFSET(Y78,0,COLUMN($M78)-COLUMN(Y78))="V",OFFSET(Y78,0,-2)*OFFSET(Y78,0,-1),"TOTAL")))</f>
        <v>0</v>
      </c>
      <c r="Z78" s="353">
        <f ca="1">IF(OFFSET(Z78,ROW(Z$2)-ROW(Z78),0)="TT","TT",IF(OFFSET(Z78,0,COLUMN($M78)-COLUMN(Z78))="%",ROUND(OFFSET(Z78,-2,0)*0.07,0),IF(OFFSET(Z78,0,COLUMN($M78)-COLUMN(Z78))="V","x",SUMIF(INDIRECT(ADDRESS(MATCH("START"&amp;OFFSET(Z78,0,COLUMN($B78)-COLUMN(Z78)),$A:$A,0),$C78+COLUMN($E78)+1)&amp;":"&amp;ADDRESS(MATCH("END"&amp;OFFSET(Z78,0,COLUMN($B78)-COLUMN(Z78)),$A:$A,0),$C78+COLUMN($E78)+1),TRUE),INDIRECT(ADDRESS(ROW(Z78),$C78+COLUMN($E78)),TRUE),INDIRECT(ADDRESS(MATCH("START"&amp;OFFSET(Z78,0,COLUMN($B78)-COLUMN(Z78)),$A:$A,0),COLUMN(Z78))&amp;":"&amp;ADDRESS(MATCH("END"&amp;OFFSET(Z78,0,COLUMN($B78)-COLUMN(Z78)),$A:$A,0),COLUMN(Z78)),TRUE)))))</f>
        <v>0</v>
      </c>
      <c r="AA78" s="354"/>
      <c r="AB78" s="355">
        <f ca="1">IF(OFFSET(AB78,ROW(AB$2)-ROW(AB78),0)="TT","TT",IF(OFFSET(AB78,0,COLUMN($M78)-COLUMN(AB78))="%",ROUND((OFFSET(AB78,-2,0)-OFFSET(AB78,-21,0))*0.07,2),IF(OFFSET(AB78,0,COLUMN($M78)-COLUMN(AB78))="V",ROUND(OFFSET(AB78,0,-2)*OFFSET(AB78,0,-1),2),SUMIF(INDIRECT(ADDRESS(MATCH("START"&amp;OFFSET(AB78,0,COLUMN($B78)-COLUMN(AB78)),$A:$A,0),$C78+COLUMN($E78)+1)&amp;":"&amp;ADDRESS(MATCH("END"&amp;OFFSET(AB78,0,COLUMN($B78)-COLUMN(AB78)),$A:$A,0),$C78+COLUMN($E78)+1),TRUE),INDIRECT(ADDRESS(ROW(AB78),$C78+COLUMN($E78)),TRUE),INDIRECT(ADDRESS(MATCH("START"&amp;OFFSET(AB78,0,COLUMN($B78)-COLUMN(AB78)),$A:$A,0),COLUMN(AB78))&amp;":"&amp;ADDRESS(MATCH("END"&amp;OFFSET(AB78,0,COLUMN($B78)-COLUMN(AB78)),$A:$A,0),COLUMN(AB78)),TRUE)))))</f>
        <v>0</v>
      </c>
      <c r="AC78" s="356">
        <f t="shared" ref="AC78:AC105" ca="1" si="128">IF(OFFSET(AC78,ROW(AC$2)-ROW(AC78),0)="TT",SUMIF(INDIRECT(ADDRESS(2,COLUMN($Q78)+1) &amp; ":" &amp; ADDRESS(2,COLUMN(AC78)-1),TRUE),"TBE",INDIRECT(ADDRESS(ROW(AC78), COLUMN($Q78)+1) &amp; ":" &amp; ADDRESS(ROW(AC78),COLUMN(AC78)-1),TRUE)),IF(OFFSET(AC78,ROW(AC$2)-ROW(AC78),0)="TBE",SUMIF(INDIRECT(ADDRESS(2,MATCH(INT(OFFSET(AC78,ROW(AC$2)-ROW(AC78),-2)),$2:$2,0)) &amp; ":" &amp; ADDRESS(2,COLUMN(AC78)-1),TRUE),"T",INDIRECT(ADDRESS(ROW(AC78), MATCH(INT(OFFSET(AC78,ROW(AC$2)-ROW(AC78),-2)),$2:$2,0)) &amp; ":" &amp; ADDRESS(ROW(AC78),COLUMN(AC78)-1),TRUE)),IF(OFFSET(AC78,0,COLUMN($M78)-COLUMN(AC78))="V",OFFSET(AC78,0,-2)*OFFSET(AC78,0,-1),"TOTAL")))</f>
        <v>0</v>
      </c>
      <c r="AD78" s="353">
        <f ca="1">IF(OFFSET(AD78,ROW(AD$2)-ROW(AD78),0)="TT","TT",IF(OFFSET(AD78,0,COLUMN($M78)-COLUMN(AD78))="%",ROUND(OFFSET(AD78,-2,0)*0.07,0),IF(OFFSET(AD78,0,COLUMN($M78)-COLUMN(AD78))="V","x",SUMIF(INDIRECT(ADDRESS(MATCH("START"&amp;OFFSET(AD78,0,COLUMN($B78)-COLUMN(AD78)),$A:$A,0),$C78+COLUMN($E78)+1)&amp;":"&amp;ADDRESS(MATCH("END"&amp;OFFSET(AD78,0,COLUMN($B78)-COLUMN(AD78)),$A:$A,0),$C78+COLUMN($E78)+1),TRUE),INDIRECT(ADDRESS(ROW(AD78),$C78+COLUMN($E78)),TRUE),INDIRECT(ADDRESS(MATCH("START"&amp;OFFSET(AD78,0,COLUMN($B78)-COLUMN(AD78)),$A:$A,0),COLUMN(AD78))&amp;":"&amp;ADDRESS(MATCH("END"&amp;OFFSET(AD78,0,COLUMN($B78)-COLUMN(AD78)),$A:$A,0),COLUMN(AD78)),TRUE)))))</f>
        <v>0</v>
      </c>
      <c r="AE78" s="354"/>
      <c r="AF78" s="355">
        <f ca="1">IF(OFFSET(AF78,ROW(AF$2)-ROW(AF78),0)="TT","TT",IF(OFFSET(AF78,0,COLUMN($M78)-COLUMN(AF78))="%",ROUND((OFFSET(AF78,-2,0)-OFFSET(AF78,-21,0))*0.07,2),IF(OFFSET(AF78,0,COLUMN($M78)-COLUMN(AF78))="V",ROUND(OFFSET(AF78,0,-2)*OFFSET(AF78,0,-1),2),SUMIF(INDIRECT(ADDRESS(MATCH("START"&amp;OFFSET(AF78,0,COLUMN($B78)-COLUMN(AF78)),$A:$A,0),$C78+COLUMN($E78)+1)&amp;":"&amp;ADDRESS(MATCH("END"&amp;OFFSET(AF78,0,COLUMN($B78)-COLUMN(AF78)),$A:$A,0),$C78+COLUMN($E78)+1),TRUE),INDIRECT(ADDRESS(ROW(AF78),$C78+COLUMN($E78)),TRUE),INDIRECT(ADDRESS(MATCH("START"&amp;OFFSET(AF78,0,COLUMN($B78)-COLUMN(AF78)),$A:$A,0),COLUMN(AF78))&amp;":"&amp;ADDRESS(MATCH("END"&amp;OFFSET(AF78,0,COLUMN($B78)-COLUMN(AF78)),$A:$A,0),COLUMN(AF78)),TRUE)))))</f>
        <v>0</v>
      </c>
      <c r="AG78" s="356">
        <f t="shared" ref="AG78:AG105" ca="1" si="129">IF(OFFSET(AG78,ROW(AG$2)-ROW(AG78),0)="TT",SUMIF(INDIRECT(ADDRESS(2,COLUMN($Q78)+1) &amp; ":" &amp; ADDRESS(2,COLUMN(AG78)-1),TRUE),"TBE",INDIRECT(ADDRESS(ROW(AG78), COLUMN($Q78)+1) &amp; ":" &amp; ADDRESS(ROW(AG78),COLUMN(AG78)-1),TRUE)),IF(OFFSET(AG78,ROW(AG$2)-ROW(AG78),0)="TBE",SUMIF(INDIRECT(ADDRESS(2,MATCH(INT(OFFSET(AG78,ROW(AG$2)-ROW(AG78),-2)),$2:$2,0)) &amp; ":" &amp; ADDRESS(2,COLUMN(AG78)-1),TRUE),"T",INDIRECT(ADDRESS(ROW(AG78), MATCH(INT(OFFSET(AG78,ROW(AG$2)-ROW(AG78),-2)),$2:$2,0)) &amp; ":" &amp; ADDRESS(ROW(AG78),COLUMN(AG78)-1),TRUE)),IF(OFFSET(AG78,0,COLUMN($M78)-COLUMN(AG78))="V",OFFSET(AG78,0,-2)*OFFSET(AG78,0,-1),"TOTAL")))</f>
        <v>0</v>
      </c>
      <c r="AH78" s="353">
        <f ca="1">IF(OFFSET(AH78,ROW(AH$2)-ROW(AH78),0)="TT","TT",IF(OFFSET(AH78,0,COLUMN($M78)-COLUMN(AH78))="%",ROUND(OFFSET(AH78,-2,0)*0.07,0),IF(OFFSET(AH78,0,COLUMN($M78)-COLUMN(AH78))="V","x",SUMIF(INDIRECT(ADDRESS(MATCH("START"&amp;OFFSET(AH78,0,COLUMN($B78)-COLUMN(AH78)),$A:$A,0),$C78+COLUMN($E78)+1)&amp;":"&amp;ADDRESS(MATCH("END"&amp;OFFSET(AH78,0,COLUMN($B78)-COLUMN(AH78)),$A:$A,0),$C78+COLUMN($E78)+1),TRUE),INDIRECT(ADDRESS(ROW(AH78),$C78+COLUMN($E78)),TRUE),INDIRECT(ADDRESS(MATCH("START"&amp;OFFSET(AH78,0,COLUMN($B78)-COLUMN(AH78)),$A:$A,0),COLUMN(AH78))&amp;":"&amp;ADDRESS(MATCH("END"&amp;OFFSET(AH78,0,COLUMN($B78)-COLUMN(AH78)),$A:$A,0),COLUMN(AH78)),TRUE)))))</f>
        <v>0</v>
      </c>
      <c r="AI78" s="354"/>
      <c r="AJ78" s="355">
        <f ca="1">IF(OFFSET(AJ78,ROW(AJ$2)-ROW(AJ78),0)="TT","TT",IF(OFFSET(AJ78,0,COLUMN($M78)-COLUMN(AJ78))="%",ROUND((OFFSET(AJ78,-2,0)-OFFSET(AJ78,-21,0))*0.07,2),IF(OFFSET(AJ78,0,COLUMN($M78)-COLUMN(AJ78))="V",ROUND(OFFSET(AJ78,0,-2)*OFFSET(AJ78,0,-1),2),SUMIF(INDIRECT(ADDRESS(MATCH("START"&amp;OFFSET(AJ78,0,COLUMN($B78)-COLUMN(AJ78)),$A:$A,0),$C78+COLUMN($E78)+1)&amp;":"&amp;ADDRESS(MATCH("END"&amp;OFFSET(AJ78,0,COLUMN($B78)-COLUMN(AJ78)),$A:$A,0),$C78+COLUMN($E78)+1),TRUE),INDIRECT(ADDRESS(ROW(AJ78),$C78+COLUMN($E78)),TRUE),INDIRECT(ADDRESS(MATCH("START"&amp;OFFSET(AJ78,0,COLUMN($B78)-COLUMN(AJ78)),$A:$A,0),COLUMN(AJ78))&amp;":"&amp;ADDRESS(MATCH("END"&amp;OFFSET(AJ78,0,COLUMN($B78)-COLUMN(AJ78)),$A:$A,0),COLUMN(AJ78)),TRUE)))))</f>
        <v>0</v>
      </c>
      <c r="AK78" s="356">
        <f t="shared" ref="AK78:AK105" ca="1" si="130">IF(OFFSET(AK78,ROW(AK$2)-ROW(AK78),0)="TT",SUMIF(INDIRECT(ADDRESS(2,COLUMN($Q78)+1) &amp; ":" &amp; ADDRESS(2,COLUMN(AK78)-1),TRUE),"TBE",INDIRECT(ADDRESS(ROW(AK78), COLUMN($Q78)+1) &amp; ":" &amp; ADDRESS(ROW(AK78),COLUMN(AK78)-1),TRUE)),IF(OFFSET(AK78,ROW(AK$2)-ROW(AK78),0)="TBE",SUMIF(INDIRECT(ADDRESS(2,MATCH(INT(OFFSET(AK78,ROW(AK$2)-ROW(AK78),-2)),$2:$2,0)) &amp; ":" &amp; ADDRESS(2,COLUMN(AK78)-1),TRUE),"T",INDIRECT(ADDRESS(ROW(AK78), MATCH(INT(OFFSET(AK78,ROW(AK$2)-ROW(AK78),-2)),$2:$2,0)) &amp; ":" &amp; ADDRESS(ROW(AK78),COLUMN(AK78)-1),TRUE)),IF(OFFSET(AK78,0,COLUMN($M78)-COLUMN(AK78))="V",OFFSET(AK78,0,-2)*OFFSET(AK78,0,-1),"TOTAL")))</f>
        <v>0</v>
      </c>
      <c r="AL78" s="353">
        <f ca="1">IF(OFFSET(AL78,ROW(AL$2)-ROW(AL78),0)="TT","TT",IF(OFFSET(AL78,0,COLUMN($M78)-COLUMN(AL78))="%",ROUND(OFFSET(AL78,-2,0)*0.07,0),IF(OFFSET(AL78,0,COLUMN($M78)-COLUMN(AL78))="V","x",SUMIF(INDIRECT(ADDRESS(MATCH("START"&amp;OFFSET(AL78,0,COLUMN($B78)-COLUMN(AL78)),$A:$A,0),$C78+COLUMN($E78)+1)&amp;":"&amp;ADDRESS(MATCH("END"&amp;OFFSET(AL78,0,COLUMN($B78)-COLUMN(AL78)),$A:$A,0),$C78+COLUMN($E78)+1),TRUE),INDIRECT(ADDRESS(ROW(AL78),$C78+COLUMN($E78)),TRUE),INDIRECT(ADDRESS(MATCH("START"&amp;OFFSET(AL78,0,COLUMN($B78)-COLUMN(AL78)),$A:$A,0),COLUMN(AL78))&amp;":"&amp;ADDRESS(MATCH("END"&amp;OFFSET(AL78,0,COLUMN($B78)-COLUMN(AL78)),$A:$A,0),COLUMN(AL78)),TRUE)))))</f>
        <v>0</v>
      </c>
      <c r="AM78" s="354"/>
      <c r="AN78" s="355">
        <f ca="1">IF(OFFSET(AN78,ROW(AN$2)-ROW(AN78),0)="TT","TT",IF(OFFSET(AN78,0,COLUMN($M78)-COLUMN(AN78))="%",ROUND((OFFSET(AN78,-2,0)-OFFSET(AN78,-21,0))*0.07,2),IF(OFFSET(AN78,0,COLUMN($M78)-COLUMN(AN78))="V",ROUND(OFFSET(AN78,0,-2)*OFFSET(AN78,0,-1),2),SUMIF(INDIRECT(ADDRESS(MATCH("START"&amp;OFFSET(AN78,0,COLUMN($B78)-COLUMN(AN78)),$A:$A,0),$C78+COLUMN($E78)+1)&amp;":"&amp;ADDRESS(MATCH("END"&amp;OFFSET(AN78,0,COLUMN($B78)-COLUMN(AN78)),$A:$A,0),$C78+COLUMN($E78)+1),TRUE),INDIRECT(ADDRESS(ROW(AN78),$C78+COLUMN($E78)),TRUE),INDIRECT(ADDRESS(MATCH("START"&amp;OFFSET(AN78,0,COLUMN($B78)-COLUMN(AN78)),$A:$A,0),COLUMN(AN78))&amp;":"&amp;ADDRESS(MATCH("END"&amp;OFFSET(AN78,0,COLUMN($B78)-COLUMN(AN78)),$A:$A,0),COLUMN(AN78)),TRUE)))))</f>
        <v>0</v>
      </c>
      <c r="AO78" s="356">
        <f t="shared" ref="AO78:AO105" ca="1" si="131">IF(OFFSET(AO78,ROW(AO$2)-ROW(AO78),0)="TT",SUMIF(INDIRECT(ADDRESS(2,COLUMN($Q78)+1) &amp; ":" &amp; ADDRESS(2,COLUMN(AO78)-1),TRUE),"TBE",INDIRECT(ADDRESS(ROW(AO78), COLUMN($Q78)+1) &amp; ":" &amp; ADDRESS(ROW(AO78),COLUMN(AO78)-1),TRUE)),IF(OFFSET(AO78,ROW(AO$2)-ROW(AO78),0)="TBE",SUMIF(INDIRECT(ADDRESS(2,MATCH(INT(OFFSET(AO78,ROW(AO$2)-ROW(AO78),-2)),$2:$2,0)) &amp; ":" &amp; ADDRESS(2,COLUMN(AO78)-1),TRUE),"T",INDIRECT(ADDRESS(ROW(AO78), MATCH(INT(OFFSET(AO78,ROW(AO$2)-ROW(AO78),-2)),$2:$2,0)) &amp; ":" &amp; ADDRESS(ROW(AO78),COLUMN(AO78)-1),TRUE)),IF(OFFSET(AO78,0,COLUMN($M78)-COLUMN(AO78))="V",OFFSET(AO78,0,-2)*OFFSET(AO78,0,-1),"TOTAL")))</f>
        <v>0</v>
      </c>
      <c r="AP78" s="353">
        <f ca="1">IF(OFFSET(AP78,ROW(AP$2)-ROW(AP78),0)="TT","TT",IF(OFFSET(AP78,0,COLUMN($M78)-COLUMN(AP78))="%",ROUND(OFFSET(AP78,-2,0)*0.07,0),IF(OFFSET(AP78,0,COLUMN($M78)-COLUMN(AP78))="V","x",SUMIF(INDIRECT(ADDRESS(MATCH("START"&amp;OFFSET(AP78,0,COLUMN($B78)-COLUMN(AP78)),$A:$A,0),$C78+COLUMN($E78)+1)&amp;":"&amp;ADDRESS(MATCH("END"&amp;OFFSET(AP78,0,COLUMN($B78)-COLUMN(AP78)),$A:$A,0),$C78+COLUMN($E78)+1),TRUE),INDIRECT(ADDRESS(ROW(AP78),$C78+COLUMN($E78)),TRUE),INDIRECT(ADDRESS(MATCH("START"&amp;OFFSET(AP78,0,COLUMN($B78)-COLUMN(AP78)),$A:$A,0),COLUMN(AP78))&amp;":"&amp;ADDRESS(MATCH("END"&amp;OFFSET(AP78,0,COLUMN($B78)-COLUMN(AP78)),$A:$A,0),COLUMN(AP78)),TRUE)))))</f>
        <v>0</v>
      </c>
      <c r="AQ78" s="354"/>
      <c r="AR78" s="355">
        <f ca="1">IF(OFFSET(AR78,ROW(AR$2)-ROW(AR78),0)="TT","TT",IF(OFFSET(AR78,0,COLUMN($M78)-COLUMN(AR78))="%",ROUND((OFFSET(AR78,-2,0)-OFFSET(AR78,-21,0))*0.07,2),IF(OFFSET(AR78,0,COLUMN($M78)-COLUMN(AR78))="V",ROUND(OFFSET(AR78,0,-2)*OFFSET(AR78,0,-1),2),SUMIF(INDIRECT(ADDRESS(MATCH("START"&amp;OFFSET(AR78,0,COLUMN($B78)-COLUMN(AR78)),$A:$A,0),$C78+COLUMN($E78)+1)&amp;":"&amp;ADDRESS(MATCH("END"&amp;OFFSET(AR78,0,COLUMN($B78)-COLUMN(AR78)),$A:$A,0),$C78+COLUMN($E78)+1),TRUE),INDIRECT(ADDRESS(ROW(AR78),$C78+COLUMN($E78)),TRUE),INDIRECT(ADDRESS(MATCH("START"&amp;OFFSET(AR78,0,COLUMN($B78)-COLUMN(AR78)),$A:$A,0),COLUMN(AR78))&amp;":"&amp;ADDRESS(MATCH("END"&amp;OFFSET(AR78,0,COLUMN($B78)-COLUMN(AR78)),$A:$A,0),COLUMN(AR78)),TRUE)))))</f>
        <v>0</v>
      </c>
      <c r="AS78" s="356">
        <f t="shared" ref="AS78:AS105" ca="1" si="132">IF(OFFSET(AS78,ROW(AS$2)-ROW(AS78),0)="TT",SUMIF(INDIRECT(ADDRESS(2,COLUMN($Q78)+1) &amp; ":" &amp; ADDRESS(2,COLUMN(AS78)-1),TRUE),"TBE",INDIRECT(ADDRESS(ROW(AS78), COLUMN($Q78)+1) &amp; ":" &amp; ADDRESS(ROW(AS78),COLUMN(AS78)-1),TRUE)),IF(OFFSET(AS78,ROW(AS$2)-ROW(AS78),0)="TBE",SUMIF(INDIRECT(ADDRESS(2,MATCH(INT(OFFSET(AS78,ROW(AS$2)-ROW(AS78),-2)),$2:$2,0)) &amp; ":" &amp; ADDRESS(2,COLUMN(AS78)-1),TRUE),"T",INDIRECT(ADDRESS(ROW(AS78), MATCH(INT(OFFSET(AS78,ROW(AS$2)-ROW(AS78),-2)),$2:$2,0)) &amp; ":" &amp; ADDRESS(ROW(AS78),COLUMN(AS78)-1),TRUE)),IF(OFFSET(AS78,0,COLUMN($M78)-COLUMN(AS78))="V",OFFSET(AS78,0,-2)*OFFSET(AS78,0,-1),"TOTAL")))</f>
        <v>0</v>
      </c>
      <c r="AT78" s="353">
        <f ca="1">IF(OFFSET(AT78,ROW(AT$2)-ROW(AT78),0)="TT","TT",IF(OFFSET(AT78,0,COLUMN($M78)-COLUMN(AT78))="%",ROUND(OFFSET(AT78,-2,0)*0.07,0),IF(OFFSET(AT78,0,COLUMN($M78)-COLUMN(AT78))="V","x",SUMIF(INDIRECT(ADDRESS(MATCH("START"&amp;OFFSET(AT78,0,COLUMN($B78)-COLUMN(AT78)),$A:$A,0),$C78+COLUMN($E78)+1)&amp;":"&amp;ADDRESS(MATCH("END"&amp;OFFSET(AT78,0,COLUMN($B78)-COLUMN(AT78)),$A:$A,0),$C78+COLUMN($E78)+1),TRUE),INDIRECT(ADDRESS(ROW(AT78),$C78+COLUMN($E78)),TRUE),INDIRECT(ADDRESS(MATCH("START"&amp;OFFSET(AT78,0,COLUMN($B78)-COLUMN(AT78)),$A:$A,0),COLUMN(AT78))&amp;":"&amp;ADDRESS(MATCH("END"&amp;OFFSET(AT78,0,COLUMN($B78)-COLUMN(AT78)),$A:$A,0),COLUMN(AT78)),TRUE)))))</f>
        <v>0</v>
      </c>
      <c r="AU78" s="354"/>
      <c r="AV78" s="355">
        <f ca="1">IF(OFFSET(AV78,ROW(AV$2)-ROW(AV78),0)="TT","TT",IF(OFFSET(AV78,0,COLUMN($M78)-COLUMN(AV78))="%",ROUND((OFFSET(AV78,-2,0)-OFFSET(AV78,-21,0))*0.07,2),IF(OFFSET(AV78,0,COLUMN($M78)-COLUMN(AV78))="V",ROUND(OFFSET(AV78,0,-2)*OFFSET(AV78,0,-1),2),SUMIF(INDIRECT(ADDRESS(MATCH("START"&amp;OFFSET(AV78,0,COLUMN($B78)-COLUMN(AV78)),$A:$A,0),$C78+COLUMN($E78)+1)&amp;":"&amp;ADDRESS(MATCH("END"&amp;OFFSET(AV78,0,COLUMN($B78)-COLUMN(AV78)),$A:$A,0),$C78+COLUMN($E78)+1),TRUE),INDIRECT(ADDRESS(ROW(AV78),$C78+COLUMN($E78)),TRUE),INDIRECT(ADDRESS(MATCH("START"&amp;OFFSET(AV78,0,COLUMN($B78)-COLUMN(AV78)),$A:$A,0),COLUMN(AV78))&amp;":"&amp;ADDRESS(MATCH("END"&amp;OFFSET(AV78,0,COLUMN($B78)-COLUMN(AV78)),$A:$A,0),COLUMN(AV78)),TRUE)))))</f>
        <v>0</v>
      </c>
      <c r="AW78" s="356">
        <f t="shared" ref="AW78:AW105" ca="1" si="133">IF(OFFSET(AW78,ROW(AW$2)-ROW(AW78),0)="TT",SUMIF(INDIRECT(ADDRESS(2,COLUMN($Q78)+1) &amp; ":" &amp; ADDRESS(2,COLUMN(AW78)-1),TRUE),"TBE",INDIRECT(ADDRESS(ROW(AW78), COLUMN($Q78)+1) &amp; ":" &amp; ADDRESS(ROW(AW78),COLUMN(AW78)-1),TRUE)),IF(OFFSET(AW78,ROW(AW$2)-ROW(AW78),0)="TBE",SUMIF(INDIRECT(ADDRESS(2,MATCH(INT(OFFSET(AW78,ROW(AW$2)-ROW(AW78),-2)),$2:$2,0)) &amp; ":" &amp; ADDRESS(2,COLUMN(AW78)-1),TRUE),"T",INDIRECT(ADDRESS(ROW(AW78), MATCH(INT(OFFSET(AW78,ROW(AW$2)-ROW(AW78),-2)),$2:$2,0)) &amp; ":" &amp; ADDRESS(ROW(AW78),COLUMN(AW78)-1),TRUE)),IF(OFFSET(AW78,0,COLUMN($M78)-COLUMN(AW78))="V",OFFSET(AW78,0,-2)*OFFSET(AW78,0,-1),"TOTAL")))</f>
        <v>0</v>
      </c>
      <c r="AX78" s="353">
        <f ca="1">IF(OFFSET(AX78,ROW(AX$2)-ROW(AX78),0)="TT","TT",IF(OFFSET(AX78,0,COLUMN($M78)-COLUMN(AX78))="%",ROUND(OFFSET(AX78,-2,0)*0.07,0),IF(OFFSET(AX78,0,COLUMN($M78)-COLUMN(AX78))="V","x",SUMIF(INDIRECT(ADDRESS(MATCH("START"&amp;OFFSET(AX78,0,COLUMN($B78)-COLUMN(AX78)),$A:$A,0),$C78+COLUMN($E78)+1)&amp;":"&amp;ADDRESS(MATCH("END"&amp;OFFSET(AX78,0,COLUMN($B78)-COLUMN(AX78)),$A:$A,0),$C78+COLUMN($E78)+1),TRUE),INDIRECT(ADDRESS(ROW(AX78),$C78+COLUMN($E78)),TRUE),INDIRECT(ADDRESS(MATCH("START"&amp;OFFSET(AX78,0,COLUMN($B78)-COLUMN(AX78)),$A:$A,0),COLUMN(AX78))&amp;":"&amp;ADDRESS(MATCH("END"&amp;OFFSET(AX78,0,COLUMN($B78)-COLUMN(AX78)),$A:$A,0),COLUMN(AX78)),TRUE)))))</f>
        <v>0</v>
      </c>
      <c r="AY78" s="354"/>
      <c r="AZ78" s="355">
        <f ca="1">IF(OFFSET(AZ78,ROW(AZ$2)-ROW(AZ78),0)="TT","TT",IF(OFFSET(AZ78,0,COLUMN($M78)-COLUMN(AZ78))="%",ROUND((OFFSET(AZ78,-2,0)-OFFSET(AZ78,-21,0))*0.07,2),IF(OFFSET(AZ78,0,COLUMN($M78)-COLUMN(AZ78))="V",ROUND(OFFSET(AZ78,0,-2)*OFFSET(AZ78,0,-1),2),SUMIF(INDIRECT(ADDRESS(MATCH("START"&amp;OFFSET(AZ78,0,COLUMN($B78)-COLUMN(AZ78)),$A:$A,0),$C78+COLUMN($E78)+1)&amp;":"&amp;ADDRESS(MATCH("END"&amp;OFFSET(AZ78,0,COLUMN($B78)-COLUMN(AZ78)),$A:$A,0),$C78+COLUMN($E78)+1),TRUE),INDIRECT(ADDRESS(ROW(AZ78),$C78+COLUMN($E78)),TRUE),INDIRECT(ADDRESS(MATCH("START"&amp;OFFSET(AZ78,0,COLUMN($B78)-COLUMN(AZ78)),$A:$A,0),COLUMN(AZ78))&amp;":"&amp;ADDRESS(MATCH("END"&amp;OFFSET(AZ78,0,COLUMN($B78)-COLUMN(AZ78)),$A:$A,0),COLUMN(AZ78)),TRUE)))))</f>
        <v>0</v>
      </c>
      <c r="BA78" s="356">
        <f t="shared" ref="BA78:BA105" ca="1" si="134">IF(OFFSET(BA78,ROW(BA$2)-ROW(BA78),0)="TT",SUMIF(INDIRECT(ADDRESS(2,COLUMN($Q78)+1) &amp; ":" &amp; ADDRESS(2,COLUMN(BA78)-1),TRUE),"TBE",INDIRECT(ADDRESS(ROW(BA78), COLUMN($Q78)+1) &amp; ":" &amp; ADDRESS(ROW(BA78),COLUMN(BA78)-1),TRUE)),IF(OFFSET(BA78,ROW(BA$2)-ROW(BA78),0)="TBE",SUMIF(INDIRECT(ADDRESS(2,MATCH(INT(OFFSET(BA78,ROW(BA$2)-ROW(BA78),-2)),$2:$2,0)) &amp; ":" &amp; ADDRESS(2,COLUMN(BA78)-1),TRUE),"T",INDIRECT(ADDRESS(ROW(BA78), MATCH(INT(OFFSET(BA78,ROW(BA$2)-ROW(BA78),-2)),$2:$2,0)) &amp; ":" &amp; ADDRESS(ROW(BA78),COLUMN(BA78)-1),TRUE)),IF(OFFSET(BA78,0,COLUMN($M78)-COLUMN(BA78))="V",OFFSET(BA78,0,-2)*OFFSET(BA78,0,-1),"TOTAL")))</f>
        <v>0</v>
      </c>
      <c r="BB78" s="353">
        <f ca="1">IF(OFFSET(BB78,ROW(BB$2)-ROW(BB78),0)="TT","TT",IF(OFFSET(BB78,0,COLUMN($M78)-COLUMN(BB78))="%",ROUND(OFFSET(BB78,-2,0)*0.07,0),IF(OFFSET(BB78,0,COLUMN($M78)-COLUMN(BB78))="V","x",SUMIF(INDIRECT(ADDRESS(MATCH("START"&amp;OFFSET(BB78,0,COLUMN($B78)-COLUMN(BB78)),$A:$A,0),$C78+COLUMN($E78)+1)&amp;":"&amp;ADDRESS(MATCH("END"&amp;OFFSET(BB78,0,COLUMN($B78)-COLUMN(BB78)),$A:$A,0),$C78+COLUMN($E78)+1),TRUE),INDIRECT(ADDRESS(ROW(BB78),$C78+COLUMN($E78)),TRUE),INDIRECT(ADDRESS(MATCH("START"&amp;OFFSET(BB78,0,COLUMN($B78)-COLUMN(BB78)),$A:$A,0),COLUMN(BB78))&amp;":"&amp;ADDRESS(MATCH("END"&amp;OFFSET(BB78,0,COLUMN($B78)-COLUMN(BB78)),$A:$A,0),COLUMN(BB78)),TRUE)))))</f>
        <v>0</v>
      </c>
      <c r="BC78" s="354"/>
      <c r="BD78" s="355">
        <f ca="1">IF(OFFSET(BD78,ROW(BD$2)-ROW(BD78),0)="TT","TT",IF(OFFSET(BD78,0,COLUMN($M78)-COLUMN(BD78))="%",ROUND((OFFSET(BD78,-2,0)-OFFSET(BD78,-21,0))*0.07,2),IF(OFFSET(BD78,0,COLUMN($M78)-COLUMN(BD78))="V",ROUND(OFFSET(BD78,0,-2)*OFFSET(BD78,0,-1),2),SUMIF(INDIRECT(ADDRESS(MATCH("START"&amp;OFFSET(BD78,0,COLUMN($B78)-COLUMN(BD78)),$A:$A,0),$C78+COLUMN($E78)+1)&amp;":"&amp;ADDRESS(MATCH("END"&amp;OFFSET(BD78,0,COLUMN($B78)-COLUMN(BD78)),$A:$A,0),$C78+COLUMN($E78)+1),TRUE),INDIRECT(ADDRESS(ROW(BD78),$C78+COLUMN($E78)),TRUE),INDIRECT(ADDRESS(MATCH("START"&amp;OFFSET(BD78,0,COLUMN($B78)-COLUMN(BD78)),$A:$A,0),COLUMN(BD78))&amp;":"&amp;ADDRESS(MATCH("END"&amp;OFFSET(BD78,0,COLUMN($B78)-COLUMN(BD78)),$A:$A,0),COLUMN(BD78)),TRUE)))))</f>
        <v>0</v>
      </c>
      <c r="BE78" s="356">
        <f t="shared" ref="BE78:BE105" ca="1" si="135">IF(OFFSET(BE78,ROW(BE$2)-ROW(BE78),0)="TT",SUMIF(INDIRECT(ADDRESS(2,COLUMN($Q78)+1) &amp; ":" &amp; ADDRESS(2,COLUMN(BE78)-1),TRUE),"TBE",INDIRECT(ADDRESS(ROW(BE78), COLUMN($Q78)+1) &amp; ":" &amp; ADDRESS(ROW(BE78),COLUMN(BE78)-1),TRUE)),IF(OFFSET(BE78,ROW(BE$2)-ROW(BE78),0)="TBE",SUMIF(INDIRECT(ADDRESS(2,MATCH(INT(OFFSET(BE78,ROW(BE$2)-ROW(BE78),-2)),$2:$2,0)) &amp; ":" &amp; ADDRESS(2,COLUMN(BE78)-1),TRUE),"T",INDIRECT(ADDRESS(ROW(BE78), MATCH(INT(OFFSET(BE78,ROW(BE$2)-ROW(BE78),-2)),$2:$2,0)) &amp; ":" &amp; ADDRESS(ROW(BE78),COLUMN(BE78)-1),TRUE)),IF(OFFSET(BE78,0,COLUMN($M78)-COLUMN(BE78))="V",OFFSET(BE78,0,-2)*OFFSET(BE78,0,-1),"TOTAL")))</f>
        <v>0</v>
      </c>
      <c r="BF78" s="353">
        <f ca="1">IF(OFFSET(BF78,ROW(BF$2)-ROW(BF78),0)="TT","TT",IF(OFFSET(BF78,0,COLUMN($M78)-COLUMN(BF78))="%",ROUND(OFFSET(BF78,-2,0)*0.07,0),IF(OFFSET(BF78,0,COLUMN($M78)-COLUMN(BF78))="V","x",SUMIF(INDIRECT(ADDRESS(MATCH("START"&amp;OFFSET(BF78,0,COLUMN($B78)-COLUMN(BF78)),$A:$A,0),$C78+COLUMN($E78)+1)&amp;":"&amp;ADDRESS(MATCH("END"&amp;OFFSET(BF78,0,COLUMN($B78)-COLUMN(BF78)),$A:$A,0),$C78+COLUMN($E78)+1),TRUE),INDIRECT(ADDRESS(ROW(BF78),$C78+COLUMN($E78)),TRUE),INDIRECT(ADDRESS(MATCH("START"&amp;OFFSET(BF78,0,COLUMN($B78)-COLUMN(BF78)),$A:$A,0),COLUMN(BF78))&amp;":"&amp;ADDRESS(MATCH("END"&amp;OFFSET(BF78,0,COLUMN($B78)-COLUMN(BF78)),$A:$A,0),COLUMN(BF78)),TRUE)))))</f>
        <v>0</v>
      </c>
      <c r="BG78" s="354"/>
      <c r="BH78" s="355">
        <f ca="1">IF(OFFSET(BH78,ROW(BH$2)-ROW(BH78),0)="TT","TT",IF(OFFSET(BH78,0,COLUMN($M78)-COLUMN(BH78))="%",ROUND((OFFSET(BH78,-2,0)-OFFSET(BH78,-21,0))*0.07,2),IF(OFFSET(BH78,0,COLUMN($M78)-COLUMN(BH78))="V",ROUND(OFFSET(BH78,0,-2)*OFFSET(BH78,0,-1),2),SUMIF(INDIRECT(ADDRESS(MATCH("START"&amp;OFFSET(BH78,0,COLUMN($B78)-COLUMN(BH78)),$A:$A,0),$C78+COLUMN($E78)+1)&amp;":"&amp;ADDRESS(MATCH("END"&amp;OFFSET(BH78,0,COLUMN($B78)-COLUMN(BH78)),$A:$A,0),$C78+COLUMN($E78)+1),TRUE),INDIRECT(ADDRESS(ROW(BH78),$C78+COLUMN($E78)),TRUE),INDIRECT(ADDRESS(MATCH("START"&amp;OFFSET(BH78,0,COLUMN($B78)-COLUMN(BH78)),$A:$A,0),COLUMN(BH78))&amp;":"&amp;ADDRESS(MATCH("END"&amp;OFFSET(BH78,0,COLUMN($B78)-COLUMN(BH78)),$A:$A,0),COLUMN(BH78)),TRUE)))))</f>
        <v>0</v>
      </c>
      <c r="BI78" s="356">
        <f t="shared" ref="BI78:BI105" ca="1" si="136">IF(OFFSET(BI78,ROW(BI$2)-ROW(BI78),0)="TT",SUMIF(INDIRECT(ADDRESS(2,COLUMN($Q78)+1) &amp; ":" &amp; ADDRESS(2,COLUMN(BI78)-1),TRUE),"TBE",INDIRECT(ADDRESS(ROW(BI78), COLUMN($Q78)+1) &amp; ":" &amp; ADDRESS(ROW(BI78),COLUMN(BI78)-1),TRUE)),IF(OFFSET(BI78,ROW(BI$2)-ROW(BI78),0)="TBE",SUMIF(INDIRECT(ADDRESS(2,MATCH(INT(OFFSET(BI78,ROW(BI$2)-ROW(BI78),-2)),$2:$2,0)) &amp; ":" &amp; ADDRESS(2,COLUMN(BI78)-1),TRUE),"T",INDIRECT(ADDRESS(ROW(BI78), MATCH(INT(OFFSET(BI78,ROW(BI$2)-ROW(BI78),-2)),$2:$2,0)) &amp; ":" &amp; ADDRESS(ROW(BI78),COLUMN(BI78)-1),TRUE)),IF(OFFSET(BI78,0,COLUMN($M78)-COLUMN(BI78))="V",OFFSET(BI78,0,-2)*OFFSET(BI78,0,-1),"TOTAL")))</f>
        <v>0</v>
      </c>
      <c r="BJ78" s="353">
        <f ca="1">IF(OFFSET(BJ78,ROW(BJ$2)-ROW(BJ78),0)="TT","TT",IF(OFFSET(BJ78,0,COLUMN($M78)-COLUMN(BJ78))="%",ROUND(OFFSET(BJ78,-2,0)*0.07,0),IF(OFFSET(BJ78,0,COLUMN($M78)-COLUMN(BJ78))="V","x",SUMIF(INDIRECT(ADDRESS(MATCH("START"&amp;OFFSET(BJ78,0,COLUMN($B78)-COLUMN(BJ78)),$A:$A,0),$C78+COLUMN($E78)+1)&amp;":"&amp;ADDRESS(MATCH("END"&amp;OFFSET(BJ78,0,COLUMN($B78)-COLUMN(BJ78)),$A:$A,0),$C78+COLUMN($E78)+1),TRUE),INDIRECT(ADDRESS(ROW(BJ78),$C78+COLUMN($E78)),TRUE),INDIRECT(ADDRESS(MATCH("START"&amp;OFFSET(BJ78,0,COLUMN($B78)-COLUMN(BJ78)),$A:$A,0),COLUMN(BJ78))&amp;":"&amp;ADDRESS(MATCH("END"&amp;OFFSET(BJ78,0,COLUMN($B78)-COLUMN(BJ78)),$A:$A,0),COLUMN(BJ78)),TRUE)))))</f>
        <v>0</v>
      </c>
      <c r="BK78" s="354"/>
      <c r="BL78" s="355">
        <f ca="1">IF(OFFSET(BL78,ROW(BL$2)-ROW(BL78),0)="TT","TT",IF(OFFSET(BL78,0,COLUMN($M78)-COLUMN(BL78))="%",ROUND((OFFSET(BL78,-2,0)-OFFSET(BL78,-21,0))*0.07,2),IF(OFFSET(BL78,0,COLUMN($M78)-COLUMN(BL78))="V",ROUND(OFFSET(BL78,0,-2)*OFFSET(BL78,0,-1),2),SUMIF(INDIRECT(ADDRESS(MATCH("START"&amp;OFFSET(BL78,0,COLUMN($B78)-COLUMN(BL78)),$A:$A,0),$C78+COLUMN($E78)+1)&amp;":"&amp;ADDRESS(MATCH("END"&amp;OFFSET(BL78,0,COLUMN($B78)-COLUMN(BL78)),$A:$A,0),$C78+COLUMN($E78)+1),TRUE),INDIRECT(ADDRESS(ROW(BL78),$C78+COLUMN($E78)),TRUE),INDIRECT(ADDRESS(MATCH("START"&amp;OFFSET(BL78,0,COLUMN($B78)-COLUMN(BL78)),$A:$A,0),COLUMN(BL78))&amp;":"&amp;ADDRESS(MATCH("END"&amp;OFFSET(BL78,0,COLUMN($B78)-COLUMN(BL78)),$A:$A,0),COLUMN(BL78)),TRUE)))))</f>
        <v>0</v>
      </c>
      <c r="BM78" s="356">
        <f t="shared" ref="BM78:BN105" ca="1" si="137">IF(OFFSET(BM78,ROW(BM$2)-ROW(BM78),0)="TT",SUMIF(INDIRECT(ADDRESS(2,COLUMN($Q78)+1) &amp; ":" &amp; ADDRESS(2,COLUMN(BM78)-1),TRUE),"TBE",INDIRECT(ADDRESS(ROW(BM78), COLUMN($Q78)+1) &amp; ":" &amp; ADDRESS(ROW(BM78),COLUMN(BM78)-1),TRUE)),IF(OFFSET(BM78,ROW(BM$2)-ROW(BM78),0)="TBE",SUMIF(INDIRECT(ADDRESS(2,MATCH(INT(OFFSET(BM78,ROW(BM$2)-ROW(BM78),-2)),$2:$2,0)) &amp; ":" &amp; ADDRESS(2,COLUMN(BM78)-1),TRUE),"T",INDIRECT(ADDRESS(ROW(BM78), MATCH(INT(OFFSET(BM78,ROW(BM$2)-ROW(BM78),-2)),$2:$2,0)) &amp; ":" &amp; ADDRESS(ROW(BM78),COLUMN(BM78)-1),TRUE)),IF(OFFSET(BM78,0,COLUMN($M78)-COLUMN(BM78))="V",OFFSET(BM78,0,-2)*OFFSET(BM78,0,-1),"TOTAL")))</f>
        <v>0</v>
      </c>
      <c r="BN78" s="356">
        <f t="shared" ca="1" si="137"/>
        <v>0</v>
      </c>
    </row>
    <row r="79" spans="1:68">
      <c r="A79" s="221" t="str">
        <f t="shared" ca="1" si="124"/>
        <v>WP003</v>
      </c>
      <c r="B79" s="221" t="str">
        <f t="shared" ca="1" si="125"/>
        <v>WP003</v>
      </c>
      <c r="C79" s="221">
        <v>6</v>
      </c>
      <c r="D79" s="221" t="s">
        <v>76</v>
      </c>
      <c r="J79" s="222" t="s">
        <v>75</v>
      </c>
      <c r="K79" s="221" t="s">
        <v>77</v>
      </c>
      <c r="M79" s="221" t="s">
        <v>46</v>
      </c>
      <c r="N79" s="461"/>
      <c r="O79" s="245"/>
      <c r="P79" s="464" t="s">
        <v>78</v>
      </c>
      <c r="Q79" s="465"/>
      <c r="R79" s="357">
        <f ca="1">IF(OFFSET(R79,ROW(R$2)-ROW(R79),0)="TT","TT",IF(OFFSET(R79,0,COLUMN($M79)-COLUMN(R79))="%",ROUND(OFFSET(R79,-2,0)*0.07,0),IF(OFFSET(R79,0,COLUMN($M79)-COLUMN(R79))="V","x",SUMIF(INDIRECT(ADDRESS(MATCH("START"&amp;OFFSET(R79,0,COLUMN($B79)-COLUMN(R79)),$A:$A,0),$C79+COLUMN($E79)+1)&amp;":"&amp;ADDRESS(MATCH("END"&amp;OFFSET(R79,0,COLUMN($B79)-COLUMN(R79)),$A:$A,0),$C79+COLUMN($E79)+1),TRUE),INDIRECT(ADDRESS(ROW(R79),$C79+COLUMN($E79)),TRUE),INDIRECT(ADDRESS(MATCH("START"&amp;OFFSET(R79,0,COLUMN($B79)-COLUMN(R79)),$A:$A,0),COLUMN(R79))&amp;":"&amp;ADDRESS(MATCH("END"&amp;OFFSET(R79,0,COLUMN($B79)-COLUMN(R79)),$A:$A,0),COLUMN(R79)),TRUE)))))</f>
        <v>0</v>
      </c>
      <c r="S79" s="358"/>
      <c r="T79" s="359">
        <f t="shared" ref="T79:T109" ca="1" si="138">IF(OFFSET(T79,ROW(T$2)-ROW(T79),0)="TT","TT",IF(OFFSET(T79,0,COLUMN($M79)-COLUMN(T79))="%",ROUND((OFFSET(T79,-2,0)-OFFSET(T79,-21,0))*0.07,2),IF(OFFSET(T79,0,COLUMN($M79)-COLUMN(T79))="V",ROUND(OFFSET(T79,0,-2)*OFFSET(T79,0,-1),2),SUMIF(INDIRECT(ADDRESS(MATCH("START"&amp;OFFSET(T79,0,COLUMN($B79)-COLUMN(T79)),$A:$A,0),$C79+COLUMN($E79)+1)&amp;":"&amp;ADDRESS(MATCH("END"&amp;OFFSET(T79,0,COLUMN($B79)-COLUMN(T79)),$A:$A,0),$C79+COLUMN($E79)+1),TRUE),INDIRECT(ADDRESS(ROW(T79),$C79+COLUMN($E79)),TRUE),INDIRECT(ADDRESS(MATCH("START"&amp;OFFSET(T79,0,COLUMN($B79)-COLUMN(T79)),$A:$A,0),COLUMN(T79))&amp;":"&amp;ADDRESS(MATCH("END"&amp;OFFSET(T79,0,COLUMN($B79)-COLUMN(T79)),$A:$A,0),COLUMN(T79)),TRUE)))))</f>
        <v>0</v>
      </c>
      <c r="U79" s="360">
        <f t="shared" ca="1" si="126"/>
        <v>0</v>
      </c>
      <c r="V79" s="357">
        <f ca="1">IF(OFFSET(V79,ROW(V$2)-ROW(V79),0)="TT","TT",IF(OFFSET(V79,0,COLUMN($M79)-COLUMN(V79))="%",ROUND(OFFSET(V79,-2,0)*0.07,0),IF(OFFSET(V79,0,COLUMN($M79)-COLUMN(V79))="V","x",SUMIF(INDIRECT(ADDRESS(MATCH("START"&amp;OFFSET(V79,0,COLUMN($B79)-COLUMN(V79)),$A:$A,0),$C79+COLUMN($E79)+1)&amp;":"&amp;ADDRESS(MATCH("END"&amp;OFFSET(V79,0,COLUMN($B79)-COLUMN(V79)),$A:$A,0),$C79+COLUMN($E79)+1),TRUE),INDIRECT(ADDRESS(ROW(V79),$C79+COLUMN($E79)),TRUE),INDIRECT(ADDRESS(MATCH("START"&amp;OFFSET(V79,0,COLUMN($B79)-COLUMN(V79)),$A:$A,0),COLUMN(V79))&amp;":"&amp;ADDRESS(MATCH("END"&amp;OFFSET(V79,0,COLUMN($B79)-COLUMN(V79)),$A:$A,0),COLUMN(V79)),TRUE)))))</f>
        <v>0</v>
      </c>
      <c r="W79" s="358"/>
      <c r="X79" s="359">
        <f t="shared" ref="X79:X109" ca="1" si="139">IF(OFFSET(X79,ROW(X$2)-ROW(X79),0)="TT","TT",IF(OFFSET(X79,0,COLUMN($M79)-COLUMN(X79))="%",ROUND((OFFSET(X79,-2,0)-OFFSET(X79,-21,0))*0.07,2),IF(OFFSET(X79,0,COLUMN($M79)-COLUMN(X79))="V",ROUND(OFFSET(X79,0,-2)*OFFSET(X79,0,-1),2),SUMIF(INDIRECT(ADDRESS(MATCH("START"&amp;OFFSET(X79,0,COLUMN($B79)-COLUMN(X79)),$A:$A,0),$C79+COLUMN($E79)+1)&amp;":"&amp;ADDRESS(MATCH("END"&amp;OFFSET(X79,0,COLUMN($B79)-COLUMN(X79)),$A:$A,0),$C79+COLUMN($E79)+1),TRUE),INDIRECT(ADDRESS(ROW(X79),$C79+COLUMN($E79)),TRUE),INDIRECT(ADDRESS(MATCH("START"&amp;OFFSET(X79,0,COLUMN($B79)-COLUMN(X79)),$A:$A,0),COLUMN(X79))&amp;":"&amp;ADDRESS(MATCH("END"&amp;OFFSET(X79,0,COLUMN($B79)-COLUMN(X79)),$A:$A,0),COLUMN(X79)),TRUE)))))</f>
        <v>0</v>
      </c>
      <c r="Y79" s="360">
        <f t="shared" ca="1" si="127"/>
        <v>0</v>
      </c>
      <c r="Z79" s="357">
        <f ca="1">IF(OFFSET(Z79,ROW(Z$2)-ROW(Z79),0)="TT","TT",IF(OFFSET(Z79,0,COLUMN($M79)-COLUMN(Z79))="%",ROUND(OFFSET(Z79,-2,0)*0.07,0),IF(OFFSET(Z79,0,COLUMN($M79)-COLUMN(Z79))="V","x",SUMIF(INDIRECT(ADDRESS(MATCH("START"&amp;OFFSET(Z79,0,COLUMN($B79)-COLUMN(Z79)),$A:$A,0),$C79+COLUMN($E79)+1)&amp;":"&amp;ADDRESS(MATCH("END"&amp;OFFSET(Z79,0,COLUMN($B79)-COLUMN(Z79)),$A:$A,0),$C79+COLUMN($E79)+1),TRUE),INDIRECT(ADDRESS(ROW(Z79),$C79+COLUMN($E79)),TRUE),INDIRECT(ADDRESS(MATCH("START"&amp;OFFSET(Z79,0,COLUMN($B79)-COLUMN(Z79)),$A:$A,0),COLUMN(Z79))&amp;":"&amp;ADDRESS(MATCH("END"&amp;OFFSET(Z79,0,COLUMN($B79)-COLUMN(Z79)),$A:$A,0),COLUMN(Z79)),TRUE)))))</f>
        <v>0</v>
      </c>
      <c r="AA79" s="358"/>
      <c r="AB79" s="359">
        <f t="shared" ref="AB79:AB109" ca="1" si="140">IF(OFFSET(AB79,ROW(AB$2)-ROW(AB79),0)="TT","TT",IF(OFFSET(AB79,0,COLUMN($M79)-COLUMN(AB79))="%",ROUND((OFFSET(AB79,-2,0)-OFFSET(AB79,-21,0))*0.07,2),IF(OFFSET(AB79,0,COLUMN($M79)-COLUMN(AB79))="V",ROUND(OFFSET(AB79,0,-2)*OFFSET(AB79,0,-1),2),SUMIF(INDIRECT(ADDRESS(MATCH("START"&amp;OFFSET(AB79,0,COLUMN($B79)-COLUMN(AB79)),$A:$A,0),$C79+COLUMN($E79)+1)&amp;":"&amp;ADDRESS(MATCH("END"&amp;OFFSET(AB79,0,COLUMN($B79)-COLUMN(AB79)),$A:$A,0),$C79+COLUMN($E79)+1),TRUE),INDIRECT(ADDRESS(ROW(AB79),$C79+COLUMN($E79)),TRUE),INDIRECT(ADDRESS(MATCH("START"&amp;OFFSET(AB79,0,COLUMN($B79)-COLUMN(AB79)),$A:$A,0),COLUMN(AB79))&amp;":"&amp;ADDRESS(MATCH("END"&amp;OFFSET(AB79,0,COLUMN($B79)-COLUMN(AB79)),$A:$A,0),COLUMN(AB79)),TRUE)))))</f>
        <v>0</v>
      </c>
      <c r="AC79" s="360">
        <f t="shared" ca="1" si="128"/>
        <v>0</v>
      </c>
      <c r="AD79" s="357">
        <f ca="1">IF(OFFSET(AD79,ROW(AD$2)-ROW(AD79),0)="TT","TT",IF(OFFSET(AD79,0,COLUMN($M79)-COLUMN(AD79))="%",ROUND(OFFSET(AD79,-2,0)*0.07,0),IF(OFFSET(AD79,0,COLUMN($M79)-COLUMN(AD79))="V","x",SUMIF(INDIRECT(ADDRESS(MATCH("START"&amp;OFFSET(AD79,0,COLUMN($B79)-COLUMN(AD79)),$A:$A,0),$C79+COLUMN($E79)+1)&amp;":"&amp;ADDRESS(MATCH("END"&amp;OFFSET(AD79,0,COLUMN($B79)-COLUMN(AD79)),$A:$A,0),$C79+COLUMN($E79)+1),TRUE),INDIRECT(ADDRESS(ROW(AD79),$C79+COLUMN($E79)),TRUE),INDIRECT(ADDRESS(MATCH("START"&amp;OFFSET(AD79,0,COLUMN($B79)-COLUMN(AD79)),$A:$A,0),COLUMN(AD79))&amp;":"&amp;ADDRESS(MATCH("END"&amp;OFFSET(AD79,0,COLUMN($B79)-COLUMN(AD79)),$A:$A,0),COLUMN(AD79)),TRUE)))))</f>
        <v>0</v>
      </c>
      <c r="AE79" s="358"/>
      <c r="AF79" s="359">
        <f t="shared" ref="AF79:AF109" ca="1" si="141">IF(OFFSET(AF79,ROW(AF$2)-ROW(AF79),0)="TT","TT",IF(OFFSET(AF79,0,COLUMN($M79)-COLUMN(AF79))="%",ROUND((OFFSET(AF79,-2,0)-OFFSET(AF79,-21,0))*0.07,2),IF(OFFSET(AF79,0,COLUMN($M79)-COLUMN(AF79))="V",ROUND(OFFSET(AF79,0,-2)*OFFSET(AF79,0,-1),2),SUMIF(INDIRECT(ADDRESS(MATCH("START"&amp;OFFSET(AF79,0,COLUMN($B79)-COLUMN(AF79)),$A:$A,0),$C79+COLUMN($E79)+1)&amp;":"&amp;ADDRESS(MATCH("END"&amp;OFFSET(AF79,0,COLUMN($B79)-COLUMN(AF79)),$A:$A,0),$C79+COLUMN($E79)+1),TRUE),INDIRECT(ADDRESS(ROW(AF79),$C79+COLUMN($E79)),TRUE),INDIRECT(ADDRESS(MATCH("START"&amp;OFFSET(AF79,0,COLUMN($B79)-COLUMN(AF79)),$A:$A,0),COLUMN(AF79))&amp;":"&amp;ADDRESS(MATCH("END"&amp;OFFSET(AF79,0,COLUMN($B79)-COLUMN(AF79)),$A:$A,0),COLUMN(AF79)),TRUE)))))</f>
        <v>0</v>
      </c>
      <c r="AG79" s="360">
        <f t="shared" ca="1" si="129"/>
        <v>0</v>
      </c>
      <c r="AH79" s="357">
        <f ca="1">IF(OFFSET(AH79,ROW(AH$2)-ROW(AH79),0)="TT","TT",IF(OFFSET(AH79,0,COLUMN($M79)-COLUMN(AH79))="%",ROUND(OFFSET(AH79,-2,0)*0.07,0),IF(OFFSET(AH79,0,COLUMN($M79)-COLUMN(AH79))="V","x",SUMIF(INDIRECT(ADDRESS(MATCH("START"&amp;OFFSET(AH79,0,COLUMN($B79)-COLUMN(AH79)),$A:$A,0),$C79+COLUMN($E79)+1)&amp;":"&amp;ADDRESS(MATCH("END"&amp;OFFSET(AH79,0,COLUMN($B79)-COLUMN(AH79)),$A:$A,0),$C79+COLUMN($E79)+1),TRUE),INDIRECT(ADDRESS(ROW(AH79),$C79+COLUMN($E79)),TRUE),INDIRECT(ADDRESS(MATCH("START"&amp;OFFSET(AH79,0,COLUMN($B79)-COLUMN(AH79)),$A:$A,0),COLUMN(AH79))&amp;":"&amp;ADDRESS(MATCH("END"&amp;OFFSET(AH79,0,COLUMN($B79)-COLUMN(AH79)),$A:$A,0),COLUMN(AH79)),TRUE)))))</f>
        <v>0</v>
      </c>
      <c r="AI79" s="358"/>
      <c r="AJ79" s="359">
        <f t="shared" ref="AJ79:AJ109" ca="1" si="142">IF(OFFSET(AJ79,ROW(AJ$2)-ROW(AJ79),0)="TT","TT",IF(OFFSET(AJ79,0,COLUMN($M79)-COLUMN(AJ79))="%",ROUND((OFFSET(AJ79,-2,0)-OFFSET(AJ79,-21,0))*0.07,2),IF(OFFSET(AJ79,0,COLUMN($M79)-COLUMN(AJ79))="V",ROUND(OFFSET(AJ79,0,-2)*OFFSET(AJ79,0,-1),2),SUMIF(INDIRECT(ADDRESS(MATCH("START"&amp;OFFSET(AJ79,0,COLUMN($B79)-COLUMN(AJ79)),$A:$A,0),$C79+COLUMN($E79)+1)&amp;":"&amp;ADDRESS(MATCH("END"&amp;OFFSET(AJ79,0,COLUMN($B79)-COLUMN(AJ79)),$A:$A,0),$C79+COLUMN($E79)+1),TRUE),INDIRECT(ADDRESS(ROW(AJ79),$C79+COLUMN($E79)),TRUE),INDIRECT(ADDRESS(MATCH("START"&amp;OFFSET(AJ79,0,COLUMN($B79)-COLUMN(AJ79)),$A:$A,0),COLUMN(AJ79))&amp;":"&amp;ADDRESS(MATCH("END"&amp;OFFSET(AJ79,0,COLUMN($B79)-COLUMN(AJ79)),$A:$A,0),COLUMN(AJ79)),TRUE)))))</f>
        <v>0</v>
      </c>
      <c r="AK79" s="360">
        <f t="shared" ca="1" si="130"/>
        <v>0</v>
      </c>
      <c r="AL79" s="357">
        <f ca="1">IF(OFFSET(AL79,ROW(AL$2)-ROW(AL79),0)="TT","TT",IF(OFFSET(AL79,0,COLUMN($M79)-COLUMN(AL79))="%",ROUND(OFFSET(AL79,-2,0)*0.07,0),IF(OFFSET(AL79,0,COLUMN($M79)-COLUMN(AL79))="V","x",SUMIF(INDIRECT(ADDRESS(MATCH("START"&amp;OFFSET(AL79,0,COLUMN($B79)-COLUMN(AL79)),$A:$A,0),$C79+COLUMN($E79)+1)&amp;":"&amp;ADDRESS(MATCH("END"&amp;OFFSET(AL79,0,COLUMN($B79)-COLUMN(AL79)),$A:$A,0),$C79+COLUMN($E79)+1),TRUE),INDIRECT(ADDRESS(ROW(AL79),$C79+COLUMN($E79)),TRUE),INDIRECT(ADDRESS(MATCH("START"&amp;OFFSET(AL79,0,COLUMN($B79)-COLUMN(AL79)),$A:$A,0),COLUMN(AL79))&amp;":"&amp;ADDRESS(MATCH("END"&amp;OFFSET(AL79,0,COLUMN($B79)-COLUMN(AL79)),$A:$A,0),COLUMN(AL79)),TRUE)))))</f>
        <v>0</v>
      </c>
      <c r="AM79" s="358"/>
      <c r="AN79" s="359">
        <f t="shared" ref="AN79:AN109" ca="1" si="143">IF(OFFSET(AN79,ROW(AN$2)-ROW(AN79),0)="TT","TT",IF(OFFSET(AN79,0,COLUMN($M79)-COLUMN(AN79))="%",ROUND((OFFSET(AN79,-2,0)-OFFSET(AN79,-21,0))*0.07,2),IF(OFFSET(AN79,0,COLUMN($M79)-COLUMN(AN79))="V",ROUND(OFFSET(AN79,0,-2)*OFFSET(AN79,0,-1),2),SUMIF(INDIRECT(ADDRESS(MATCH("START"&amp;OFFSET(AN79,0,COLUMN($B79)-COLUMN(AN79)),$A:$A,0),$C79+COLUMN($E79)+1)&amp;":"&amp;ADDRESS(MATCH("END"&amp;OFFSET(AN79,0,COLUMN($B79)-COLUMN(AN79)),$A:$A,0),$C79+COLUMN($E79)+1),TRUE),INDIRECT(ADDRESS(ROW(AN79),$C79+COLUMN($E79)),TRUE),INDIRECT(ADDRESS(MATCH("START"&amp;OFFSET(AN79,0,COLUMN($B79)-COLUMN(AN79)),$A:$A,0),COLUMN(AN79))&amp;":"&amp;ADDRESS(MATCH("END"&amp;OFFSET(AN79,0,COLUMN($B79)-COLUMN(AN79)),$A:$A,0),COLUMN(AN79)),TRUE)))))</f>
        <v>0</v>
      </c>
      <c r="AO79" s="360">
        <f t="shared" ca="1" si="131"/>
        <v>0</v>
      </c>
      <c r="AP79" s="357">
        <f ca="1">IF(OFFSET(AP79,ROW(AP$2)-ROW(AP79),0)="TT","TT",IF(OFFSET(AP79,0,COLUMN($M79)-COLUMN(AP79))="%",ROUND(OFFSET(AP79,-2,0)*0.07,0),IF(OFFSET(AP79,0,COLUMN($M79)-COLUMN(AP79))="V","x",SUMIF(INDIRECT(ADDRESS(MATCH("START"&amp;OFFSET(AP79,0,COLUMN($B79)-COLUMN(AP79)),$A:$A,0),$C79+COLUMN($E79)+1)&amp;":"&amp;ADDRESS(MATCH("END"&amp;OFFSET(AP79,0,COLUMN($B79)-COLUMN(AP79)),$A:$A,0),$C79+COLUMN($E79)+1),TRUE),INDIRECT(ADDRESS(ROW(AP79),$C79+COLUMN($E79)),TRUE),INDIRECT(ADDRESS(MATCH("START"&amp;OFFSET(AP79,0,COLUMN($B79)-COLUMN(AP79)),$A:$A,0),COLUMN(AP79))&amp;":"&amp;ADDRESS(MATCH("END"&amp;OFFSET(AP79,0,COLUMN($B79)-COLUMN(AP79)),$A:$A,0),COLUMN(AP79)),TRUE)))))</f>
        <v>0</v>
      </c>
      <c r="AQ79" s="358"/>
      <c r="AR79" s="359">
        <f t="shared" ref="AR79:AR109" ca="1" si="144">IF(OFFSET(AR79,ROW(AR$2)-ROW(AR79),0)="TT","TT",IF(OFFSET(AR79,0,COLUMN($M79)-COLUMN(AR79))="%",ROUND((OFFSET(AR79,-2,0)-OFFSET(AR79,-21,0))*0.07,2),IF(OFFSET(AR79,0,COLUMN($M79)-COLUMN(AR79))="V",ROUND(OFFSET(AR79,0,-2)*OFFSET(AR79,0,-1),2),SUMIF(INDIRECT(ADDRESS(MATCH("START"&amp;OFFSET(AR79,0,COLUMN($B79)-COLUMN(AR79)),$A:$A,0),$C79+COLUMN($E79)+1)&amp;":"&amp;ADDRESS(MATCH("END"&amp;OFFSET(AR79,0,COLUMN($B79)-COLUMN(AR79)),$A:$A,0),$C79+COLUMN($E79)+1),TRUE),INDIRECT(ADDRESS(ROW(AR79),$C79+COLUMN($E79)),TRUE),INDIRECT(ADDRESS(MATCH("START"&amp;OFFSET(AR79,0,COLUMN($B79)-COLUMN(AR79)),$A:$A,0),COLUMN(AR79))&amp;":"&amp;ADDRESS(MATCH("END"&amp;OFFSET(AR79,0,COLUMN($B79)-COLUMN(AR79)),$A:$A,0),COLUMN(AR79)),TRUE)))))</f>
        <v>0</v>
      </c>
      <c r="AS79" s="360">
        <f t="shared" ca="1" si="132"/>
        <v>0</v>
      </c>
      <c r="AT79" s="357">
        <f ca="1">IF(OFFSET(AT79,ROW(AT$2)-ROW(AT79),0)="TT","TT",IF(OFFSET(AT79,0,COLUMN($M79)-COLUMN(AT79))="%",ROUND(OFFSET(AT79,-2,0)*0.07,0),IF(OFFSET(AT79,0,COLUMN($M79)-COLUMN(AT79))="V","x",SUMIF(INDIRECT(ADDRESS(MATCH("START"&amp;OFFSET(AT79,0,COLUMN($B79)-COLUMN(AT79)),$A:$A,0),$C79+COLUMN($E79)+1)&amp;":"&amp;ADDRESS(MATCH("END"&amp;OFFSET(AT79,0,COLUMN($B79)-COLUMN(AT79)),$A:$A,0),$C79+COLUMN($E79)+1),TRUE),INDIRECT(ADDRESS(ROW(AT79),$C79+COLUMN($E79)),TRUE),INDIRECT(ADDRESS(MATCH("START"&amp;OFFSET(AT79,0,COLUMN($B79)-COLUMN(AT79)),$A:$A,0),COLUMN(AT79))&amp;":"&amp;ADDRESS(MATCH("END"&amp;OFFSET(AT79,0,COLUMN($B79)-COLUMN(AT79)),$A:$A,0),COLUMN(AT79)),TRUE)))))</f>
        <v>0</v>
      </c>
      <c r="AU79" s="358"/>
      <c r="AV79" s="359">
        <f t="shared" ref="AV79:AV109" ca="1" si="145">IF(OFFSET(AV79,ROW(AV$2)-ROW(AV79),0)="TT","TT",IF(OFFSET(AV79,0,COLUMN($M79)-COLUMN(AV79))="%",ROUND((OFFSET(AV79,-2,0)-OFFSET(AV79,-21,0))*0.07,2),IF(OFFSET(AV79,0,COLUMN($M79)-COLUMN(AV79))="V",ROUND(OFFSET(AV79,0,-2)*OFFSET(AV79,0,-1),2),SUMIF(INDIRECT(ADDRESS(MATCH("START"&amp;OFFSET(AV79,0,COLUMN($B79)-COLUMN(AV79)),$A:$A,0),$C79+COLUMN($E79)+1)&amp;":"&amp;ADDRESS(MATCH("END"&amp;OFFSET(AV79,0,COLUMN($B79)-COLUMN(AV79)),$A:$A,0),$C79+COLUMN($E79)+1),TRUE),INDIRECT(ADDRESS(ROW(AV79),$C79+COLUMN($E79)),TRUE),INDIRECT(ADDRESS(MATCH("START"&amp;OFFSET(AV79,0,COLUMN($B79)-COLUMN(AV79)),$A:$A,0),COLUMN(AV79))&amp;":"&amp;ADDRESS(MATCH("END"&amp;OFFSET(AV79,0,COLUMN($B79)-COLUMN(AV79)),$A:$A,0),COLUMN(AV79)),TRUE)))))</f>
        <v>0</v>
      </c>
      <c r="AW79" s="360">
        <f t="shared" ca="1" si="133"/>
        <v>0</v>
      </c>
      <c r="AX79" s="357">
        <f ca="1">IF(OFFSET(AX79,ROW(AX$2)-ROW(AX79),0)="TT","TT",IF(OFFSET(AX79,0,COLUMN($M79)-COLUMN(AX79))="%",ROUND(OFFSET(AX79,-2,0)*0.07,0),IF(OFFSET(AX79,0,COLUMN($M79)-COLUMN(AX79))="V","x",SUMIF(INDIRECT(ADDRESS(MATCH("START"&amp;OFFSET(AX79,0,COLUMN($B79)-COLUMN(AX79)),$A:$A,0),$C79+COLUMN($E79)+1)&amp;":"&amp;ADDRESS(MATCH("END"&amp;OFFSET(AX79,0,COLUMN($B79)-COLUMN(AX79)),$A:$A,0),$C79+COLUMN($E79)+1),TRUE),INDIRECT(ADDRESS(ROW(AX79),$C79+COLUMN($E79)),TRUE),INDIRECT(ADDRESS(MATCH("START"&amp;OFFSET(AX79,0,COLUMN($B79)-COLUMN(AX79)),$A:$A,0),COLUMN(AX79))&amp;":"&amp;ADDRESS(MATCH("END"&amp;OFFSET(AX79,0,COLUMN($B79)-COLUMN(AX79)),$A:$A,0),COLUMN(AX79)),TRUE)))))</f>
        <v>0</v>
      </c>
      <c r="AY79" s="358"/>
      <c r="AZ79" s="359">
        <f t="shared" ref="AZ79:AZ109" ca="1" si="146">IF(OFFSET(AZ79,ROW(AZ$2)-ROW(AZ79),0)="TT","TT",IF(OFFSET(AZ79,0,COLUMN($M79)-COLUMN(AZ79))="%",ROUND((OFFSET(AZ79,-2,0)-OFFSET(AZ79,-21,0))*0.07,2),IF(OFFSET(AZ79,0,COLUMN($M79)-COLUMN(AZ79))="V",ROUND(OFFSET(AZ79,0,-2)*OFFSET(AZ79,0,-1),2),SUMIF(INDIRECT(ADDRESS(MATCH("START"&amp;OFFSET(AZ79,0,COLUMN($B79)-COLUMN(AZ79)),$A:$A,0),$C79+COLUMN($E79)+1)&amp;":"&amp;ADDRESS(MATCH("END"&amp;OFFSET(AZ79,0,COLUMN($B79)-COLUMN(AZ79)),$A:$A,0),$C79+COLUMN($E79)+1),TRUE),INDIRECT(ADDRESS(ROW(AZ79),$C79+COLUMN($E79)),TRUE),INDIRECT(ADDRESS(MATCH("START"&amp;OFFSET(AZ79,0,COLUMN($B79)-COLUMN(AZ79)),$A:$A,0),COLUMN(AZ79))&amp;":"&amp;ADDRESS(MATCH("END"&amp;OFFSET(AZ79,0,COLUMN($B79)-COLUMN(AZ79)),$A:$A,0),COLUMN(AZ79)),TRUE)))))</f>
        <v>0</v>
      </c>
      <c r="BA79" s="360">
        <f t="shared" ca="1" si="134"/>
        <v>0</v>
      </c>
      <c r="BB79" s="357">
        <f ca="1">IF(OFFSET(BB79,ROW(BB$2)-ROW(BB79),0)="TT","TT",IF(OFFSET(BB79,0,COLUMN($M79)-COLUMN(BB79))="%",ROUND(OFFSET(BB79,-2,0)*0.07,0),IF(OFFSET(BB79,0,COLUMN($M79)-COLUMN(BB79))="V","x",SUMIF(INDIRECT(ADDRESS(MATCH("START"&amp;OFFSET(BB79,0,COLUMN($B79)-COLUMN(BB79)),$A:$A,0),$C79+COLUMN($E79)+1)&amp;":"&amp;ADDRESS(MATCH("END"&amp;OFFSET(BB79,0,COLUMN($B79)-COLUMN(BB79)),$A:$A,0),$C79+COLUMN($E79)+1),TRUE),INDIRECT(ADDRESS(ROW(BB79),$C79+COLUMN($E79)),TRUE),INDIRECT(ADDRESS(MATCH("START"&amp;OFFSET(BB79,0,COLUMN($B79)-COLUMN(BB79)),$A:$A,0),COLUMN(BB79))&amp;":"&amp;ADDRESS(MATCH("END"&amp;OFFSET(BB79,0,COLUMN($B79)-COLUMN(BB79)),$A:$A,0),COLUMN(BB79)),TRUE)))))</f>
        <v>0</v>
      </c>
      <c r="BC79" s="358"/>
      <c r="BD79" s="359">
        <f t="shared" ref="BD79:BD109" ca="1" si="147">IF(OFFSET(BD79,ROW(BD$2)-ROW(BD79),0)="TT","TT",IF(OFFSET(BD79,0,COLUMN($M79)-COLUMN(BD79))="%",ROUND((OFFSET(BD79,-2,0)-OFFSET(BD79,-21,0))*0.07,2),IF(OFFSET(BD79,0,COLUMN($M79)-COLUMN(BD79))="V",ROUND(OFFSET(BD79,0,-2)*OFFSET(BD79,0,-1),2),SUMIF(INDIRECT(ADDRESS(MATCH("START"&amp;OFFSET(BD79,0,COLUMN($B79)-COLUMN(BD79)),$A:$A,0),$C79+COLUMN($E79)+1)&amp;":"&amp;ADDRESS(MATCH("END"&amp;OFFSET(BD79,0,COLUMN($B79)-COLUMN(BD79)),$A:$A,0),$C79+COLUMN($E79)+1),TRUE),INDIRECT(ADDRESS(ROW(BD79),$C79+COLUMN($E79)),TRUE),INDIRECT(ADDRESS(MATCH("START"&amp;OFFSET(BD79,0,COLUMN($B79)-COLUMN(BD79)),$A:$A,0),COLUMN(BD79))&amp;":"&amp;ADDRESS(MATCH("END"&amp;OFFSET(BD79,0,COLUMN($B79)-COLUMN(BD79)),$A:$A,0),COLUMN(BD79)),TRUE)))))</f>
        <v>0</v>
      </c>
      <c r="BE79" s="360">
        <f t="shared" ca="1" si="135"/>
        <v>0</v>
      </c>
      <c r="BF79" s="357">
        <f ca="1">IF(OFFSET(BF79,ROW(BF$2)-ROW(BF79),0)="TT","TT",IF(OFFSET(BF79,0,COLUMN($M79)-COLUMN(BF79))="%",ROUND(OFFSET(BF79,-2,0)*0.07,0),IF(OFFSET(BF79,0,COLUMN($M79)-COLUMN(BF79))="V","x",SUMIF(INDIRECT(ADDRESS(MATCH("START"&amp;OFFSET(BF79,0,COLUMN($B79)-COLUMN(BF79)),$A:$A,0),$C79+COLUMN($E79)+1)&amp;":"&amp;ADDRESS(MATCH("END"&amp;OFFSET(BF79,0,COLUMN($B79)-COLUMN(BF79)),$A:$A,0),$C79+COLUMN($E79)+1),TRUE),INDIRECT(ADDRESS(ROW(BF79),$C79+COLUMN($E79)),TRUE),INDIRECT(ADDRESS(MATCH("START"&amp;OFFSET(BF79,0,COLUMN($B79)-COLUMN(BF79)),$A:$A,0),COLUMN(BF79))&amp;":"&amp;ADDRESS(MATCH("END"&amp;OFFSET(BF79,0,COLUMN($B79)-COLUMN(BF79)),$A:$A,0),COLUMN(BF79)),TRUE)))))</f>
        <v>0</v>
      </c>
      <c r="BG79" s="358"/>
      <c r="BH79" s="359">
        <f t="shared" ref="BH79:BH109" ca="1" si="148">IF(OFFSET(BH79,ROW(BH$2)-ROW(BH79),0)="TT","TT",IF(OFFSET(BH79,0,COLUMN($M79)-COLUMN(BH79))="%",ROUND((OFFSET(BH79,-2,0)-OFFSET(BH79,-21,0))*0.07,2),IF(OFFSET(BH79,0,COLUMN($M79)-COLUMN(BH79))="V",ROUND(OFFSET(BH79,0,-2)*OFFSET(BH79,0,-1),2),SUMIF(INDIRECT(ADDRESS(MATCH("START"&amp;OFFSET(BH79,0,COLUMN($B79)-COLUMN(BH79)),$A:$A,0),$C79+COLUMN($E79)+1)&amp;":"&amp;ADDRESS(MATCH("END"&amp;OFFSET(BH79,0,COLUMN($B79)-COLUMN(BH79)),$A:$A,0),$C79+COLUMN($E79)+1),TRUE),INDIRECT(ADDRESS(ROW(BH79),$C79+COLUMN($E79)),TRUE),INDIRECT(ADDRESS(MATCH("START"&amp;OFFSET(BH79,0,COLUMN($B79)-COLUMN(BH79)),$A:$A,0),COLUMN(BH79))&amp;":"&amp;ADDRESS(MATCH("END"&amp;OFFSET(BH79,0,COLUMN($B79)-COLUMN(BH79)),$A:$A,0),COLUMN(BH79)),TRUE)))))</f>
        <v>0</v>
      </c>
      <c r="BI79" s="360">
        <f t="shared" ca="1" si="136"/>
        <v>0</v>
      </c>
      <c r="BJ79" s="357">
        <f ca="1">IF(OFFSET(BJ79,ROW(BJ$2)-ROW(BJ79),0)="TT","TT",IF(OFFSET(BJ79,0,COLUMN($M79)-COLUMN(BJ79))="%",ROUND(OFFSET(BJ79,-2,0)*0.07,0),IF(OFFSET(BJ79,0,COLUMN($M79)-COLUMN(BJ79))="V","x",SUMIF(INDIRECT(ADDRESS(MATCH("START"&amp;OFFSET(BJ79,0,COLUMN($B79)-COLUMN(BJ79)),$A:$A,0),$C79+COLUMN($E79)+1)&amp;":"&amp;ADDRESS(MATCH("END"&amp;OFFSET(BJ79,0,COLUMN($B79)-COLUMN(BJ79)),$A:$A,0),$C79+COLUMN($E79)+1),TRUE),INDIRECT(ADDRESS(ROW(BJ79),$C79+COLUMN($E79)),TRUE),INDIRECT(ADDRESS(MATCH("START"&amp;OFFSET(BJ79,0,COLUMN($B79)-COLUMN(BJ79)),$A:$A,0),COLUMN(BJ79))&amp;":"&amp;ADDRESS(MATCH("END"&amp;OFFSET(BJ79,0,COLUMN($B79)-COLUMN(BJ79)),$A:$A,0),COLUMN(BJ79)),TRUE)))))</f>
        <v>0</v>
      </c>
      <c r="BK79" s="358"/>
      <c r="BL79" s="359">
        <f t="shared" ref="BL79:BL109" ca="1" si="149">IF(OFFSET(BL79,ROW(BL$2)-ROW(BL79),0)="TT","TT",IF(OFFSET(BL79,0,COLUMN($M79)-COLUMN(BL79))="%",ROUND((OFFSET(BL79,-2,0)-OFFSET(BL79,-21,0))*0.07,2),IF(OFFSET(BL79,0,COLUMN($M79)-COLUMN(BL79))="V",ROUND(OFFSET(BL79,0,-2)*OFFSET(BL79,0,-1),2),SUMIF(INDIRECT(ADDRESS(MATCH("START"&amp;OFFSET(BL79,0,COLUMN($B79)-COLUMN(BL79)),$A:$A,0),$C79+COLUMN($E79)+1)&amp;":"&amp;ADDRESS(MATCH("END"&amp;OFFSET(BL79,0,COLUMN($B79)-COLUMN(BL79)),$A:$A,0),$C79+COLUMN($E79)+1),TRUE),INDIRECT(ADDRESS(ROW(BL79),$C79+COLUMN($E79)),TRUE),INDIRECT(ADDRESS(MATCH("START"&amp;OFFSET(BL79,0,COLUMN($B79)-COLUMN(BL79)),$A:$A,0),COLUMN(BL79))&amp;":"&amp;ADDRESS(MATCH("END"&amp;OFFSET(BL79,0,COLUMN($B79)-COLUMN(BL79)),$A:$A,0),COLUMN(BL79)),TRUE)))))</f>
        <v>0</v>
      </c>
      <c r="BM79" s="360">
        <f t="shared" ca="1" si="137"/>
        <v>0</v>
      </c>
      <c r="BN79" s="360">
        <f t="shared" ca="1" si="137"/>
        <v>0</v>
      </c>
      <c r="BP79" s="246"/>
    </row>
    <row r="80" spans="1:68">
      <c r="A80" s="221" t="str">
        <f t="shared" ca="1" si="124"/>
        <v>WP003</v>
      </c>
      <c r="B80" s="221" t="str">
        <f t="shared" ca="1" si="125"/>
        <v>WP003</v>
      </c>
      <c r="C80" s="221">
        <v>7</v>
      </c>
      <c r="D80" s="221" t="s">
        <v>79</v>
      </c>
      <c r="L80" s="221" t="s">
        <v>77</v>
      </c>
      <c r="M80" s="221" t="s">
        <v>80</v>
      </c>
      <c r="N80" s="461"/>
      <c r="O80" s="247"/>
      <c r="P80" s="248"/>
      <c r="Q80" s="249" t="str">
        <f>EMP_TYPE1</f>
        <v>Type 1</v>
      </c>
      <c r="R80" s="361">
        <f t="shared" ref="R80:S89" ca="1" si="150">INDIRECT("'"&amp; MID(OFFSET(R80,ROW(R$3)-ROW(R80),IF(OFFSET(R80,ROW(R$2)-ROW(R80),2)="T",0,IF(OFFSET(R80,ROW(R$2)-ROW(R80),1)="T",-1,-2))),1,6) &amp; "'!" &amp; ADDRESS(ROW(R80),MATCH(INDIRECT(ADDRESS(2,COLUMN(R80)+IF(OFFSET(R80,ROW(R$2)-ROW(R80),2)="T",1,IF(OFFSET(R80,ROW(R$2)-ROW(R80),1)="T",0,-1))),TRUE),INDIRECT("'"&amp; MID(OFFSET(R80,ROW(R$3)-ROW(R80),IF(OFFSET(R80,ROW(R$2)-ROW(R80),2)="T",0,IF(OFFSET(R80,ROW(R$2)-ROW(R80),1)="T",-1,-2))),1,6) &amp; "'!2:2",TRUE),0)-IF(OFFSET(R80,ROW(R$2)-ROW(R80),2)="T",1,IF(OFFSET(R80,ROW(R$2)-ROW(R80),1)="T",0,-1))),TRUE)</f>
        <v>0</v>
      </c>
      <c r="S80" s="362">
        <f t="shared" ca="1" si="150"/>
        <v>0</v>
      </c>
      <c r="T80" s="363">
        <f t="shared" ca="1" si="138"/>
        <v>0</v>
      </c>
      <c r="U80" s="360">
        <f t="shared" ca="1" si="126"/>
        <v>0</v>
      </c>
      <c r="V80" s="361">
        <f t="shared" ref="V80:W89" ca="1" si="151">INDIRECT("'"&amp; MID(OFFSET(V80,ROW(V$3)-ROW(V80),IF(OFFSET(V80,ROW(V$2)-ROW(V80),2)="T",0,IF(OFFSET(V80,ROW(V$2)-ROW(V80),1)="T",-1,-2))),1,6) &amp; "'!" &amp; ADDRESS(ROW(V80),MATCH(INDIRECT(ADDRESS(2,COLUMN(V80)+IF(OFFSET(V80,ROW(V$2)-ROW(V80),2)="T",1,IF(OFFSET(V80,ROW(V$2)-ROW(V80),1)="T",0,-1))),TRUE),INDIRECT("'"&amp; MID(OFFSET(V80,ROW(V$3)-ROW(V80),IF(OFFSET(V80,ROW(V$2)-ROW(V80),2)="T",0,IF(OFFSET(V80,ROW(V$2)-ROW(V80),1)="T",-1,-2))),1,6) &amp; "'!2:2",TRUE),0)-IF(OFFSET(V80,ROW(V$2)-ROW(V80),2)="T",1,IF(OFFSET(V80,ROW(V$2)-ROW(V80),1)="T",0,-1))),TRUE)</f>
        <v>0</v>
      </c>
      <c r="W80" s="362">
        <f t="shared" ca="1" si="151"/>
        <v>0</v>
      </c>
      <c r="X80" s="363">
        <f t="shared" ca="1" si="139"/>
        <v>0</v>
      </c>
      <c r="Y80" s="360">
        <f t="shared" ca="1" si="127"/>
        <v>0</v>
      </c>
      <c r="Z80" s="361">
        <f t="shared" ref="Z80:AA89" ca="1" si="152">INDIRECT("'"&amp; MID(OFFSET(Z80,ROW(Z$3)-ROW(Z80),IF(OFFSET(Z80,ROW(Z$2)-ROW(Z80),2)="T",0,IF(OFFSET(Z80,ROW(Z$2)-ROW(Z80),1)="T",-1,-2))),1,6) &amp; "'!" &amp; ADDRESS(ROW(Z80),MATCH(INDIRECT(ADDRESS(2,COLUMN(Z80)+IF(OFFSET(Z80,ROW(Z$2)-ROW(Z80),2)="T",1,IF(OFFSET(Z80,ROW(Z$2)-ROW(Z80),1)="T",0,-1))),TRUE),INDIRECT("'"&amp; MID(OFFSET(Z80,ROW(Z$3)-ROW(Z80),IF(OFFSET(Z80,ROW(Z$2)-ROW(Z80),2)="T",0,IF(OFFSET(Z80,ROW(Z$2)-ROW(Z80),1)="T",-1,-2))),1,6) &amp; "'!2:2",TRUE),0)-IF(OFFSET(Z80,ROW(Z$2)-ROW(Z80),2)="T",1,IF(OFFSET(Z80,ROW(Z$2)-ROW(Z80),1)="T",0,-1))),TRUE)</f>
        <v>0</v>
      </c>
      <c r="AA80" s="362">
        <f t="shared" ca="1" si="152"/>
        <v>0</v>
      </c>
      <c r="AB80" s="363">
        <f t="shared" ca="1" si="140"/>
        <v>0</v>
      </c>
      <c r="AC80" s="360">
        <f t="shared" ca="1" si="128"/>
        <v>0</v>
      </c>
      <c r="AD80" s="361">
        <f t="shared" ref="AD80:AE89" ca="1" si="153">INDIRECT("'"&amp; MID(OFFSET(AD80,ROW(AD$3)-ROW(AD80),IF(OFFSET(AD80,ROW(AD$2)-ROW(AD80),2)="T",0,IF(OFFSET(AD80,ROW(AD$2)-ROW(AD80),1)="T",-1,-2))),1,6) &amp; "'!" &amp; ADDRESS(ROW(AD80),MATCH(INDIRECT(ADDRESS(2,COLUMN(AD80)+IF(OFFSET(AD80,ROW(AD$2)-ROW(AD80),2)="T",1,IF(OFFSET(AD80,ROW(AD$2)-ROW(AD80),1)="T",0,-1))),TRUE),INDIRECT("'"&amp; MID(OFFSET(AD80,ROW(AD$3)-ROW(AD80),IF(OFFSET(AD80,ROW(AD$2)-ROW(AD80),2)="T",0,IF(OFFSET(AD80,ROW(AD$2)-ROW(AD80),1)="T",-1,-2))),1,6) &amp; "'!2:2",TRUE),0)-IF(OFFSET(AD80,ROW(AD$2)-ROW(AD80),2)="T",1,IF(OFFSET(AD80,ROW(AD$2)-ROW(AD80),1)="T",0,-1))),TRUE)</f>
        <v>0</v>
      </c>
      <c r="AE80" s="362">
        <f t="shared" ca="1" si="153"/>
        <v>0</v>
      </c>
      <c r="AF80" s="363">
        <f t="shared" ca="1" si="141"/>
        <v>0</v>
      </c>
      <c r="AG80" s="360">
        <f t="shared" ca="1" si="129"/>
        <v>0</v>
      </c>
      <c r="AH80" s="361">
        <f t="shared" ref="AH80:AI89" ca="1" si="154">INDIRECT("'"&amp; MID(OFFSET(AH80,ROW(AH$3)-ROW(AH80),IF(OFFSET(AH80,ROW(AH$2)-ROW(AH80),2)="T",0,IF(OFFSET(AH80,ROW(AH$2)-ROW(AH80),1)="T",-1,-2))),1,6) &amp; "'!" &amp; ADDRESS(ROW(AH80),MATCH(INDIRECT(ADDRESS(2,COLUMN(AH80)+IF(OFFSET(AH80,ROW(AH$2)-ROW(AH80),2)="T",1,IF(OFFSET(AH80,ROW(AH$2)-ROW(AH80),1)="T",0,-1))),TRUE),INDIRECT("'"&amp; MID(OFFSET(AH80,ROW(AH$3)-ROW(AH80),IF(OFFSET(AH80,ROW(AH$2)-ROW(AH80),2)="T",0,IF(OFFSET(AH80,ROW(AH$2)-ROW(AH80),1)="T",-1,-2))),1,6) &amp; "'!2:2",TRUE),0)-IF(OFFSET(AH80,ROW(AH$2)-ROW(AH80),2)="T",1,IF(OFFSET(AH80,ROW(AH$2)-ROW(AH80),1)="T",0,-1))),TRUE)</f>
        <v>0</v>
      </c>
      <c r="AI80" s="362">
        <f t="shared" ca="1" si="154"/>
        <v>0</v>
      </c>
      <c r="AJ80" s="363">
        <f t="shared" ca="1" si="142"/>
        <v>0</v>
      </c>
      <c r="AK80" s="360">
        <f t="shared" ca="1" si="130"/>
        <v>0</v>
      </c>
      <c r="AL80" s="361">
        <f t="shared" ref="AL80:AM89" ca="1" si="155">INDIRECT("'"&amp; MID(OFFSET(AL80,ROW(AL$3)-ROW(AL80),IF(OFFSET(AL80,ROW(AL$2)-ROW(AL80),2)="T",0,IF(OFFSET(AL80,ROW(AL$2)-ROW(AL80),1)="T",-1,-2))),1,6) &amp; "'!" &amp; ADDRESS(ROW(AL80),MATCH(INDIRECT(ADDRESS(2,COLUMN(AL80)+IF(OFFSET(AL80,ROW(AL$2)-ROW(AL80),2)="T",1,IF(OFFSET(AL80,ROW(AL$2)-ROW(AL80),1)="T",0,-1))),TRUE),INDIRECT("'"&amp; MID(OFFSET(AL80,ROW(AL$3)-ROW(AL80),IF(OFFSET(AL80,ROW(AL$2)-ROW(AL80),2)="T",0,IF(OFFSET(AL80,ROW(AL$2)-ROW(AL80),1)="T",-1,-2))),1,6) &amp; "'!2:2",TRUE),0)-IF(OFFSET(AL80,ROW(AL$2)-ROW(AL80),2)="T",1,IF(OFFSET(AL80,ROW(AL$2)-ROW(AL80),1)="T",0,-1))),TRUE)</f>
        <v>0</v>
      </c>
      <c r="AM80" s="362">
        <f t="shared" ca="1" si="155"/>
        <v>0</v>
      </c>
      <c r="AN80" s="363">
        <f t="shared" ca="1" si="143"/>
        <v>0</v>
      </c>
      <c r="AO80" s="360">
        <f t="shared" ca="1" si="131"/>
        <v>0</v>
      </c>
      <c r="AP80" s="361">
        <f t="shared" ref="AP80:AQ89" ca="1" si="156">INDIRECT("'"&amp; MID(OFFSET(AP80,ROW(AP$3)-ROW(AP80),IF(OFFSET(AP80,ROW(AP$2)-ROW(AP80),2)="T",0,IF(OFFSET(AP80,ROW(AP$2)-ROW(AP80),1)="T",-1,-2))),1,6) &amp; "'!" &amp; ADDRESS(ROW(AP80),MATCH(INDIRECT(ADDRESS(2,COLUMN(AP80)+IF(OFFSET(AP80,ROW(AP$2)-ROW(AP80),2)="T",1,IF(OFFSET(AP80,ROW(AP$2)-ROW(AP80),1)="T",0,-1))),TRUE),INDIRECT("'"&amp; MID(OFFSET(AP80,ROW(AP$3)-ROW(AP80),IF(OFFSET(AP80,ROW(AP$2)-ROW(AP80),2)="T",0,IF(OFFSET(AP80,ROW(AP$2)-ROW(AP80),1)="T",-1,-2))),1,6) &amp; "'!2:2",TRUE),0)-IF(OFFSET(AP80,ROW(AP$2)-ROW(AP80),2)="T",1,IF(OFFSET(AP80,ROW(AP$2)-ROW(AP80),1)="T",0,-1))),TRUE)</f>
        <v>0</v>
      </c>
      <c r="AQ80" s="362">
        <f t="shared" ca="1" si="156"/>
        <v>0</v>
      </c>
      <c r="AR80" s="363">
        <f t="shared" ca="1" si="144"/>
        <v>0</v>
      </c>
      <c r="AS80" s="360">
        <f t="shared" ca="1" si="132"/>
        <v>0</v>
      </c>
      <c r="AT80" s="361">
        <f t="shared" ref="AT80:AU89" ca="1" si="157">INDIRECT("'"&amp; MID(OFFSET(AT80,ROW(AT$3)-ROW(AT80),IF(OFFSET(AT80,ROW(AT$2)-ROW(AT80),2)="T",0,IF(OFFSET(AT80,ROW(AT$2)-ROW(AT80),1)="T",-1,-2))),1,6) &amp; "'!" &amp; ADDRESS(ROW(AT80),MATCH(INDIRECT(ADDRESS(2,COLUMN(AT80)+IF(OFFSET(AT80,ROW(AT$2)-ROW(AT80),2)="T",1,IF(OFFSET(AT80,ROW(AT$2)-ROW(AT80),1)="T",0,-1))),TRUE),INDIRECT("'"&amp; MID(OFFSET(AT80,ROW(AT$3)-ROW(AT80),IF(OFFSET(AT80,ROW(AT$2)-ROW(AT80),2)="T",0,IF(OFFSET(AT80,ROW(AT$2)-ROW(AT80),1)="T",-1,-2))),1,6) &amp; "'!2:2",TRUE),0)-IF(OFFSET(AT80,ROW(AT$2)-ROW(AT80),2)="T",1,IF(OFFSET(AT80,ROW(AT$2)-ROW(AT80),1)="T",0,-1))),TRUE)</f>
        <v>0</v>
      </c>
      <c r="AU80" s="362">
        <f t="shared" ca="1" si="157"/>
        <v>0</v>
      </c>
      <c r="AV80" s="363">
        <f t="shared" ca="1" si="145"/>
        <v>0</v>
      </c>
      <c r="AW80" s="360">
        <f t="shared" ca="1" si="133"/>
        <v>0</v>
      </c>
      <c r="AX80" s="361">
        <f t="shared" ref="AX80:AY89" ca="1" si="158">INDIRECT("'"&amp; MID(OFFSET(AX80,ROW(AX$3)-ROW(AX80),IF(OFFSET(AX80,ROW(AX$2)-ROW(AX80),2)="T",0,IF(OFFSET(AX80,ROW(AX$2)-ROW(AX80),1)="T",-1,-2))),1,6) &amp; "'!" &amp; ADDRESS(ROW(AX80),MATCH(INDIRECT(ADDRESS(2,COLUMN(AX80)+IF(OFFSET(AX80,ROW(AX$2)-ROW(AX80),2)="T",1,IF(OFFSET(AX80,ROW(AX$2)-ROW(AX80),1)="T",0,-1))),TRUE),INDIRECT("'"&amp; MID(OFFSET(AX80,ROW(AX$3)-ROW(AX80),IF(OFFSET(AX80,ROW(AX$2)-ROW(AX80),2)="T",0,IF(OFFSET(AX80,ROW(AX$2)-ROW(AX80),1)="T",-1,-2))),1,6) &amp; "'!2:2",TRUE),0)-IF(OFFSET(AX80,ROW(AX$2)-ROW(AX80),2)="T",1,IF(OFFSET(AX80,ROW(AX$2)-ROW(AX80),1)="T",0,-1))),TRUE)</f>
        <v>0</v>
      </c>
      <c r="AY80" s="362">
        <f t="shared" ca="1" si="158"/>
        <v>0</v>
      </c>
      <c r="AZ80" s="363">
        <f t="shared" ca="1" si="146"/>
        <v>0</v>
      </c>
      <c r="BA80" s="360">
        <f t="shared" ca="1" si="134"/>
        <v>0</v>
      </c>
      <c r="BB80" s="361">
        <f t="shared" ref="BB80:BC89" ca="1" si="159">INDIRECT("'"&amp; MID(OFFSET(BB80,ROW(BB$3)-ROW(BB80),IF(OFFSET(BB80,ROW(BB$2)-ROW(BB80),2)="T",0,IF(OFFSET(BB80,ROW(BB$2)-ROW(BB80),1)="T",-1,-2))),1,6) &amp; "'!" &amp; ADDRESS(ROW(BB80),MATCH(INDIRECT(ADDRESS(2,COLUMN(BB80)+IF(OFFSET(BB80,ROW(BB$2)-ROW(BB80),2)="T",1,IF(OFFSET(BB80,ROW(BB$2)-ROW(BB80),1)="T",0,-1))),TRUE),INDIRECT("'"&amp; MID(OFFSET(BB80,ROW(BB$3)-ROW(BB80),IF(OFFSET(BB80,ROW(BB$2)-ROW(BB80),2)="T",0,IF(OFFSET(BB80,ROW(BB$2)-ROW(BB80),1)="T",-1,-2))),1,6) &amp; "'!2:2",TRUE),0)-IF(OFFSET(BB80,ROW(BB$2)-ROW(BB80),2)="T",1,IF(OFFSET(BB80,ROW(BB$2)-ROW(BB80),1)="T",0,-1))),TRUE)</f>
        <v>0</v>
      </c>
      <c r="BC80" s="362">
        <f t="shared" ca="1" si="159"/>
        <v>0</v>
      </c>
      <c r="BD80" s="363">
        <f t="shared" ca="1" si="147"/>
        <v>0</v>
      </c>
      <c r="BE80" s="360">
        <f t="shared" ca="1" si="135"/>
        <v>0</v>
      </c>
      <c r="BF80" s="361">
        <f t="shared" ref="BF80:BG89" ca="1" si="160">INDIRECT("'"&amp; MID(OFFSET(BF80,ROW(BF$3)-ROW(BF80),IF(OFFSET(BF80,ROW(BF$2)-ROW(BF80),2)="T",0,IF(OFFSET(BF80,ROW(BF$2)-ROW(BF80),1)="T",-1,-2))),1,6) &amp; "'!" &amp; ADDRESS(ROW(BF80),MATCH(INDIRECT(ADDRESS(2,COLUMN(BF80)+IF(OFFSET(BF80,ROW(BF$2)-ROW(BF80),2)="T",1,IF(OFFSET(BF80,ROW(BF$2)-ROW(BF80),1)="T",0,-1))),TRUE),INDIRECT("'"&amp; MID(OFFSET(BF80,ROW(BF$3)-ROW(BF80),IF(OFFSET(BF80,ROW(BF$2)-ROW(BF80),2)="T",0,IF(OFFSET(BF80,ROW(BF$2)-ROW(BF80),1)="T",-1,-2))),1,6) &amp; "'!2:2",TRUE),0)-IF(OFFSET(BF80,ROW(BF$2)-ROW(BF80),2)="T",1,IF(OFFSET(BF80,ROW(BF$2)-ROW(BF80),1)="T",0,-1))),TRUE)</f>
        <v>0</v>
      </c>
      <c r="BG80" s="362">
        <f t="shared" ca="1" si="160"/>
        <v>0</v>
      </c>
      <c r="BH80" s="363">
        <f t="shared" ca="1" si="148"/>
        <v>0</v>
      </c>
      <c r="BI80" s="360">
        <f t="shared" ca="1" si="136"/>
        <v>0</v>
      </c>
      <c r="BJ80" s="361">
        <f t="shared" ref="BJ80:BK89" ca="1" si="161">INDIRECT("'"&amp; MID(OFFSET(BJ80,ROW(BJ$3)-ROW(BJ80),IF(OFFSET(BJ80,ROW(BJ$2)-ROW(BJ80),2)="T",0,IF(OFFSET(BJ80,ROW(BJ$2)-ROW(BJ80),1)="T",-1,-2))),1,6) &amp; "'!" &amp; ADDRESS(ROW(BJ80),MATCH(INDIRECT(ADDRESS(2,COLUMN(BJ80)+IF(OFFSET(BJ80,ROW(BJ$2)-ROW(BJ80),2)="T",1,IF(OFFSET(BJ80,ROW(BJ$2)-ROW(BJ80),1)="T",0,-1))),TRUE),INDIRECT("'"&amp; MID(OFFSET(BJ80,ROW(BJ$3)-ROW(BJ80),IF(OFFSET(BJ80,ROW(BJ$2)-ROW(BJ80),2)="T",0,IF(OFFSET(BJ80,ROW(BJ$2)-ROW(BJ80),1)="T",-1,-2))),1,6) &amp; "'!2:2",TRUE),0)-IF(OFFSET(BJ80,ROW(BJ$2)-ROW(BJ80),2)="T",1,IF(OFFSET(BJ80,ROW(BJ$2)-ROW(BJ80),1)="T",0,-1))),TRUE)</f>
        <v>0</v>
      </c>
      <c r="BK80" s="362">
        <f t="shared" ca="1" si="161"/>
        <v>0</v>
      </c>
      <c r="BL80" s="363">
        <f t="shared" ca="1" si="149"/>
        <v>0</v>
      </c>
      <c r="BM80" s="360">
        <f t="shared" ca="1" si="137"/>
        <v>0</v>
      </c>
      <c r="BN80" s="360">
        <f t="shared" ca="1" si="137"/>
        <v>0</v>
      </c>
      <c r="BP80" s="246"/>
    </row>
    <row r="81" spans="1:68">
      <c r="A81" s="221" t="str">
        <f t="shared" ca="1" si="124"/>
        <v>WP003</v>
      </c>
      <c r="B81" s="221" t="str">
        <f t="shared" ca="1" si="125"/>
        <v>WP003</v>
      </c>
      <c r="C81" s="221">
        <v>7</v>
      </c>
      <c r="D81" s="221" t="s">
        <v>81</v>
      </c>
      <c r="L81" s="221" t="s">
        <v>77</v>
      </c>
      <c r="M81" s="221" t="s">
        <v>80</v>
      </c>
      <c r="N81" s="461"/>
      <c r="O81" s="247"/>
      <c r="P81" s="248"/>
      <c r="Q81" s="249" t="str">
        <f>EMP_TYPE2</f>
        <v>Type 2</v>
      </c>
      <c r="R81" s="361">
        <f t="shared" ca="1" si="150"/>
        <v>0</v>
      </c>
      <c r="S81" s="362">
        <f t="shared" ca="1" si="150"/>
        <v>0</v>
      </c>
      <c r="T81" s="363">
        <f t="shared" ca="1" si="138"/>
        <v>0</v>
      </c>
      <c r="U81" s="360">
        <f t="shared" ca="1" si="126"/>
        <v>0</v>
      </c>
      <c r="V81" s="361">
        <f t="shared" ca="1" si="151"/>
        <v>0</v>
      </c>
      <c r="W81" s="362">
        <f t="shared" ca="1" si="151"/>
        <v>0</v>
      </c>
      <c r="X81" s="363">
        <f t="shared" ca="1" si="139"/>
        <v>0</v>
      </c>
      <c r="Y81" s="360">
        <f t="shared" ca="1" si="127"/>
        <v>0</v>
      </c>
      <c r="Z81" s="361">
        <f t="shared" ca="1" si="152"/>
        <v>0</v>
      </c>
      <c r="AA81" s="362">
        <f t="shared" ca="1" si="152"/>
        <v>0</v>
      </c>
      <c r="AB81" s="363">
        <f t="shared" ca="1" si="140"/>
        <v>0</v>
      </c>
      <c r="AC81" s="360">
        <f t="shared" ca="1" si="128"/>
        <v>0</v>
      </c>
      <c r="AD81" s="361">
        <f t="shared" ca="1" si="153"/>
        <v>0</v>
      </c>
      <c r="AE81" s="362">
        <f t="shared" ca="1" si="153"/>
        <v>0</v>
      </c>
      <c r="AF81" s="363">
        <f t="shared" ca="1" si="141"/>
        <v>0</v>
      </c>
      <c r="AG81" s="360">
        <f t="shared" ca="1" si="129"/>
        <v>0</v>
      </c>
      <c r="AH81" s="361">
        <f t="shared" ca="1" si="154"/>
        <v>0</v>
      </c>
      <c r="AI81" s="362">
        <f t="shared" ca="1" si="154"/>
        <v>0</v>
      </c>
      <c r="AJ81" s="363">
        <f t="shared" ca="1" si="142"/>
        <v>0</v>
      </c>
      <c r="AK81" s="360">
        <f t="shared" ca="1" si="130"/>
        <v>0</v>
      </c>
      <c r="AL81" s="361">
        <f t="shared" ca="1" si="155"/>
        <v>0</v>
      </c>
      <c r="AM81" s="362">
        <f t="shared" ca="1" si="155"/>
        <v>0</v>
      </c>
      <c r="AN81" s="363">
        <f t="shared" ca="1" si="143"/>
        <v>0</v>
      </c>
      <c r="AO81" s="360">
        <f t="shared" ca="1" si="131"/>
        <v>0</v>
      </c>
      <c r="AP81" s="361">
        <f t="shared" ca="1" si="156"/>
        <v>0</v>
      </c>
      <c r="AQ81" s="362">
        <f t="shared" ca="1" si="156"/>
        <v>0</v>
      </c>
      <c r="AR81" s="363">
        <f t="shared" ca="1" si="144"/>
        <v>0</v>
      </c>
      <c r="AS81" s="360">
        <f t="shared" ca="1" si="132"/>
        <v>0</v>
      </c>
      <c r="AT81" s="361">
        <f t="shared" ca="1" si="157"/>
        <v>0</v>
      </c>
      <c r="AU81" s="362">
        <f t="shared" ca="1" si="157"/>
        <v>0</v>
      </c>
      <c r="AV81" s="363">
        <f t="shared" ca="1" si="145"/>
        <v>0</v>
      </c>
      <c r="AW81" s="360">
        <f t="shared" ca="1" si="133"/>
        <v>0</v>
      </c>
      <c r="AX81" s="361">
        <f t="shared" ca="1" si="158"/>
        <v>0</v>
      </c>
      <c r="AY81" s="362">
        <f t="shared" ca="1" si="158"/>
        <v>0</v>
      </c>
      <c r="AZ81" s="363">
        <f t="shared" ca="1" si="146"/>
        <v>0</v>
      </c>
      <c r="BA81" s="360">
        <f t="shared" ca="1" si="134"/>
        <v>0</v>
      </c>
      <c r="BB81" s="361">
        <f t="shared" ca="1" si="159"/>
        <v>0</v>
      </c>
      <c r="BC81" s="362">
        <f t="shared" ca="1" si="159"/>
        <v>0</v>
      </c>
      <c r="BD81" s="363">
        <f t="shared" ca="1" si="147"/>
        <v>0</v>
      </c>
      <c r="BE81" s="360">
        <f t="shared" ca="1" si="135"/>
        <v>0</v>
      </c>
      <c r="BF81" s="361">
        <f t="shared" ca="1" si="160"/>
        <v>0</v>
      </c>
      <c r="BG81" s="362">
        <f t="shared" ca="1" si="160"/>
        <v>0</v>
      </c>
      <c r="BH81" s="363">
        <f t="shared" ca="1" si="148"/>
        <v>0</v>
      </c>
      <c r="BI81" s="360">
        <f t="shared" ca="1" si="136"/>
        <v>0</v>
      </c>
      <c r="BJ81" s="361">
        <f t="shared" ca="1" si="161"/>
        <v>0</v>
      </c>
      <c r="BK81" s="362">
        <f t="shared" ca="1" si="161"/>
        <v>0</v>
      </c>
      <c r="BL81" s="363">
        <f t="shared" ca="1" si="149"/>
        <v>0</v>
      </c>
      <c r="BM81" s="360">
        <f t="shared" ca="1" si="137"/>
        <v>0</v>
      </c>
      <c r="BN81" s="360">
        <f t="shared" ca="1" si="137"/>
        <v>0</v>
      </c>
      <c r="BP81" s="246"/>
    </row>
    <row r="82" spans="1:68">
      <c r="A82" s="221" t="str">
        <f t="shared" ca="1" si="124"/>
        <v>WP003</v>
      </c>
      <c r="B82" s="221" t="str">
        <f t="shared" ca="1" si="125"/>
        <v>WP003</v>
      </c>
      <c r="C82" s="221">
        <v>7</v>
      </c>
      <c r="D82" s="221" t="s">
        <v>82</v>
      </c>
      <c r="L82" s="221" t="s">
        <v>77</v>
      </c>
      <c r="M82" s="221" t="s">
        <v>80</v>
      </c>
      <c r="N82" s="461"/>
      <c r="O82" s="247"/>
      <c r="P82" s="248"/>
      <c r="Q82" s="249" t="str">
        <f>EMP_TYPE3</f>
        <v>Type 3</v>
      </c>
      <c r="R82" s="361">
        <f t="shared" ca="1" si="150"/>
        <v>0</v>
      </c>
      <c r="S82" s="362">
        <f t="shared" ca="1" si="150"/>
        <v>0</v>
      </c>
      <c r="T82" s="363">
        <f t="shared" ca="1" si="138"/>
        <v>0</v>
      </c>
      <c r="U82" s="360">
        <f t="shared" ca="1" si="126"/>
        <v>0</v>
      </c>
      <c r="V82" s="361">
        <f t="shared" ca="1" si="151"/>
        <v>0</v>
      </c>
      <c r="W82" s="362">
        <f t="shared" ca="1" si="151"/>
        <v>0</v>
      </c>
      <c r="X82" s="363">
        <f t="shared" ca="1" si="139"/>
        <v>0</v>
      </c>
      <c r="Y82" s="360">
        <f t="shared" ca="1" si="127"/>
        <v>0</v>
      </c>
      <c r="Z82" s="361">
        <f t="shared" ca="1" si="152"/>
        <v>0</v>
      </c>
      <c r="AA82" s="362">
        <f t="shared" ca="1" si="152"/>
        <v>0</v>
      </c>
      <c r="AB82" s="363">
        <f t="shared" ca="1" si="140"/>
        <v>0</v>
      </c>
      <c r="AC82" s="360">
        <f t="shared" ca="1" si="128"/>
        <v>0</v>
      </c>
      <c r="AD82" s="361">
        <f t="shared" ca="1" si="153"/>
        <v>0</v>
      </c>
      <c r="AE82" s="362">
        <f t="shared" ca="1" si="153"/>
        <v>0</v>
      </c>
      <c r="AF82" s="363">
        <f t="shared" ca="1" si="141"/>
        <v>0</v>
      </c>
      <c r="AG82" s="360">
        <f t="shared" ca="1" si="129"/>
        <v>0</v>
      </c>
      <c r="AH82" s="361">
        <f t="shared" ca="1" si="154"/>
        <v>0</v>
      </c>
      <c r="AI82" s="362">
        <f t="shared" ca="1" si="154"/>
        <v>0</v>
      </c>
      <c r="AJ82" s="363">
        <f t="shared" ca="1" si="142"/>
        <v>0</v>
      </c>
      <c r="AK82" s="360">
        <f t="shared" ca="1" si="130"/>
        <v>0</v>
      </c>
      <c r="AL82" s="361">
        <f t="shared" ca="1" si="155"/>
        <v>0</v>
      </c>
      <c r="AM82" s="362">
        <f t="shared" ca="1" si="155"/>
        <v>0</v>
      </c>
      <c r="AN82" s="363">
        <f t="shared" ca="1" si="143"/>
        <v>0</v>
      </c>
      <c r="AO82" s="360">
        <f t="shared" ca="1" si="131"/>
        <v>0</v>
      </c>
      <c r="AP82" s="361">
        <f t="shared" ca="1" si="156"/>
        <v>0</v>
      </c>
      <c r="AQ82" s="362">
        <f t="shared" ca="1" si="156"/>
        <v>0</v>
      </c>
      <c r="AR82" s="363">
        <f t="shared" ca="1" si="144"/>
        <v>0</v>
      </c>
      <c r="AS82" s="360">
        <f t="shared" ca="1" si="132"/>
        <v>0</v>
      </c>
      <c r="AT82" s="361">
        <f t="shared" ca="1" si="157"/>
        <v>0</v>
      </c>
      <c r="AU82" s="362">
        <f t="shared" ca="1" si="157"/>
        <v>0</v>
      </c>
      <c r="AV82" s="363">
        <f t="shared" ca="1" si="145"/>
        <v>0</v>
      </c>
      <c r="AW82" s="360">
        <f t="shared" ca="1" si="133"/>
        <v>0</v>
      </c>
      <c r="AX82" s="361">
        <f t="shared" ca="1" si="158"/>
        <v>0</v>
      </c>
      <c r="AY82" s="362">
        <f t="shared" ca="1" si="158"/>
        <v>0</v>
      </c>
      <c r="AZ82" s="363">
        <f t="shared" ca="1" si="146"/>
        <v>0</v>
      </c>
      <c r="BA82" s="360">
        <f t="shared" ca="1" si="134"/>
        <v>0</v>
      </c>
      <c r="BB82" s="361">
        <f t="shared" ca="1" si="159"/>
        <v>0</v>
      </c>
      <c r="BC82" s="362">
        <f t="shared" ca="1" si="159"/>
        <v>0</v>
      </c>
      <c r="BD82" s="363">
        <f t="shared" ca="1" si="147"/>
        <v>0</v>
      </c>
      <c r="BE82" s="360">
        <f t="shared" ca="1" si="135"/>
        <v>0</v>
      </c>
      <c r="BF82" s="361">
        <f t="shared" ca="1" si="160"/>
        <v>0</v>
      </c>
      <c r="BG82" s="362">
        <f t="shared" ca="1" si="160"/>
        <v>0</v>
      </c>
      <c r="BH82" s="363">
        <f t="shared" ca="1" si="148"/>
        <v>0</v>
      </c>
      <c r="BI82" s="360">
        <f t="shared" ca="1" si="136"/>
        <v>0</v>
      </c>
      <c r="BJ82" s="361">
        <f t="shared" ca="1" si="161"/>
        <v>0</v>
      </c>
      <c r="BK82" s="362">
        <f t="shared" ca="1" si="161"/>
        <v>0</v>
      </c>
      <c r="BL82" s="363">
        <f t="shared" ca="1" si="149"/>
        <v>0</v>
      </c>
      <c r="BM82" s="360">
        <f t="shared" ca="1" si="137"/>
        <v>0</v>
      </c>
      <c r="BN82" s="360">
        <f t="shared" ca="1" si="137"/>
        <v>0</v>
      </c>
      <c r="BP82" s="246"/>
    </row>
    <row r="83" spans="1:68">
      <c r="A83" s="221" t="str">
        <f t="shared" ca="1" si="124"/>
        <v>WP003</v>
      </c>
      <c r="B83" s="221" t="str">
        <f t="shared" ca="1" si="125"/>
        <v>WP003</v>
      </c>
      <c r="C83" s="221">
        <v>7</v>
      </c>
      <c r="D83" s="221" t="s">
        <v>83</v>
      </c>
      <c r="L83" s="221" t="s">
        <v>77</v>
      </c>
      <c r="M83" s="221" t="s">
        <v>80</v>
      </c>
      <c r="N83" s="461"/>
      <c r="O83" s="247"/>
      <c r="P83" s="248"/>
      <c r="Q83" s="249" t="str">
        <f>EMP_TYPE4</f>
        <v>Type 4</v>
      </c>
      <c r="R83" s="361">
        <f t="shared" ca="1" si="150"/>
        <v>0</v>
      </c>
      <c r="S83" s="362">
        <f t="shared" ca="1" si="150"/>
        <v>0</v>
      </c>
      <c r="T83" s="363">
        <f t="shared" ca="1" si="138"/>
        <v>0</v>
      </c>
      <c r="U83" s="360">
        <f t="shared" ca="1" si="126"/>
        <v>0</v>
      </c>
      <c r="V83" s="361">
        <f t="shared" ca="1" si="151"/>
        <v>0</v>
      </c>
      <c r="W83" s="362">
        <f t="shared" ca="1" si="151"/>
        <v>0</v>
      </c>
      <c r="X83" s="363">
        <f t="shared" ca="1" si="139"/>
        <v>0</v>
      </c>
      <c r="Y83" s="360">
        <f t="shared" ca="1" si="127"/>
        <v>0</v>
      </c>
      <c r="Z83" s="361">
        <f t="shared" ca="1" si="152"/>
        <v>0</v>
      </c>
      <c r="AA83" s="362">
        <f t="shared" ca="1" si="152"/>
        <v>0</v>
      </c>
      <c r="AB83" s="363">
        <f t="shared" ca="1" si="140"/>
        <v>0</v>
      </c>
      <c r="AC83" s="360">
        <f t="shared" ca="1" si="128"/>
        <v>0</v>
      </c>
      <c r="AD83" s="361">
        <f t="shared" ca="1" si="153"/>
        <v>0</v>
      </c>
      <c r="AE83" s="362">
        <f t="shared" ca="1" si="153"/>
        <v>0</v>
      </c>
      <c r="AF83" s="363">
        <f t="shared" ca="1" si="141"/>
        <v>0</v>
      </c>
      <c r="AG83" s="360">
        <f t="shared" ca="1" si="129"/>
        <v>0</v>
      </c>
      <c r="AH83" s="361">
        <f t="shared" ca="1" si="154"/>
        <v>0</v>
      </c>
      <c r="AI83" s="362">
        <f t="shared" ca="1" si="154"/>
        <v>0</v>
      </c>
      <c r="AJ83" s="363">
        <f t="shared" ca="1" si="142"/>
        <v>0</v>
      </c>
      <c r="AK83" s="360">
        <f t="shared" ca="1" si="130"/>
        <v>0</v>
      </c>
      <c r="AL83" s="361">
        <f t="shared" ca="1" si="155"/>
        <v>0</v>
      </c>
      <c r="AM83" s="362">
        <f t="shared" ca="1" si="155"/>
        <v>0</v>
      </c>
      <c r="AN83" s="363">
        <f t="shared" ca="1" si="143"/>
        <v>0</v>
      </c>
      <c r="AO83" s="360">
        <f t="shared" ca="1" si="131"/>
        <v>0</v>
      </c>
      <c r="AP83" s="361">
        <f t="shared" ca="1" si="156"/>
        <v>0</v>
      </c>
      <c r="AQ83" s="362">
        <f t="shared" ca="1" si="156"/>
        <v>0</v>
      </c>
      <c r="AR83" s="363">
        <f t="shared" ca="1" si="144"/>
        <v>0</v>
      </c>
      <c r="AS83" s="360">
        <f t="shared" ca="1" si="132"/>
        <v>0</v>
      </c>
      <c r="AT83" s="361">
        <f t="shared" ca="1" si="157"/>
        <v>0</v>
      </c>
      <c r="AU83" s="362">
        <f t="shared" ca="1" si="157"/>
        <v>0</v>
      </c>
      <c r="AV83" s="363">
        <f t="shared" ca="1" si="145"/>
        <v>0</v>
      </c>
      <c r="AW83" s="360">
        <f t="shared" ca="1" si="133"/>
        <v>0</v>
      </c>
      <c r="AX83" s="361">
        <f t="shared" ca="1" si="158"/>
        <v>0</v>
      </c>
      <c r="AY83" s="362">
        <f t="shared" ca="1" si="158"/>
        <v>0</v>
      </c>
      <c r="AZ83" s="363">
        <f t="shared" ca="1" si="146"/>
        <v>0</v>
      </c>
      <c r="BA83" s="360">
        <f t="shared" ca="1" si="134"/>
        <v>0</v>
      </c>
      <c r="BB83" s="361">
        <f t="shared" ca="1" si="159"/>
        <v>0</v>
      </c>
      <c r="BC83" s="362">
        <f t="shared" ca="1" si="159"/>
        <v>0</v>
      </c>
      <c r="BD83" s="363">
        <f t="shared" ca="1" si="147"/>
        <v>0</v>
      </c>
      <c r="BE83" s="360">
        <f t="shared" ca="1" si="135"/>
        <v>0</v>
      </c>
      <c r="BF83" s="361">
        <f t="shared" ca="1" si="160"/>
        <v>0</v>
      </c>
      <c r="BG83" s="362">
        <f t="shared" ca="1" si="160"/>
        <v>0</v>
      </c>
      <c r="BH83" s="363">
        <f t="shared" ca="1" si="148"/>
        <v>0</v>
      </c>
      <c r="BI83" s="360">
        <f t="shared" ca="1" si="136"/>
        <v>0</v>
      </c>
      <c r="BJ83" s="361">
        <f t="shared" ca="1" si="161"/>
        <v>0</v>
      </c>
      <c r="BK83" s="362">
        <f t="shared" ca="1" si="161"/>
        <v>0</v>
      </c>
      <c r="BL83" s="363">
        <f t="shared" ca="1" si="149"/>
        <v>0</v>
      </c>
      <c r="BM83" s="360">
        <f t="shared" ca="1" si="137"/>
        <v>0</v>
      </c>
      <c r="BN83" s="360">
        <f t="shared" ca="1" si="137"/>
        <v>0</v>
      </c>
      <c r="BP83" s="246"/>
    </row>
    <row r="84" spans="1:68">
      <c r="A84" s="221" t="str">
        <f t="shared" ca="1" si="124"/>
        <v>WP003</v>
      </c>
      <c r="B84" s="221" t="str">
        <f t="shared" ca="1" si="125"/>
        <v>WP003</v>
      </c>
      <c r="C84" s="221">
        <v>7</v>
      </c>
      <c r="D84" s="221" t="s">
        <v>84</v>
      </c>
      <c r="L84" s="221" t="s">
        <v>77</v>
      </c>
      <c r="M84" s="221" t="s">
        <v>80</v>
      </c>
      <c r="N84" s="461"/>
      <c r="O84" s="247"/>
      <c r="P84" s="248"/>
      <c r="Q84" s="249" t="str">
        <f>EMP_OTHER</f>
        <v>Type 5</v>
      </c>
      <c r="R84" s="361">
        <f t="shared" ca="1" si="150"/>
        <v>0</v>
      </c>
      <c r="S84" s="362">
        <f t="shared" ca="1" si="150"/>
        <v>0</v>
      </c>
      <c r="T84" s="363">
        <f t="shared" ca="1" si="138"/>
        <v>0</v>
      </c>
      <c r="U84" s="360">
        <f t="shared" ca="1" si="126"/>
        <v>0</v>
      </c>
      <c r="V84" s="361">
        <f t="shared" ca="1" si="151"/>
        <v>0</v>
      </c>
      <c r="W84" s="362">
        <f t="shared" ca="1" si="151"/>
        <v>0</v>
      </c>
      <c r="X84" s="363">
        <f t="shared" ca="1" si="139"/>
        <v>0</v>
      </c>
      <c r="Y84" s="360">
        <f t="shared" ca="1" si="127"/>
        <v>0</v>
      </c>
      <c r="Z84" s="361">
        <f t="shared" ca="1" si="152"/>
        <v>0</v>
      </c>
      <c r="AA84" s="362">
        <f t="shared" ca="1" si="152"/>
        <v>0</v>
      </c>
      <c r="AB84" s="363">
        <f t="shared" ca="1" si="140"/>
        <v>0</v>
      </c>
      <c r="AC84" s="360">
        <f t="shared" ca="1" si="128"/>
        <v>0</v>
      </c>
      <c r="AD84" s="361">
        <f t="shared" ca="1" si="153"/>
        <v>0</v>
      </c>
      <c r="AE84" s="362">
        <f t="shared" ca="1" si="153"/>
        <v>0</v>
      </c>
      <c r="AF84" s="363">
        <f t="shared" ca="1" si="141"/>
        <v>0</v>
      </c>
      <c r="AG84" s="360">
        <f t="shared" ca="1" si="129"/>
        <v>0</v>
      </c>
      <c r="AH84" s="361">
        <f t="shared" ca="1" si="154"/>
        <v>0</v>
      </c>
      <c r="AI84" s="362">
        <f t="shared" ca="1" si="154"/>
        <v>0</v>
      </c>
      <c r="AJ84" s="363">
        <f t="shared" ca="1" si="142"/>
        <v>0</v>
      </c>
      <c r="AK84" s="360">
        <f t="shared" ca="1" si="130"/>
        <v>0</v>
      </c>
      <c r="AL84" s="361">
        <f t="shared" ca="1" si="155"/>
        <v>0</v>
      </c>
      <c r="AM84" s="362">
        <f t="shared" ca="1" si="155"/>
        <v>0</v>
      </c>
      <c r="AN84" s="363">
        <f t="shared" ca="1" si="143"/>
        <v>0</v>
      </c>
      <c r="AO84" s="360">
        <f t="shared" ca="1" si="131"/>
        <v>0</v>
      </c>
      <c r="AP84" s="361">
        <f t="shared" ca="1" si="156"/>
        <v>0</v>
      </c>
      <c r="AQ84" s="362">
        <f t="shared" ca="1" si="156"/>
        <v>0</v>
      </c>
      <c r="AR84" s="363">
        <f t="shared" ca="1" si="144"/>
        <v>0</v>
      </c>
      <c r="AS84" s="360">
        <f t="shared" ca="1" si="132"/>
        <v>0</v>
      </c>
      <c r="AT84" s="361">
        <f t="shared" ca="1" si="157"/>
        <v>0</v>
      </c>
      <c r="AU84" s="362">
        <f t="shared" ca="1" si="157"/>
        <v>0</v>
      </c>
      <c r="AV84" s="363">
        <f t="shared" ca="1" si="145"/>
        <v>0</v>
      </c>
      <c r="AW84" s="360">
        <f t="shared" ca="1" si="133"/>
        <v>0</v>
      </c>
      <c r="AX84" s="361">
        <f t="shared" ca="1" si="158"/>
        <v>0</v>
      </c>
      <c r="AY84" s="362">
        <f t="shared" ca="1" si="158"/>
        <v>0</v>
      </c>
      <c r="AZ84" s="363">
        <f t="shared" ca="1" si="146"/>
        <v>0</v>
      </c>
      <c r="BA84" s="360">
        <f t="shared" ca="1" si="134"/>
        <v>0</v>
      </c>
      <c r="BB84" s="361">
        <f t="shared" ca="1" si="159"/>
        <v>0</v>
      </c>
      <c r="BC84" s="362">
        <f t="shared" ca="1" si="159"/>
        <v>0</v>
      </c>
      <c r="BD84" s="363">
        <f t="shared" ca="1" si="147"/>
        <v>0</v>
      </c>
      <c r="BE84" s="360">
        <f t="shared" ca="1" si="135"/>
        <v>0</v>
      </c>
      <c r="BF84" s="361">
        <f t="shared" ca="1" si="160"/>
        <v>0</v>
      </c>
      <c r="BG84" s="362">
        <f t="shared" ca="1" si="160"/>
        <v>0</v>
      </c>
      <c r="BH84" s="363">
        <f t="shared" ca="1" si="148"/>
        <v>0</v>
      </c>
      <c r="BI84" s="360">
        <f t="shared" ca="1" si="136"/>
        <v>0</v>
      </c>
      <c r="BJ84" s="361">
        <f t="shared" ca="1" si="161"/>
        <v>0</v>
      </c>
      <c r="BK84" s="362">
        <f t="shared" ca="1" si="161"/>
        <v>0</v>
      </c>
      <c r="BL84" s="363">
        <f t="shared" ca="1" si="149"/>
        <v>0</v>
      </c>
      <c r="BM84" s="360">
        <f t="shared" ca="1" si="137"/>
        <v>0</v>
      </c>
      <c r="BN84" s="360">
        <f t="shared" ca="1" si="137"/>
        <v>0</v>
      </c>
      <c r="BP84" s="246"/>
    </row>
    <row r="85" spans="1:68">
      <c r="A85" s="221" t="str">
        <f t="shared" ca="1" si="124"/>
        <v>WP003</v>
      </c>
      <c r="B85" s="221" t="str">
        <f t="shared" ca="1" si="125"/>
        <v>WP003</v>
      </c>
      <c r="C85" s="221">
        <v>6</v>
      </c>
      <c r="D85" s="221" t="s">
        <v>85</v>
      </c>
      <c r="J85" s="222" t="s">
        <v>75</v>
      </c>
      <c r="M85" s="221" t="s">
        <v>80</v>
      </c>
      <c r="N85" s="461"/>
      <c r="O85" s="250"/>
      <c r="P85" s="458" t="s">
        <v>86</v>
      </c>
      <c r="Q85" s="456"/>
      <c r="R85" s="364">
        <f t="shared" ca="1" si="150"/>
        <v>0</v>
      </c>
      <c r="S85" s="358">
        <f t="shared" ca="1" si="150"/>
        <v>0</v>
      </c>
      <c r="T85" s="359">
        <f t="shared" ca="1" si="138"/>
        <v>0</v>
      </c>
      <c r="U85" s="360">
        <f t="shared" ca="1" si="126"/>
        <v>0</v>
      </c>
      <c r="V85" s="364">
        <f t="shared" ca="1" si="151"/>
        <v>0</v>
      </c>
      <c r="W85" s="358">
        <f t="shared" ca="1" si="151"/>
        <v>0</v>
      </c>
      <c r="X85" s="359">
        <f t="shared" ca="1" si="139"/>
        <v>0</v>
      </c>
      <c r="Y85" s="360">
        <f t="shared" ca="1" si="127"/>
        <v>0</v>
      </c>
      <c r="Z85" s="364">
        <f t="shared" ca="1" si="152"/>
        <v>0</v>
      </c>
      <c r="AA85" s="358">
        <f t="shared" ca="1" si="152"/>
        <v>0</v>
      </c>
      <c r="AB85" s="359">
        <f t="shared" ca="1" si="140"/>
        <v>0</v>
      </c>
      <c r="AC85" s="360">
        <f t="shared" ca="1" si="128"/>
        <v>0</v>
      </c>
      <c r="AD85" s="364">
        <f t="shared" ca="1" si="153"/>
        <v>0</v>
      </c>
      <c r="AE85" s="358">
        <f t="shared" ca="1" si="153"/>
        <v>0</v>
      </c>
      <c r="AF85" s="359">
        <f t="shared" ca="1" si="141"/>
        <v>0</v>
      </c>
      <c r="AG85" s="360">
        <f t="shared" ca="1" si="129"/>
        <v>0</v>
      </c>
      <c r="AH85" s="364">
        <f t="shared" ca="1" si="154"/>
        <v>0</v>
      </c>
      <c r="AI85" s="358">
        <f t="shared" ca="1" si="154"/>
        <v>0</v>
      </c>
      <c r="AJ85" s="359">
        <f t="shared" ca="1" si="142"/>
        <v>0</v>
      </c>
      <c r="AK85" s="360">
        <f t="shared" ca="1" si="130"/>
        <v>0</v>
      </c>
      <c r="AL85" s="364">
        <f t="shared" ca="1" si="155"/>
        <v>0</v>
      </c>
      <c r="AM85" s="358">
        <f t="shared" ca="1" si="155"/>
        <v>0</v>
      </c>
      <c r="AN85" s="359">
        <f t="shared" ca="1" si="143"/>
        <v>0</v>
      </c>
      <c r="AO85" s="360">
        <f t="shared" ca="1" si="131"/>
        <v>0</v>
      </c>
      <c r="AP85" s="364">
        <f t="shared" ca="1" si="156"/>
        <v>0</v>
      </c>
      <c r="AQ85" s="358">
        <f t="shared" ca="1" si="156"/>
        <v>0</v>
      </c>
      <c r="AR85" s="359">
        <f t="shared" ca="1" si="144"/>
        <v>0</v>
      </c>
      <c r="AS85" s="360">
        <f t="shared" ca="1" si="132"/>
        <v>0</v>
      </c>
      <c r="AT85" s="364">
        <f t="shared" ca="1" si="157"/>
        <v>0</v>
      </c>
      <c r="AU85" s="358">
        <f t="shared" ca="1" si="157"/>
        <v>0</v>
      </c>
      <c r="AV85" s="359">
        <f t="shared" ca="1" si="145"/>
        <v>0</v>
      </c>
      <c r="AW85" s="360">
        <f t="shared" ca="1" si="133"/>
        <v>0</v>
      </c>
      <c r="AX85" s="364">
        <f t="shared" ca="1" si="158"/>
        <v>0</v>
      </c>
      <c r="AY85" s="358">
        <f t="shared" ca="1" si="158"/>
        <v>0</v>
      </c>
      <c r="AZ85" s="359">
        <f t="shared" ca="1" si="146"/>
        <v>0</v>
      </c>
      <c r="BA85" s="360">
        <f t="shared" ca="1" si="134"/>
        <v>0</v>
      </c>
      <c r="BB85" s="364">
        <f t="shared" ca="1" si="159"/>
        <v>0</v>
      </c>
      <c r="BC85" s="358">
        <f t="shared" ca="1" si="159"/>
        <v>0</v>
      </c>
      <c r="BD85" s="359">
        <f t="shared" ca="1" si="147"/>
        <v>0</v>
      </c>
      <c r="BE85" s="360">
        <f t="shared" ca="1" si="135"/>
        <v>0</v>
      </c>
      <c r="BF85" s="364">
        <f t="shared" ca="1" si="160"/>
        <v>0</v>
      </c>
      <c r="BG85" s="358">
        <f t="shared" ca="1" si="160"/>
        <v>0</v>
      </c>
      <c r="BH85" s="359">
        <f t="shared" ca="1" si="148"/>
        <v>0</v>
      </c>
      <c r="BI85" s="360">
        <f t="shared" ca="1" si="136"/>
        <v>0</v>
      </c>
      <c r="BJ85" s="364">
        <f t="shared" ca="1" si="161"/>
        <v>0</v>
      </c>
      <c r="BK85" s="358">
        <f t="shared" ca="1" si="161"/>
        <v>0</v>
      </c>
      <c r="BL85" s="359">
        <f t="shared" ca="1" si="149"/>
        <v>0</v>
      </c>
      <c r="BM85" s="360">
        <f t="shared" ca="1" si="137"/>
        <v>0</v>
      </c>
      <c r="BN85" s="360">
        <f t="shared" ca="1" si="137"/>
        <v>0</v>
      </c>
      <c r="BP85" s="246"/>
    </row>
    <row r="86" spans="1:68">
      <c r="A86" s="221" t="str">
        <f t="shared" ca="1" si="124"/>
        <v>WP003</v>
      </c>
      <c r="B86" s="221" t="str">
        <f t="shared" ca="1" si="125"/>
        <v>WP003</v>
      </c>
      <c r="C86" s="221">
        <v>6</v>
      </c>
      <c r="D86" s="221" t="s">
        <v>87</v>
      </c>
      <c r="J86" s="222" t="s">
        <v>75</v>
      </c>
      <c r="M86" s="221" t="s">
        <v>80</v>
      </c>
      <c r="N86" s="461"/>
      <c r="O86" s="250"/>
      <c r="P86" s="458" t="s">
        <v>88</v>
      </c>
      <c r="Q86" s="456"/>
      <c r="R86" s="364">
        <f t="shared" ca="1" si="150"/>
        <v>0</v>
      </c>
      <c r="S86" s="358">
        <f t="shared" ca="1" si="150"/>
        <v>0</v>
      </c>
      <c r="T86" s="359">
        <f t="shared" ca="1" si="138"/>
        <v>0</v>
      </c>
      <c r="U86" s="360">
        <f t="shared" ca="1" si="126"/>
        <v>0</v>
      </c>
      <c r="V86" s="364">
        <f t="shared" ca="1" si="151"/>
        <v>0</v>
      </c>
      <c r="W86" s="358">
        <f t="shared" ca="1" si="151"/>
        <v>0</v>
      </c>
      <c r="X86" s="359">
        <f t="shared" ca="1" si="139"/>
        <v>0</v>
      </c>
      <c r="Y86" s="360">
        <f t="shared" ca="1" si="127"/>
        <v>0</v>
      </c>
      <c r="Z86" s="364">
        <f t="shared" ca="1" si="152"/>
        <v>0</v>
      </c>
      <c r="AA86" s="358">
        <f t="shared" ca="1" si="152"/>
        <v>0</v>
      </c>
      <c r="AB86" s="359">
        <f t="shared" ca="1" si="140"/>
        <v>0</v>
      </c>
      <c r="AC86" s="360">
        <f t="shared" ca="1" si="128"/>
        <v>0</v>
      </c>
      <c r="AD86" s="364">
        <f t="shared" ca="1" si="153"/>
        <v>0</v>
      </c>
      <c r="AE86" s="358">
        <f t="shared" ca="1" si="153"/>
        <v>0</v>
      </c>
      <c r="AF86" s="359">
        <f t="shared" ca="1" si="141"/>
        <v>0</v>
      </c>
      <c r="AG86" s="360">
        <f t="shared" ca="1" si="129"/>
        <v>0</v>
      </c>
      <c r="AH86" s="364">
        <f t="shared" ca="1" si="154"/>
        <v>0</v>
      </c>
      <c r="AI86" s="358">
        <f t="shared" ca="1" si="154"/>
        <v>0</v>
      </c>
      <c r="AJ86" s="359">
        <f t="shared" ca="1" si="142"/>
        <v>0</v>
      </c>
      <c r="AK86" s="360">
        <f t="shared" ca="1" si="130"/>
        <v>0</v>
      </c>
      <c r="AL86" s="364">
        <f t="shared" ca="1" si="155"/>
        <v>0</v>
      </c>
      <c r="AM86" s="358">
        <f t="shared" ca="1" si="155"/>
        <v>0</v>
      </c>
      <c r="AN86" s="359">
        <f t="shared" ca="1" si="143"/>
        <v>0</v>
      </c>
      <c r="AO86" s="360">
        <f t="shared" ca="1" si="131"/>
        <v>0</v>
      </c>
      <c r="AP86" s="364">
        <f t="shared" ca="1" si="156"/>
        <v>0</v>
      </c>
      <c r="AQ86" s="358">
        <f t="shared" ca="1" si="156"/>
        <v>0</v>
      </c>
      <c r="AR86" s="359">
        <f t="shared" ca="1" si="144"/>
        <v>0</v>
      </c>
      <c r="AS86" s="360">
        <f t="shared" ca="1" si="132"/>
        <v>0</v>
      </c>
      <c r="AT86" s="364">
        <f t="shared" ca="1" si="157"/>
        <v>0</v>
      </c>
      <c r="AU86" s="358">
        <f t="shared" ca="1" si="157"/>
        <v>0</v>
      </c>
      <c r="AV86" s="359">
        <f t="shared" ca="1" si="145"/>
        <v>0</v>
      </c>
      <c r="AW86" s="360">
        <f t="shared" ca="1" si="133"/>
        <v>0</v>
      </c>
      <c r="AX86" s="364">
        <f t="shared" ca="1" si="158"/>
        <v>0</v>
      </c>
      <c r="AY86" s="358">
        <f t="shared" ca="1" si="158"/>
        <v>0</v>
      </c>
      <c r="AZ86" s="359">
        <f t="shared" ca="1" si="146"/>
        <v>0</v>
      </c>
      <c r="BA86" s="360">
        <f t="shared" ca="1" si="134"/>
        <v>0</v>
      </c>
      <c r="BB86" s="364">
        <f t="shared" ca="1" si="159"/>
        <v>0</v>
      </c>
      <c r="BC86" s="358">
        <f t="shared" ca="1" si="159"/>
        <v>0</v>
      </c>
      <c r="BD86" s="359">
        <f t="shared" ca="1" si="147"/>
        <v>0</v>
      </c>
      <c r="BE86" s="360">
        <f t="shared" ca="1" si="135"/>
        <v>0</v>
      </c>
      <c r="BF86" s="364">
        <f t="shared" ca="1" si="160"/>
        <v>0</v>
      </c>
      <c r="BG86" s="358">
        <f t="shared" ca="1" si="160"/>
        <v>0</v>
      </c>
      <c r="BH86" s="359">
        <f t="shared" ca="1" si="148"/>
        <v>0</v>
      </c>
      <c r="BI86" s="360">
        <f t="shared" ca="1" si="136"/>
        <v>0</v>
      </c>
      <c r="BJ86" s="364">
        <f t="shared" ca="1" si="161"/>
        <v>0</v>
      </c>
      <c r="BK86" s="358">
        <f t="shared" ca="1" si="161"/>
        <v>0</v>
      </c>
      <c r="BL86" s="359">
        <f t="shared" ca="1" si="149"/>
        <v>0</v>
      </c>
      <c r="BM86" s="360">
        <f t="shared" ca="1" si="137"/>
        <v>0</v>
      </c>
      <c r="BN86" s="360">
        <f t="shared" ca="1" si="137"/>
        <v>0</v>
      </c>
      <c r="BP86" s="246"/>
    </row>
    <row r="87" spans="1:68">
      <c r="A87" s="221" t="str">
        <f t="shared" ca="1" si="124"/>
        <v>WP003</v>
      </c>
      <c r="B87" s="221" t="str">
        <f t="shared" ca="1" si="125"/>
        <v>WP003</v>
      </c>
      <c r="C87" s="221">
        <v>6</v>
      </c>
      <c r="D87" s="221" t="s">
        <v>89</v>
      </c>
      <c r="J87" s="222" t="s">
        <v>75</v>
      </c>
      <c r="M87" s="221" t="s">
        <v>80</v>
      </c>
      <c r="N87" s="461"/>
      <c r="O87" s="250"/>
      <c r="P87" s="458" t="s">
        <v>90</v>
      </c>
      <c r="Q87" s="456"/>
      <c r="R87" s="364">
        <f t="shared" ca="1" si="150"/>
        <v>0</v>
      </c>
      <c r="S87" s="358">
        <f t="shared" ca="1" si="150"/>
        <v>0</v>
      </c>
      <c r="T87" s="359">
        <f t="shared" ca="1" si="138"/>
        <v>0</v>
      </c>
      <c r="U87" s="360">
        <f t="shared" ca="1" si="126"/>
        <v>0</v>
      </c>
      <c r="V87" s="364">
        <f t="shared" ca="1" si="151"/>
        <v>0</v>
      </c>
      <c r="W87" s="358">
        <f t="shared" ca="1" si="151"/>
        <v>0</v>
      </c>
      <c r="X87" s="359">
        <f t="shared" ca="1" si="139"/>
        <v>0</v>
      </c>
      <c r="Y87" s="360">
        <f t="shared" ca="1" si="127"/>
        <v>0</v>
      </c>
      <c r="Z87" s="364">
        <f t="shared" ca="1" si="152"/>
        <v>0</v>
      </c>
      <c r="AA87" s="358">
        <f t="shared" ca="1" si="152"/>
        <v>0</v>
      </c>
      <c r="AB87" s="359">
        <f t="shared" ca="1" si="140"/>
        <v>0</v>
      </c>
      <c r="AC87" s="360">
        <f t="shared" ca="1" si="128"/>
        <v>0</v>
      </c>
      <c r="AD87" s="364">
        <f t="shared" ca="1" si="153"/>
        <v>0</v>
      </c>
      <c r="AE87" s="358">
        <f t="shared" ca="1" si="153"/>
        <v>0</v>
      </c>
      <c r="AF87" s="359">
        <f t="shared" ca="1" si="141"/>
        <v>0</v>
      </c>
      <c r="AG87" s="360">
        <f t="shared" ca="1" si="129"/>
        <v>0</v>
      </c>
      <c r="AH87" s="364">
        <f t="shared" ca="1" si="154"/>
        <v>0</v>
      </c>
      <c r="AI87" s="358">
        <f t="shared" ca="1" si="154"/>
        <v>0</v>
      </c>
      <c r="AJ87" s="359">
        <f t="shared" ca="1" si="142"/>
        <v>0</v>
      </c>
      <c r="AK87" s="360">
        <f t="shared" ca="1" si="130"/>
        <v>0</v>
      </c>
      <c r="AL87" s="364">
        <f t="shared" ca="1" si="155"/>
        <v>0</v>
      </c>
      <c r="AM87" s="358">
        <f t="shared" ca="1" si="155"/>
        <v>0</v>
      </c>
      <c r="AN87" s="359">
        <f t="shared" ca="1" si="143"/>
        <v>0</v>
      </c>
      <c r="AO87" s="360">
        <f t="shared" ca="1" si="131"/>
        <v>0</v>
      </c>
      <c r="AP87" s="364">
        <f t="shared" ca="1" si="156"/>
        <v>0</v>
      </c>
      <c r="AQ87" s="358">
        <f t="shared" ca="1" si="156"/>
        <v>0</v>
      </c>
      <c r="AR87" s="359">
        <f t="shared" ca="1" si="144"/>
        <v>0</v>
      </c>
      <c r="AS87" s="360">
        <f t="shared" ca="1" si="132"/>
        <v>0</v>
      </c>
      <c r="AT87" s="364">
        <f t="shared" ca="1" si="157"/>
        <v>0</v>
      </c>
      <c r="AU87" s="358">
        <f t="shared" ca="1" si="157"/>
        <v>0</v>
      </c>
      <c r="AV87" s="359">
        <f t="shared" ca="1" si="145"/>
        <v>0</v>
      </c>
      <c r="AW87" s="360">
        <f t="shared" ca="1" si="133"/>
        <v>0</v>
      </c>
      <c r="AX87" s="364">
        <f t="shared" ca="1" si="158"/>
        <v>0</v>
      </c>
      <c r="AY87" s="358">
        <f t="shared" ca="1" si="158"/>
        <v>0</v>
      </c>
      <c r="AZ87" s="359">
        <f t="shared" ca="1" si="146"/>
        <v>0</v>
      </c>
      <c r="BA87" s="360">
        <f t="shared" ca="1" si="134"/>
        <v>0</v>
      </c>
      <c r="BB87" s="364">
        <f t="shared" ca="1" si="159"/>
        <v>0</v>
      </c>
      <c r="BC87" s="358">
        <f t="shared" ca="1" si="159"/>
        <v>0</v>
      </c>
      <c r="BD87" s="359">
        <f t="shared" ca="1" si="147"/>
        <v>0</v>
      </c>
      <c r="BE87" s="360">
        <f t="shared" ca="1" si="135"/>
        <v>0</v>
      </c>
      <c r="BF87" s="364">
        <f t="shared" ca="1" si="160"/>
        <v>0</v>
      </c>
      <c r="BG87" s="358">
        <f t="shared" ca="1" si="160"/>
        <v>0</v>
      </c>
      <c r="BH87" s="359">
        <f t="shared" ca="1" si="148"/>
        <v>0</v>
      </c>
      <c r="BI87" s="360">
        <f t="shared" ca="1" si="136"/>
        <v>0</v>
      </c>
      <c r="BJ87" s="364">
        <f t="shared" ca="1" si="161"/>
        <v>0</v>
      </c>
      <c r="BK87" s="358">
        <f t="shared" ca="1" si="161"/>
        <v>0</v>
      </c>
      <c r="BL87" s="359">
        <f t="shared" ca="1" si="149"/>
        <v>0</v>
      </c>
      <c r="BM87" s="360">
        <f t="shared" ca="1" si="137"/>
        <v>0</v>
      </c>
      <c r="BN87" s="360">
        <f t="shared" ca="1" si="137"/>
        <v>0</v>
      </c>
      <c r="BP87" s="246"/>
    </row>
    <row r="88" spans="1:68">
      <c r="A88" s="221" t="str">
        <f t="shared" ca="1" si="124"/>
        <v>WP003</v>
      </c>
      <c r="B88" s="221" t="str">
        <f t="shared" ca="1" si="125"/>
        <v>WP003</v>
      </c>
      <c r="C88" s="221">
        <v>6</v>
      </c>
      <c r="D88" s="221" t="s">
        <v>91</v>
      </c>
      <c r="J88" s="222" t="s">
        <v>75</v>
      </c>
      <c r="M88" s="221" t="s">
        <v>80</v>
      </c>
      <c r="N88" s="461"/>
      <c r="O88" s="250"/>
      <c r="P88" s="458" t="s">
        <v>92</v>
      </c>
      <c r="Q88" s="456"/>
      <c r="R88" s="364">
        <f t="shared" ca="1" si="150"/>
        <v>0</v>
      </c>
      <c r="S88" s="358">
        <f t="shared" ca="1" si="150"/>
        <v>0</v>
      </c>
      <c r="T88" s="359">
        <f t="shared" ca="1" si="138"/>
        <v>0</v>
      </c>
      <c r="U88" s="360">
        <f t="shared" ca="1" si="126"/>
        <v>0</v>
      </c>
      <c r="V88" s="364">
        <f t="shared" ca="1" si="151"/>
        <v>0</v>
      </c>
      <c r="W88" s="358">
        <f t="shared" ca="1" si="151"/>
        <v>0</v>
      </c>
      <c r="X88" s="359">
        <f t="shared" ca="1" si="139"/>
        <v>0</v>
      </c>
      <c r="Y88" s="360">
        <f t="shared" ca="1" si="127"/>
        <v>0</v>
      </c>
      <c r="Z88" s="364">
        <f t="shared" ca="1" si="152"/>
        <v>0</v>
      </c>
      <c r="AA88" s="358">
        <f t="shared" ca="1" si="152"/>
        <v>0</v>
      </c>
      <c r="AB88" s="359">
        <f t="shared" ca="1" si="140"/>
        <v>0</v>
      </c>
      <c r="AC88" s="360">
        <f t="shared" ca="1" si="128"/>
        <v>0</v>
      </c>
      <c r="AD88" s="364">
        <f t="shared" ca="1" si="153"/>
        <v>0</v>
      </c>
      <c r="AE88" s="358">
        <f t="shared" ca="1" si="153"/>
        <v>0</v>
      </c>
      <c r="AF88" s="359">
        <f t="shared" ca="1" si="141"/>
        <v>0</v>
      </c>
      <c r="AG88" s="360">
        <f t="shared" ca="1" si="129"/>
        <v>0</v>
      </c>
      <c r="AH88" s="364">
        <f t="shared" ca="1" si="154"/>
        <v>0</v>
      </c>
      <c r="AI88" s="358">
        <f t="shared" ca="1" si="154"/>
        <v>0</v>
      </c>
      <c r="AJ88" s="359">
        <f t="shared" ca="1" si="142"/>
        <v>0</v>
      </c>
      <c r="AK88" s="360">
        <f t="shared" ca="1" si="130"/>
        <v>0</v>
      </c>
      <c r="AL88" s="364">
        <f t="shared" ca="1" si="155"/>
        <v>0</v>
      </c>
      <c r="AM88" s="358">
        <f t="shared" ca="1" si="155"/>
        <v>0</v>
      </c>
      <c r="AN88" s="359">
        <f t="shared" ca="1" si="143"/>
        <v>0</v>
      </c>
      <c r="AO88" s="360">
        <f t="shared" ca="1" si="131"/>
        <v>0</v>
      </c>
      <c r="AP88" s="364">
        <f t="shared" ca="1" si="156"/>
        <v>0</v>
      </c>
      <c r="AQ88" s="358">
        <f t="shared" ca="1" si="156"/>
        <v>0</v>
      </c>
      <c r="AR88" s="359">
        <f t="shared" ca="1" si="144"/>
        <v>0</v>
      </c>
      <c r="AS88" s="360">
        <f t="shared" ca="1" si="132"/>
        <v>0</v>
      </c>
      <c r="AT88" s="364">
        <f t="shared" ca="1" si="157"/>
        <v>0</v>
      </c>
      <c r="AU88" s="358">
        <f t="shared" ca="1" si="157"/>
        <v>0</v>
      </c>
      <c r="AV88" s="359">
        <f t="shared" ca="1" si="145"/>
        <v>0</v>
      </c>
      <c r="AW88" s="360">
        <f t="shared" ca="1" si="133"/>
        <v>0</v>
      </c>
      <c r="AX88" s="364">
        <f t="shared" ca="1" si="158"/>
        <v>0</v>
      </c>
      <c r="AY88" s="358">
        <f t="shared" ca="1" si="158"/>
        <v>0</v>
      </c>
      <c r="AZ88" s="359">
        <f t="shared" ca="1" si="146"/>
        <v>0</v>
      </c>
      <c r="BA88" s="360">
        <f t="shared" ca="1" si="134"/>
        <v>0</v>
      </c>
      <c r="BB88" s="364">
        <f t="shared" ca="1" si="159"/>
        <v>0</v>
      </c>
      <c r="BC88" s="358">
        <f t="shared" ca="1" si="159"/>
        <v>0</v>
      </c>
      <c r="BD88" s="359">
        <f t="shared" ca="1" si="147"/>
        <v>0</v>
      </c>
      <c r="BE88" s="360">
        <f t="shared" ca="1" si="135"/>
        <v>0</v>
      </c>
      <c r="BF88" s="364">
        <f t="shared" ca="1" si="160"/>
        <v>0</v>
      </c>
      <c r="BG88" s="358">
        <f t="shared" ca="1" si="160"/>
        <v>0</v>
      </c>
      <c r="BH88" s="359">
        <f t="shared" ca="1" si="148"/>
        <v>0</v>
      </c>
      <c r="BI88" s="360">
        <f t="shared" ca="1" si="136"/>
        <v>0</v>
      </c>
      <c r="BJ88" s="364">
        <f t="shared" ca="1" si="161"/>
        <v>0</v>
      </c>
      <c r="BK88" s="358">
        <f t="shared" ca="1" si="161"/>
        <v>0</v>
      </c>
      <c r="BL88" s="359">
        <f t="shared" ca="1" si="149"/>
        <v>0</v>
      </c>
      <c r="BM88" s="360">
        <f t="shared" ca="1" si="137"/>
        <v>0</v>
      </c>
      <c r="BN88" s="360">
        <f t="shared" ca="1" si="137"/>
        <v>0</v>
      </c>
    </row>
    <row r="89" spans="1:68">
      <c r="A89" s="221" t="str">
        <f t="shared" ca="1" si="124"/>
        <v>WP003</v>
      </c>
      <c r="B89" s="221" t="str">
        <f t="shared" ca="1" si="125"/>
        <v>WP003</v>
      </c>
      <c r="C89" s="221">
        <v>4</v>
      </c>
      <c r="D89" s="221" t="s">
        <v>93</v>
      </c>
      <c r="H89" s="221" t="s">
        <v>74</v>
      </c>
      <c r="I89" s="221" t="s">
        <v>94</v>
      </c>
      <c r="M89" s="221" t="s">
        <v>80</v>
      </c>
      <c r="N89" s="461"/>
      <c r="O89" s="452" t="s">
        <v>65</v>
      </c>
      <c r="P89" s="453"/>
      <c r="Q89" s="453"/>
      <c r="R89" s="365">
        <f t="shared" ca="1" si="150"/>
        <v>0</v>
      </c>
      <c r="S89" s="354">
        <f t="shared" ca="1" si="150"/>
        <v>0</v>
      </c>
      <c r="T89" s="355">
        <f t="shared" ca="1" si="138"/>
        <v>0</v>
      </c>
      <c r="U89" s="356">
        <f t="shared" ca="1" si="126"/>
        <v>0</v>
      </c>
      <c r="V89" s="365">
        <f t="shared" ca="1" si="151"/>
        <v>0</v>
      </c>
      <c r="W89" s="354">
        <f t="shared" ca="1" si="151"/>
        <v>0</v>
      </c>
      <c r="X89" s="355">
        <f t="shared" ca="1" si="139"/>
        <v>0</v>
      </c>
      <c r="Y89" s="356">
        <f t="shared" ca="1" si="127"/>
        <v>0</v>
      </c>
      <c r="Z89" s="365">
        <f t="shared" ca="1" si="152"/>
        <v>0</v>
      </c>
      <c r="AA89" s="354">
        <f t="shared" ca="1" si="152"/>
        <v>0</v>
      </c>
      <c r="AB89" s="355">
        <f t="shared" ca="1" si="140"/>
        <v>0</v>
      </c>
      <c r="AC89" s="356">
        <f t="shared" ca="1" si="128"/>
        <v>0</v>
      </c>
      <c r="AD89" s="365">
        <f t="shared" ca="1" si="153"/>
        <v>0</v>
      </c>
      <c r="AE89" s="354">
        <f t="shared" ca="1" si="153"/>
        <v>0</v>
      </c>
      <c r="AF89" s="355">
        <f t="shared" ca="1" si="141"/>
        <v>0</v>
      </c>
      <c r="AG89" s="356">
        <f t="shared" ca="1" si="129"/>
        <v>0</v>
      </c>
      <c r="AH89" s="365">
        <f t="shared" ca="1" si="154"/>
        <v>0</v>
      </c>
      <c r="AI89" s="354">
        <f t="shared" ca="1" si="154"/>
        <v>0</v>
      </c>
      <c r="AJ89" s="355">
        <f t="shared" ca="1" si="142"/>
        <v>0</v>
      </c>
      <c r="AK89" s="356">
        <f t="shared" ca="1" si="130"/>
        <v>0</v>
      </c>
      <c r="AL89" s="365">
        <f t="shared" ca="1" si="155"/>
        <v>0</v>
      </c>
      <c r="AM89" s="354">
        <f t="shared" ca="1" si="155"/>
        <v>0</v>
      </c>
      <c r="AN89" s="355">
        <f t="shared" ca="1" si="143"/>
        <v>0</v>
      </c>
      <c r="AO89" s="356">
        <f t="shared" ca="1" si="131"/>
        <v>0</v>
      </c>
      <c r="AP89" s="365">
        <f t="shared" ca="1" si="156"/>
        <v>0</v>
      </c>
      <c r="AQ89" s="354">
        <f t="shared" ca="1" si="156"/>
        <v>0</v>
      </c>
      <c r="AR89" s="355">
        <f t="shared" ca="1" si="144"/>
        <v>0</v>
      </c>
      <c r="AS89" s="356">
        <f t="shared" ca="1" si="132"/>
        <v>0</v>
      </c>
      <c r="AT89" s="365">
        <f t="shared" ca="1" si="157"/>
        <v>0</v>
      </c>
      <c r="AU89" s="354">
        <f t="shared" ca="1" si="157"/>
        <v>0</v>
      </c>
      <c r="AV89" s="355">
        <f t="shared" ca="1" si="145"/>
        <v>0</v>
      </c>
      <c r="AW89" s="356">
        <f t="shared" ca="1" si="133"/>
        <v>0</v>
      </c>
      <c r="AX89" s="365">
        <f t="shared" ca="1" si="158"/>
        <v>0</v>
      </c>
      <c r="AY89" s="354">
        <f t="shared" ca="1" si="158"/>
        <v>0</v>
      </c>
      <c r="AZ89" s="355">
        <f t="shared" ca="1" si="146"/>
        <v>0</v>
      </c>
      <c r="BA89" s="356">
        <f t="shared" ca="1" si="134"/>
        <v>0</v>
      </c>
      <c r="BB89" s="365">
        <f t="shared" ca="1" si="159"/>
        <v>0</v>
      </c>
      <c r="BC89" s="354">
        <f t="shared" ca="1" si="159"/>
        <v>0</v>
      </c>
      <c r="BD89" s="355">
        <f t="shared" ca="1" si="147"/>
        <v>0</v>
      </c>
      <c r="BE89" s="356">
        <f t="shared" ca="1" si="135"/>
        <v>0</v>
      </c>
      <c r="BF89" s="365">
        <f t="shared" ca="1" si="160"/>
        <v>0</v>
      </c>
      <c r="BG89" s="354">
        <f t="shared" ca="1" si="160"/>
        <v>0</v>
      </c>
      <c r="BH89" s="355">
        <f t="shared" ca="1" si="148"/>
        <v>0</v>
      </c>
      <c r="BI89" s="356">
        <f t="shared" ca="1" si="136"/>
        <v>0</v>
      </c>
      <c r="BJ89" s="365">
        <f t="shared" ca="1" si="161"/>
        <v>0</v>
      </c>
      <c r="BK89" s="354">
        <f t="shared" ca="1" si="161"/>
        <v>0</v>
      </c>
      <c r="BL89" s="355">
        <f t="shared" ca="1" si="149"/>
        <v>0</v>
      </c>
      <c r="BM89" s="356">
        <f t="shared" ca="1" si="137"/>
        <v>0</v>
      </c>
      <c r="BN89" s="356">
        <f t="shared" ca="1" si="137"/>
        <v>0</v>
      </c>
    </row>
    <row r="90" spans="1:68">
      <c r="A90" s="221" t="str">
        <f t="shared" ca="1" si="124"/>
        <v>WP003</v>
      </c>
      <c r="B90" s="221" t="str">
        <f t="shared" ca="1" si="125"/>
        <v>WP003</v>
      </c>
      <c r="C90" s="221">
        <v>4</v>
      </c>
      <c r="D90" s="221" t="s">
        <v>95</v>
      </c>
      <c r="H90" s="221" t="s">
        <v>74</v>
      </c>
      <c r="I90" s="221" t="s">
        <v>96</v>
      </c>
      <c r="M90" s="221" t="s">
        <v>46</v>
      </c>
      <c r="N90" s="461"/>
      <c r="O90" s="452" t="s">
        <v>97</v>
      </c>
      <c r="P90" s="453"/>
      <c r="Q90" s="453"/>
      <c r="R90" s="353"/>
      <c r="S90" s="354"/>
      <c r="T90" s="355">
        <f t="shared" ca="1" si="138"/>
        <v>0</v>
      </c>
      <c r="U90" s="356">
        <f t="shared" ca="1" si="126"/>
        <v>0</v>
      </c>
      <c r="V90" s="353"/>
      <c r="W90" s="354"/>
      <c r="X90" s="355">
        <f t="shared" ca="1" si="139"/>
        <v>0</v>
      </c>
      <c r="Y90" s="356">
        <f t="shared" ca="1" si="127"/>
        <v>0</v>
      </c>
      <c r="Z90" s="353"/>
      <c r="AA90" s="354"/>
      <c r="AB90" s="355">
        <f t="shared" ca="1" si="140"/>
        <v>0</v>
      </c>
      <c r="AC90" s="356">
        <f t="shared" ca="1" si="128"/>
        <v>0</v>
      </c>
      <c r="AD90" s="353"/>
      <c r="AE90" s="354"/>
      <c r="AF90" s="355">
        <f t="shared" ca="1" si="141"/>
        <v>0</v>
      </c>
      <c r="AG90" s="356">
        <f t="shared" ca="1" si="129"/>
        <v>0</v>
      </c>
      <c r="AH90" s="353"/>
      <c r="AI90" s="354"/>
      <c r="AJ90" s="355">
        <f t="shared" ca="1" si="142"/>
        <v>0</v>
      </c>
      <c r="AK90" s="356">
        <f t="shared" ca="1" si="130"/>
        <v>0</v>
      </c>
      <c r="AL90" s="353"/>
      <c r="AM90" s="354"/>
      <c r="AN90" s="355">
        <f t="shared" ca="1" si="143"/>
        <v>0</v>
      </c>
      <c r="AO90" s="356">
        <f t="shared" ca="1" si="131"/>
        <v>0</v>
      </c>
      <c r="AP90" s="353"/>
      <c r="AQ90" s="354"/>
      <c r="AR90" s="355">
        <f t="shared" ca="1" si="144"/>
        <v>0</v>
      </c>
      <c r="AS90" s="356">
        <f t="shared" ca="1" si="132"/>
        <v>0</v>
      </c>
      <c r="AT90" s="353"/>
      <c r="AU90" s="354"/>
      <c r="AV90" s="355">
        <f t="shared" ca="1" si="145"/>
        <v>0</v>
      </c>
      <c r="AW90" s="356">
        <f t="shared" ca="1" si="133"/>
        <v>0</v>
      </c>
      <c r="AX90" s="353"/>
      <c r="AY90" s="354"/>
      <c r="AZ90" s="355">
        <f t="shared" ca="1" si="146"/>
        <v>0</v>
      </c>
      <c r="BA90" s="356">
        <f t="shared" ca="1" si="134"/>
        <v>0</v>
      </c>
      <c r="BB90" s="353"/>
      <c r="BC90" s="354"/>
      <c r="BD90" s="355">
        <f t="shared" ca="1" si="147"/>
        <v>0</v>
      </c>
      <c r="BE90" s="356">
        <f t="shared" ca="1" si="135"/>
        <v>0</v>
      </c>
      <c r="BF90" s="353"/>
      <c r="BG90" s="354"/>
      <c r="BH90" s="355">
        <f t="shared" ca="1" si="148"/>
        <v>0</v>
      </c>
      <c r="BI90" s="356">
        <f t="shared" ca="1" si="136"/>
        <v>0</v>
      </c>
      <c r="BJ90" s="353"/>
      <c r="BK90" s="354"/>
      <c r="BL90" s="355">
        <f t="shared" ca="1" si="149"/>
        <v>0</v>
      </c>
      <c r="BM90" s="356">
        <f t="shared" ca="1" si="137"/>
        <v>0</v>
      </c>
      <c r="BN90" s="356">
        <f t="shared" ca="1" si="137"/>
        <v>0</v>
      </c>
    </row>
    <row r="91" spans="1:68">
      <c r="A91" s="221" t="str">
        <f t="shared" ca="1" si="124"/>
        <v>WP003</v>
      </c>
      <c r="B91" s="221" t="str">
        <f t="shared" ca="1" si="125"/>
        <v>WP003</v>
      </c>
      <c r="C91" s="221">
        <v>6</v>
      </c>
      <c r="D91" s="221" t="s">
        <v>98</v>
      </c>
      <c r="J91" s="222" t="s">
        <v>96</v>
      </c>
      <c r="K91" s="221" t="s">
        <v>99</v>
      </c>
      <c r="M91" s="221" t="s">
        <v>46</v>
      </c>
      <c r="N91" s="461"/>
      <c r="O91" s="251"/>
      <c r="P91" s="456" t="s">
        <v>100</v>
      </c>
      <c r="Q91" s="456"/>
      <c r="R91" s="357"/>
      <c r="S91" s="358"/>
      <c r="T91" s="359">
        <f t="shared" ca="1" si="138"/>
        <v>0</v>
      </c>
      <c r="U91" s="360">
        <f t="shared" ca="1" si="126"/>
        <v>0</v>
      </c>
      <c r="V91" s="357"/>
      <c r="W91" s="358"/>
      <c r="X91" s="359">
        <f t="shared" ca="1" si="139"/>
        <v>0</v>
      </c>
      <c r="Y91" s="360">
        <f t="shared" ca="1" si="127"/>
        <v>0</v>
      </c>
      <c r="Z91" s="357"/>
      <c r="AA91" s="358"/>
      <c r="AB91" s="359">
        <f t="shared" ca="1" si="140"/>
        <v>0</v>
      </c>
      <c r="AC91" s="360">
        <f t="shared" ca="1" si="128"/>
        <v>0</v>
      </c>
      <c r="AD91" s="357"/>
      <c r="AE91" s="358"/>
      <c r="AF91" s="359">
        <f t="shared" ca="1" si="141"/>
        <v>0</v>
      </c>
      <c r="AG91" s="360">
        <f t="shared" ca="1" si="129"/>
        <v>0</v>
      </c>
      <c r="AH91" s="357"/>
      <c r="AI91" s="358"/>
      <c r="AJ91" s="359">
        <f t="shared" ca="1" si="142"/>
        <v>0</v>
      </c>
      <c r="AK91" s="360">
        <f t="shared" ca="1" si="130"/>
        <v>0</v>
      </c>
      <c r="AL91" s="357"/>
      <c r="AM91" s="358"/>
      <c r="AN91" s="359">
        <f t="shared" ca="1" si="143"/>
        <v>0</v>
      </c>
      <c r="AO91" s="360">
        <f t="shared" ca="1" si="131"/>
        <v>0</v>
      </c>
      <c r="AP91" s="357"/>
      <c r="AQ91" s="358"/>
      <c r="AR91" s="359">
        <f t="shared" ca="1" si="144"/>
        <v>0</v>
      </c>
      <c r="AS91" s="360">
        <f t="shared" ca="1" si="132"/>
        <v>0</v>
      </c>
      <c r="AT91" s="357"/>
      <c r="AU91" s="358"/>
      <c r="AV91" s="359">
        <f t="shared" ca="1" si="145"/>
        <v>0</v>
      </c>
      <c r="AW91" s="360">
        <f t="shared" ca="1" si="133"/>
        <v>0</v>
      </c>
      <c r="AX91" s="357"/>
      <c r="AY91" s="358"/>
      <c r="AZ91" s="359">
        <f t="shared" ca="1" si="146"/>
        <v>0</v>
      </c>
      <c r="BA91" s="360">
        <f t="shared" ca="1" si="134"/>
        <v>0</v>
      </c>
      <c r="BB91" s="357"/>
      <c r="BC91" s="358"/>
      <c r="BD91" s="359">
        <f t="shared" ca="1" si="147"/>
        <v>0</v>
      </c>
      <c r="BE91" s="360">
        <f t="shared" ca="1" si="135"/>
        <v>0</v>
      </c>
      <c r="BF91" s="357"/>
      <c r="BG91" s="358"/>
      <c r="BH91" s="359">
        <f t="shared" ca="1" si="148"/>
        <v>0</v>
      </c>
      <c r="BI91" s="360">
        <f t="shared" ca="1" si="136"/>
        <v>0</v>
      </c>
      <c r="BJ91" s="357"/>
      <c r="BK91" s="358"/>
      <c r="BL91" s="359">
        <f t="shared" ca="1" si="149"/>
        <v>0</v>
      </c>
      <c r="BM91" s="360">
        <f t="shared" ca="1" si="137"/>
        <v>0</v>
      </c>
      <c r="BN91" s="360">
        <f t="shared" ca="1" si="137"/>
        <v>0</v>
      </c>
    </row>
    <row r="92" spans="1:68">
      <c r="A92" s="221" t="str">
        <f t="shared" ca="1" si="124"/>
        <v>WP003</v>
      </c>
      <c r="B92" s="221" t="str">
        <f t="shared" ca="1" si="125"/>
        <v>WP003</v>
      </c>
      <c r="C92" s="221">
        <v>7</v>
      </c>
      <c r="D92" s="221" t="s">
        <v>101</v>
      </c>
      <c r="L92" s="221" t="s">
        <v>99</v>
      </c>
      <c r="M92" s="221" t="s">
        <v>80</v>
      </c>
      <c r="N92" s="461"/>
      <c r="O92" s="252"/>
      <c r="P92" s="253"/>
      <c r="Q92" s="254" t="s">
        <v>102</v>
      </c>
      <c r="R92" s="361">
        <f t="shared" ref="R92:S95" ca="1" si="162">INDIRECT("'"&amp; MID(OFFSET(R92,ROW(R$3)-ROW(R92),IF(OFFSET(R92,ROW(R$2)-ROW(R92),2)="T",0,IF(OFFSET(R92,ROW(R$2)-ROW(R92),1)="T",-1,-2))),1,6) &amp; "'!" &amp; ADDRESS(ROW(R92),MATCH(INDIRECT(ADDRESS(2,COLUMN(R92)+IF(OFFSET(R92,ROW(R$2)-ROW(R92),2)="T",1,IF(OFFSET(R92,ROW(R$2)-ROW(R92),1)="T",0,-1))),TRUE),INDIRECT("'"&amp; MID(OFFSET(R92,ROW(R$3)-ROW(R92),IF(OFFSET(R92,ROW(R$2)-ROW(R92),2)="T",0,IF(OFFSET(R92,ROW(R$2)-ROW(R92),1)="T",-1,-2))),1,6) &amp; "'!2:2",TRUE),0)-IF(OFFSET(R92,ROW(R$2)-ROW(R92),2)="T",1,IF(OFFSET(R92,ROW(R$2)-ROW(R92),1)="T",0,-1))),TRUE)</f>
        <v>0</v>
      </c>
      <c r="S92" s="362">
        <f t="shared" ca="1" si="162"/>
        <v>0</v>
      </c>
      <c r="T92" s="363">
        <f t="shared" ca="1" si="138"/>
        <v>0</v>
      </c>
      <c r="U92" s="360">
        <f t="shared" ca="1" si="126"/>
        <v>0</v>
      </c>
      <c r="V92" s="361">
        <f t="shared" ref="V92:W95" ca="1" si="163">INDIRECT("'"&amp; MID(OFFSET(V92,ROW(V$3)-ROW(V92),IF(OFFSET(V92,ROW(V$2)-ROW(V92),2)="T",0,IF(OFFSET(V92,ROW(V$2)-ROW(V92),1)="T",-1,-2))),1,6) &amp; "'!" &amp; ADDRESS(ROW(V92),MATCH(INDIRECT(ADDRESS(2,COLUMN(V92)+IF(OFFSET(V92,ROW(V$2)-ROW(V92),2)="T",1,IF(OFFSET(V92,ROW(V$2)-ROW(V92),1)="T",0,-1))),TRUE),INDIRECT("'"&amp; MID(OFFSET(V92,ROW(V$3)-ROW(V92),IF(OFFSET(V92,ROW(V$2)-ROW(V92),2)="T",0,IF(OFFSET(V92,ROW(V$2)-ROW(V92),1)="T",-1,-2))),1,6) &amp; "'!2:2",TRUE),0)-IF(OFFSET(V92,ROW(V$2)-ROW(V92),2)="T",1,IF(OFFSET(V92,ROW(V$2)-ROW(V92),1)="T",0,-1))),TRUE)</f>
        <v>0</v>
      </c>
      <c r="W92" s="362">
        <f t="shared" ca="1" si="163"/>
        <v>0</v>
      </c>
      <c r="X92" s="363">
        <f t="shared" ca="1" si="139"/>
        <v>0</v>
      </c>
      <c r="Y92" s="360">
        <f t="shared" ca="1" si="127"/>
        <v>0</v>
      </c>
      <c r="Z92" s="361">
        <f t="shared" ref="Z92:AA95" ca="1" si="164">INDIRECT("'"&amp; MID(OFFSET(Z92,ROW(Z$3)-ROW(Z92),IF(OFFSET(Z92,ROW(Z$2)-ROW(Z92),2)="T",0,IF(OFFSET(Z92,ROW(Z$2)-ROW(Z92),1)="T",-1,-2))),1,6) &amp; "'!" &amp; ADDRESS(ROW(Z92),MATCH(INDIRECT(ADDRESS(2,COLUMN(Z92)+IF(OFFSET(Z92,ROW(Z$2)-ROW(Z92),2)="T",1,IF(OFFSET(Z92,ROW(Z$2)-ROW(Z92),1)="T",0,-1))),TRUE),INDIRECT("'"&amp; MID(OFFSET(Z92,ROW(Z$3)-ROW(Z92),IF(OFFSET(Z92,ROW(Z$2)-ROW(Z92),2)="T",0,IF(OFFSET(Z92,ROW(Z$2)-ROW(Z92),1)="T",-1,-2))),1,6) &amp; "'!2:2",TRUE),0)-IF(OFFSET(Z92,ROW(Z$2)-ROW(Z92),2)="T",1,IF(OFFSET(Z92,ROW(Z$2)-ROW(Z92),1)="T",0,-1))),TRUE)</f>
        <v>0</v>
      </c>
      <c r="AA92" s="362">
        <f t="shared" ca="1" si="164"/>
        <v>0</v>
      </c>
      <c r="AB92" s="363">
        <f t="shared" ca="1" si="140"/>
        <v>0</v>
      </c>
      <c r="AC92" s="360">
        <f t="shared" ca="1" si="128"/>
        <v>0</v>
      </c>
      <c r="AD92" s="361">
        <f t="shared" ref="AD92:AE95" ca="1" si="165">INDIRECT("'"&amp; MID(OFFSET(AD92,ROW(AD$3)-ROW(AD92),IF(OFFSET(AD92,ROW(AD$2)-ROW(AD92),2)="T",0,IF(OFFSET(AD92,ROW(AD$2)-ROW(AD92),1)="T",-1,-2))),1,6) &amp; "'!" &amp; ADDRESS(ROW(AD92),MATCH(INDIRECT(ADDRESS(2,COLUMN(AD92)+IF(OFFSET(AD92,ROW(AD$2)-ROW(AD92),2)="T",1,IF(OFFSET(AD92,ROW(AD$2)-ROW(AD92),1)="T",0,-1))),TRUE),INDIRECT("'"&amp; MID(OFFSET(AD92,ROW(AD$3)-ROW(AD92),IF(OFFSET(AD92,ROW(AD$2)-ROW(AD92),2)="T",0,IF(OFFSET(AD92,ROW(AD$2)-ROW(AD92),1)="T",-1,-2))),1,6) &amp; "'!2:2",TRUE),0)-IF(OFFSET(AD92,ROW(AD$2)-ROW(AD92),2)="T",1,IF(OFFSET(AD92,ROW(AD$2)-ROW(AD92),1)="T",0,-1))),TRUE)</f>
        <v>0</v>
      </c>
      <c r="AE92" s="362">
        <f t="shared" ca="1" si="165"/>
        <v>0</v>
      </c>
      <c r="AF92" s="363">
        <f t="shared" ca="1" si="141"/>
        <v>0</v>
      </c>
      <c r="AG92" s="360">
        <f t="shared" ca="1" si="129"/>
        <v>0</v>
      </c>
      <c r="AH92" s="361">
        <f t="shared" ref="AH92:AI95" ca="1" si="166">INDIRECT("'"&amp; MID(OFFSET(AH92,ROW(AH$3)-ROW(AH92),IF(OFFSET(AH92,ROW(AH$2)-ROW(AH92),2)="T",0,IF(OFFSET(AH92,ROW(AH$2)-ROW(AH92),1)="T",-1,-2))),1,6) &amp; "'!" &amp; ADDRESS(ROW(AH92),MATCH(INDIRECT(ADDRESS(2,COLUMN(AH92)+IF(OFFSET(AH92,ROW(AH$2)-ROW(AH92),2)="T",1,IF(OFFSET(AH92,ROW(AH$2)-ROW(AH92),1)="T",0,-1))),TRUE),INDIRECT("'"&amp; MID(OFFSET(AH92,ROW(AH$3)-ROW(AH92),IF(OFFSET(AH92,ROW(AH$2)-ROW(AH92),2)="T",0,IF(OFFSET(AH92,ROW(AH$2)-ROW(AH92),1)="T",-1,-2))),1,6) &amp; "'!2:2",TRUE),0)-IF(OFFSET(AH92,ROW(AH$2)-ROW(AH92),2)="T",1,IF(OFFSET(AH92,ROW(AH$2)-ROW(AH92),1)="T",0,-1))),TRUE)</f>
        <v>0</v>
      </c>
      <c r="AI92" s="362">
        <f t="shared" ca="1" si="166"/>
        <v>0</v>
      </c>
      <c r="AJ92" s="363">
        <f t="shared" ca="1" si="142"/>
        <v>0</v>
      </c>
      <c r="AK92" s="360">
        <f t="shared" ca="1" si="130"/>
        <v>0</v>
      </c>
      <c r="AL92" s="361">
        <f t="shared" ref="AL92:AM95" ca="1" si="167">INDIRECT("'"&amp; MID(OFFSET(AL92,ROW(AL$3)-ROW(AL92),IF(OFFSET(AL92,ROW(AL$2)-ROW(AL92),2)="T",0,IF(OFFSET(AL92,ROW(AL$2)-ROW(AL92),1)="T",-1,-2))),1,6) &amp; "'!" &amp; ADDRESS(ROW(AL92),MATCH(INDIRECT(ADDRESS(2,COLUMN(AL92)+IF(OFFSET(AL92,ROW(AL$2)-ROW(AL92),2)="T",1,IF(OFFSET(AL92,ROW(AL$2)-ROW(AL92),1)="T",0,-1))),TRUE),INDIRECT("'"&amp; MID(OFFSET(AL92,ROW(AL$3)-ROW(AL92),IF(OFFSET(AL92,ROW(AL$2)-ROW(AL92),2)="T",0,IF(OFFSET(AL92,ROW(AL$2)-ROW(AL92),1)="T",-1,-2))),1,6) &amp; "'!2:2",TRUE),0)-IF(OFFSET(AL92,ROW(AL$2)-ROW(AL92),2)="T",1,IF(OFFSET(AL92,ROW(AL$2)-ROW(AL92),1)="T",0,-1))),TRUE)</f>
        <v>0</v>
      </c>
      <c r="AM92" s="362">
        <f t="shared" ca="1" si="167"/>
        <v>0</v>
      </c>
      <c r="AN92" s="363">
        <f t="shared" ca="1" si="143"/>
        <v>0</v>
      </c>
      <c r="AO92" s="360">
        <f t="shared" ca="1" si="131"/>
        <v>0</v>
      </c>
      <c r="AP92" s="361">
        <f t="shared" ref="AP92:AQ95" ca="1" si="168">INDIRECT("'"&amp; MID(OFFSET(AP92,ROW(AP$3)-ROW(AP92),IF(OFFSET(AP92,ROW(AP$2)-ROW(AP92),2)="T",0,IF(OFFSET(AP92,ROW(AP$2)-ROW(AP92),1)="T",-1,-2))),1,6) &amp; "'!" &amp; ADDRESS(ROW(AP92),MATCH(INDIRECT(ADDRESS(2,COLUMN(AP92)+IF(OFFSET(AP92,ROW(AP$2)-ROW(AP92),2)="T",1,IF(OFFSET(AP92,ROW(AP$2)-ROW(AP92),1)="T",0,-1))),TRUE),INDIRECT("'"&amp; MID(OFFSET(AP92,ROW(AP$3)-ROW(AP92),IF(OFFSET(AP92,ROW(AP$2)-ROW(AP92),2)="T",0,IF(OFFSET(AP92,ROW(AP$2)-ROW(AP92),1)="T",-1,-2))),1,6) &amp; "'!2:2",TRUE),0)-IF(OFFSET(AP92,ROW(AP$2)-ROW(AP92),2)="T",1,IF(OFFSET(AP92,ROW(AP$2)-ROW(AP92),1)="T",0,-1))),TRUE)</f>
        <v>0</v>
      </c>
      <c r="AQ92" s="362">
        <f t="shared" ca="1" si="168"/>
        <v>0</v>
      </c>
      <c r="AR92" s="363">
        <f t="shared" ca="1" si="144"/>
        <v>0</v>
      </c>
      <c r="AS92" s="360">
        <f t="shared" ca="1" si="132"/>
        <v>0</v>
      </c>
      <c r="AT92" s="361">
        <f t="shared" ref="AT92:AU95" ca="1" si="169">INDIRECT("'"&amp; MID(OFFSET(AT92,ROW(AT$3)-ROW(AT92),IF(OFFSET(AT92,ROW(AT$2)-ROW(AT92),2)="T",0,IF(OFFSET(AT92,ROW(AT$2)-ROW(AT92),1)="T",-1,-2))),1,6) &amp; "'!" &amp; ADDRESS(ROW(AT92),MATCH(INDIRECT(ADDRESS(2,COLUMN(AT92)+IF(OFFSET(AT92,ROW(AT$2)-ROW(AT92),2)="T",1,IF(OFFSET(AT92,ROW(AT$2)-ROW(AT92),1)="T",0,-1))),TRUE),INDIRECT("'"&amp; MID(OFFSET(AT92,ROW(AT$3)-ROW(AT92),IF(OFFSET(AT92,ROW(AT$2)-ROW(AT92),2)="T",0,IF(OFFSET(AT92,ROW(AT$2)-ROW(AT92),1)="T",-1,-2))),1,6) &amp; "'!2:2",TRUE),0)-IF(OFFSET(AT92,ROW(AT$2)-ROW(AT92),2)="T",1,IF(OFFSET(AT92,ROW(AT$2)-ROW(AT92),1)="T",0,-1))),TRUE)</f>
        <v>0</v>
      </c>
      <c r="AU92" s="362">
        <f t="shared" ca="1" si="169"/>
        <v>0</v>
      </c>
      <c r="AV92" s="363">
        <f t="shared" ca="1" si="145"/>
        <v>0</v>
      </c>
      <c r="AW92" s="360">
        <f t="shared" ca="1" si="133"/>
        <v>0</v>
      </c>
      <c r="AX92" s="361">
        <f t="shared" ref="AX92:AY95" ca="1" si="170">INDIRECT("'"&amp; MID(OFFSET(AX92,ROW(AX$3)-ROW(AX92),IF(OFFSET(AX92,ROW(AX$2)-ROW(AX92),2)="T",0,IF(OFFSET(AX92,ROW(AX$2)-ROW(AX92),1)="T",-1,-2))),1,6) &amp; "'!" &amp; ADDRESS(ROW(AX92),MATCH(INDIRECT(ADDRESS(2,COLUMN(AX92)+IF(OFFSET(AX92,ROW(AX$2)-ROW(AX92),2)="T",1,IF(OFFSET(AX92,ROW(AX$2)-ROW(AX92),1)="T",0,-1))),TRUE),INDIRECT("'"&amp; MID(OFFSET(AX92,ROW(AX$3)-ROW(AX92),IF(OFFSET(AX92,ROW(AX$2)-ROW(AX92),2)="T",0,IF(OFFSET(AX92,ROW(AX$2)-ROW(AX92),1)="T",-1,-2))),1,6) &amp; "'!2:2",TRUE),0)-IF(OFFSET(AX92,ROW(AX$2)-ROW(AX92),2)="T",1,IF(OFFSET(AX92,ROW(AX$2)-ROW(AX92),1)="T",0,-1))),TRUE)</f>
        <v>0</v>
      </c>
      <c r="AY92" s="362">
        <f t="shared" ca="1" si="170"/>
        <v>0</v>
      </c>
      <c r="AZ92" s="363">
        <f t="shared" ca="1" si="146"/>
        <v>0</v>
      </c>
      <c r="BA92" s="360">
        <f t="shared" ca="1" si="134"/>
        <v>0</v>
      </c>
      <c r="BB92" s="361">
        <f t="shared" ref="BB92:BC95" ca="1" si="171">INDIRECT("'"&amp; MID(OFFSET(BB92,ROW(BB$3)-ROW(BB92),IF(OFFSET(BB92,ROW(BB$2)-ROW(BB92),2)="T",0,IF(OFFSET(BB92,ROW(BB$2)-ROW(BB92),1)="T",-1,-2))),1,6) &amp; "'!" &amp; ADDRESS(ROW(BB92),MATCH(INDIRECT(ADDRESS(2,COLUMN(BB92)+IF(OFFSET(BB92,ROW(BB$2)-ROW(BB92),2)="T",1,IF(OFFSET(BB92,ROW(BB$2)-ROW(BB92),1)="T",0,-1))),TRUE),INDIRECT("'"&amp; MID(OFFSET(BB92,ROW(BB$3)-ROW(BB92),IF(OFFSET(BB92,ROW(BB$2)-ROW(BB92),2)="T",0,IF(OFFSET(BB92,ROW(BB$2)-ROW(BB92),1)="T",-1,-2))),1,6) &amp; "'!2:2",TRUE),0)-IF(OFFSET(BB92,ROW(BB$2)-ROW(BB92),2)="T",1,IF(OFFSET(BB92,ROW(BB$2)-ROW(BB92),1)="T",0,-1))),TRUE)</f>
        <v>0</v>
      </c>
      <c r="BC92" s="362">
        <f t="shared" ca="1" si="171"/>
        <v>0</v>
      </c>
      <c r="BD92" s="363">
        <f t="shared" ca="1" si="147"/>
        <v>0</v>
      </c>
      <c r="BE92" s="360">
        <f t="shared" ca="1" si="135"/>
        <v>0</v>
      </c>
      <c r="BF92" s="361">
        <f t="shared" ref="BF92:BG95" ca="1" si="172">INDIRECT("'"&amp; MID(OFFSET(BF92,ROW(BF$3)-ROW(BF92),IF(OFFSET(BF92,ROW(BF$2)-ROW(BF92),2)="T",0,IF(OFFSET(BF92,ROW(BF$2)-ROW(BF92),1)="T",-1,-2))),1,6) &amp; "'!" &amp; ADDRESS(ROW(BF92),MATCH(INDIRECT(ADDRESS(2,COLUMN(BF92)+IF(OFFSET(BF92,ROW(BF$2)-ROW(BF92),2)="T",1,IF(OFFSET(BF92,ROW(BF$2)-ROW(BF92),1)="T",0,-1))),TRUE),INDIRECT("'"&amp; MID(OFFSET(BF92,ROW(BF$3)-ROW(BF92),IF(OFFSET(BF92,ROW(BF$2)-ROW(BF92),2)="T",0,IF(OFFSET(BF92,ROW(BF$2)-ROW(BF92),1)="T",-1,-2))),1,6) &amp; "'!2:2",TRUE),0)-IF(OFFSET(BF92,ROW(BF$2)-ROW(BF92),2)="T",1,IF(OFFSET(BF92,ROW(BF$2)-ROW(BF92),1)="T",0,-1))),TRUE)</f>
        <v>0</v>
      </c>
      <c r="BG92" s="362">
        <f t="shared" ca="1" si="172"/>
        <v>0</v>
      </c>
      <c r="BH92" s="363">
        <f t="shared" ca="1" si="148"/>
        <v>0</v>
      </c>
      <c r="BI92" s="360">
        <f t="shared" ca="1" si="136"/>
        <v>0</v>
      </c>
      <c r="BJ92" s="361">
        <f t="shared" ref="BJ92:BK95" ca="1" si="173">INDIRECT("'"&amp; MID(OFFSET(BJ92,ROW(BJ$3)-ROW(BJ92),IF(OFFSET(BJ92,ROW(BJ$2)-ROW(BJ92),2)="T",0,IF(OFFSET(BJ92,ROW(BJ$2)-ROW(BJ92),1)="T",-1,-2))),1,6) &amp; "'!" &amp; ADDRESS(ROW(BJ92),MATCH(INDIRECT(ADDRESS(2,COLUMN(BJ92)+IF(OFFSET(BJ92,ROW(BJ$2)-ROW(BJ92),2)="T",1,IF(OFFSET(BJ92,ROW(BJ$2)-ROW(BJ92),1)="T",0,-1))),TRUE),INDIRECT("'"&amp; MID(OFFSET(BJ92,ROW(BJ$3)-ROW(BJ92),IF(OFFSET(BJ92,ROW(BJ$2)-ROW(BJ92),2)="T",0,IF(OFFSET(BJ92,ROW(BJ$2)-ROW(BJ92),1)="T",-1,-2))),1,6) &amp; "'!2:2",TRUE),0)-IF(OFFSET(BJ92,ROW(BJ$2)-ROW(BJ92),2)="T",1,IF(OFFSET(BJ92,ROW(BJ$2)-ROW(BJ92),1)="T",0,-1))),TRUE)</f>
        <v>0</v>
      </c>
      <c r="BK92" s="362">
        <f t="shared" ca="1" si="173"/>
        <v>0</v>
      </c>
      <c r="BL92" s="363">
        <f t="shared" ca="1" si="149"/>
        <v>0</v>
      </c>
      <c r="BM92" s="360">
        <f t="shared" ca="1" si="137"/>
        <v>0</v>
      </c>
      <c r="BN92" s="360">
        <f t="shared" ca="1" si="137"/>
        <v>0</v>
      </c>
    </row>
    <row r="93" spans="1:68">
      <c r="A93" s="221" t="str">
        <f t="shared" ca="1" si="124"/>
        <v>WP003</v>
      </c>
      <c r="B93" s="221" t="str">
        <f t="shared" ca="1" si="125"/>
        <v>WP003</v>
      </c>
      <c r="C93" s="221">
        <v>7</v>
      </c>
      <c r="D93" s="221" t="s">
        <v>103</v>
      </c>
      <c r="L93" s="221" t="s">
        <v>99</v>
      </c>
      <c r="M93" s="221" t="s">
        <v>80</v>
      </c>
      <c r="N93" s="461"/>
      <c r="O93" s="252"/>
      <c r="P93" s="253"/>
      <c r="Q93" s="254" t="s">
        <v>104</v>
      </c>
      <c r="R93" s="361">
        <f t="shared" ca="1" si="162"/>
        <v>0</v>
      </c>
      <c r="S93" s="362">
        <f t="shared" ca="1" si="162"/>
        <v>0</v>
      </c>
      <c r="T93" s="363">
        <f t="shared" ca="1" si="138"/>
        <v>0</v>
      </c>
      <c r="U93" s="360">
        <f t="shared" ca="1" si="126"/>
        <v>0</v>
      </c>
      <c r="V93" s="361">
        <f t="shared" ca="1" si="163"/>
        <v>0</v>
      </c>
      <c r="W93" s="362">
        <f t="shared" ca="1" si="163"/>
        <v>0</v>
      </c>
      <c r="X93" s="363">
        <f t="shared" ca="1" si="139"/>
        <v>0</v>
      </c>
      <c r="Y93" s="360">
        <f t="shared" ca="1" si="127"/>
        <v>0</v>
      </c>
      <c r="Z93" s="361">
        <f t="shared" ca="1" si="164"/>
        <v>0</v>
      </c>
      <c r="AA93" s="362">
        <f t="shared" ca="1" si="164"/>
        <v>0</v>
      </c>
      <c r="AB93" s="363">
        <f t="shared" ca="1" si="140"/>
        <v>0</v>
      </c>
      <c r="AC93" s="360">
        <f t="shared" ca="1" si="128"/>
        <v>0</v>
      </c>
      <c r="AD93" s="361">
        <f t="shared" ca="1" si="165"/>
        <v>0</v>
      </c>
      <c r="AE93" s="362">
        <f t="shared" ca="1" si="165"/>
        <v>0</v>
      </c>
      <c r="AF93" s="363">
        <f t="shared" ca="1" si="141"/>
        <v>0</v>
      </c>
      <c r="AG93" s="360">
        <f t="shared" ca="1" si="129"/>
        <v>0</v>
      </c>
      <c r="AH93" s="361">
        <f t="shared" ca="1" si="166"/>
        <v>0</v>
      </c>
      <c r="AI93" s="362">
        <f t="shared" ca="1" si="166"/>
        <v>0</v>
      </c>
      <c r="AJ93" s="363">
        <f t="shared" ca="1" si="142"/>
        <v>0</v>
      </c>
      <c r="AK93" s="360">
        <f t="shared" ca="1" si="130"/>
        <v>0</v>
      </c>
      <c r="AL93" s="361">
        <f t="shared" ca="1" si="167"/>
        <v>0</v>
      </c>
      <c r="AM93" s="362">
        <f t="shared" ca="1" si="167"/>
        <v>0</v>
      </c>
      <c r="AN93" s="363">
        <f t="shared" ca="1" si="143"/>
        <v>0</v>
      </c>
      <c r="AO93" s="360">
        <f t="shared" ca="1" si="131"/>
        <v>0</v>
      </c>
      <c r="AP93" s="361">
        <f t="shared" ca="1" si="168"/>
        <v>0</v>
      </c>
      <c r="AQ93" s="362">
        <f t="shared" ca="1" si="168"/>
        <v>0</v>
      </c>
      <c r="AR93" s="363">
        <f t="shared" ca="1" si="144"/>
        <v>0</v>
      </c>
      <c r="AS93" s="360">
        <f t="shared" ca="1" si="132"/>
        <v>0</v>
      </c>
      <c r="AT93" s="361">
        <f t="shared" ca="1" si="169"/>
        <v>0</v>
      </c>
      <c r="AU93" s="362">
        <f t="shared" ca="1" si="169"/>
        <v>0</v>
      </c>
      <c r="AV93" s="363">
        <f t="shared" ca="1" si="145"/>
        <v>0</v>
      </c>
      <c r="AW93" s="360">
        <f t="shared" ca="1" si="133"/>
        <v>0</v>
      </c>
      <c r="AX93" s="361">
        <f t="shared" ca="1" si="170"/>
        <v>0</v>
      </c>
      <c r="AY93" s="362">
        <f t="shared" ca="1" si="170"/>
        <v>0</v>
      </c>
      <c r="AZ93" s="363">
        <f t="shared" ca="1" si="146"/>
        <v>0</v>
      </c>
      <c r="BA93" s="360">
        <f t="shared" ca="1" si="134"/>
        <v>0</v>
      </c>
      <c r="BB93" s="361">
        <f t="shared" ca="1" si="171"/>
        <v>0</v>
      </c>
      <c r="BC93" s="362">
        <f t="shared" ca="1" si="171"/>
        <v>0</v>
      </c>
      <c r="BD93" s="363">
        <f t="shared" ca="1" si="147"/>
        <v>0</v>
      </c>
      <c r="BE93" s="360">
        <f t="shared" ca="1" si="135"/>
        <v>0</v>
      </c>
      <c r="BF93" s="361">
        <f t="shared" ca="1" si="172"/>
        <v>0</v>
      </c>
      <c r="BG93" s="362">
        <f t="shared" ca="1" si="172"/>
        <v>0</v>
      </c>
      <c r="BH93" s="363">
        <f t="shared" ca="1" si="148"/>
        <v>0</v>
      </c>
      <c r="BI93" s="360">
        <f t="shared" ca="1" si="136"/>
        <v>0</v>
      </c>
      <c r="BJ93" s="361">
        <f t="shared" ca="1" si="173"/>
        <v>0</v>
      </c>
      <c r="BK93" s="362">
        <f t="shared" ca="1" si="173"/>
        <v>0</v>
      </c>
      <c r="BL93" s="363">
        <f t="shared" ca="1" si="149"/>
        <v>0</v>
      </c>
      <c r="BM93" s="360">
        <f t="shared" ca="1" si="137"/>
        <v>0</v>
      </c>
      <c r="BN93" s="360">
        <f t="shared" ca="1" si="137"/>
        <v>0</v>
      </c>
    </row>
    <row r="94" spans="1:68">
      <c r="A94" s="221" t="str">
        <f t="shared" ca="1" si="124"/>
        <v>WP003</v>
      </c>
      <c r="B94" s="221" t="str">
        <f t="shared" ca="1" si="125"/>
        <v>WP003</v>
      </c>
      <c r="C94" s="221">
        <v>7</v>
      </c>
      <c r="D94" s="221" t="s">
        <v>105</v>
      </c>
      <c r="L94" s="221" t="s">
        <v>99</v>
      </c>
      <c r="M94" s="221" t="s">
        <v>80</v>
      </c>
      <c r="N94" s="461"/>
      <c r="O94" s="252"/>
      <c r="P94" s="253"/>
      <c r="Q94" s="254" t="s">
        <v>106</v>
      </c>
      <c r="R94" s="361">
        <f t="shared" ca="1" si="162"/>
        <v>0</v>
      </c>
      <c r="S94" s="362">
        <f t="shared" ca="1" si="162"/>
        <v>0</v>
      </c>
      <c r="T94" s="363">
        <f t="shared" ca="1" si="138"/>
        <v>0</v>
      </c>
      <c r="U94" s="360">
        <f t="shared" ca="1" si="126"/>
        <v>0</v>
      </c>
      <c r="V94" s="361">
        <f t="shared" ca="1" si="163"/>
        <v>0</v>
      </c>
      <c r="W94" s="362">
        <f t="shared" ca="1" si="163"/>
        <v>0</v>
      </c>
      <c r="X94" s="363">
        <f t="shared" ca="1" si="139"/>
        <v>0</v>
      </c>
      <c r="Y94" s="360">
        <f t="shared" ca="1" si="127"/>
        <v>0</v>
      </c>
      <c r="Z94" s="361">
        <f t="shared" ca="1" si="164"/>
        <v>0</v>
      </c>
      <c r="AA94" s="362">
        <f t="shared" ca="1" si="164"/>
        <v>0</v>
      </c>
      <c r="AB94" s="363">
        <f t="shared" ca="1" si="140"/>
        <v>0</v>
      </c>
      <c r="AC94" s="360">
        <f t="shared" ca="1" si="128"/>
        <v>0</v>
      </c>
      <c r="AD94" s="361">
        <f t="shared" ca="1" si="165"/>
        <v>0</v>
      </c>
      <c r="AE94" s="362">
        <f t="shared" ca="1" si="165"/>
        <v>0</v>
      </c>
      <c r="AF94" s="363">
        <f t="shared" ca="1" si="141"/>
        <v>0</v>
      </c>
      <c r="AG94" s="360">
        <f t="shared" ca="1" si="129"/>
        <v>0</v>
      </c>
      <c r="AH94" s="361">
        <f t="shared" ca="1" si="166"/>
        <v>0</v>
      </c>
      <c r="AI94" s="362">
        <f t="shared" ca="1" si="166"/>
        <v>0</v>
      </c>
      <c r="AJ94" s="363">
        <f t="shared" ca="1" si="142"/>
        <v>0</v>
      </c>
      <c r="AK94" s="360">
        <f t="shared" ca="1" si="130"/>
        <v>0</v>
      </c>
      <c r="AL94" s="361">
        <f t="shared" ca="1" si="167"/>
        <v>0</v>
      </c>
      <c r="AM94" s="362">
        <f t="shared" ca="1" si="167"/>
        <v>0</v>
      </c>
      <c r="AN94" s="363">
        <f t="shared" ca="1" si="143"/>
        <v>0</v>
      </c>
      <c r="AO94" s="360">
        <f t="shared" ca="1" si="131"/>
        <v>0</v>
      </c>
      <c r="AP94" s="361">
        <f t="shared" ca="1" si="168"/>
        <v>0</v>
      </c>
      <c r="AQ94" s="362">
        <f t="shared" ca="1" si="168"/>
        <v>0</v>
      </c>
      <c r="AR94" s="363">
        <f t="shared" ca="1" si="144"/>
        <v>0</v>
      </c>
      <c r="AS94" s="360">
        <f t="shared" ca="1" si="132"/>
        <v>0</v>
      </c>
      <c r="AT94" s="361">
        <f t="shared" ca="1" si="169"/>
        <v>0</v>
      </c>
      <c r="AU94" s="362">
        <f t="shared" ca="1" si="169"/>
        <v>0</v>
      </c>
      <c r="AV94" s="363">
        <f t="shared" ca="1" si="145"/>
        <v>0</v>
      </c>
      <c r="AW94" s="360">
        <f t="shared" ca="1" si="133"/>
        <v>0</v>
      </c>
      <c r="AX94" s="361">
        <f t="shared" ca="1" si="170"/>
        <v>0</v>
      </c>
      <c r="AY94" s="362">
        <f t="shared" ca="1" si="170"/>
        <v>0</v>
      </c>
      <c r="AZ94" s="363">
        <f t="shared" ca="1" si="146"/>
        <v>0</v>
      </c>
      <c r="BA94" s="360">
        <f t="shared" ca="1" si="134"/>
        <v>0</v>
      </c>
      <c r="BB94" s="361">
        <f t="shared" ca="1" si="171"/>
        <v>0</v>
      </c>
      <c r="BC94" s="362">
        <f t="shared" ca="1" si="171"/>
        <v>0</v>
      </c>
      <c r="BD94" s="363">
        <f t="shared" ca="1" si="147"/>
        <v>0</v>
      </c>
      <c r="BE94" s="360">
        <f t="shared" ca="1" si="135"/>
        <v>0</v>
      </c>
      <c r="BF94" s="361">
        <f t="shared" ca="1" si="172"/>
        <v>0</v>
      </c>
      <c r="BG94" s="362">
        <f t="shared" ca="1" si="172"/>
        <v>0</v>
      </c>
      <c r="BH94" s="363">
        <f t="shared" ca="1" si="148"/>
        <v>0</v>
      </c>
      <c r="BI94" s="360">
        <f t="shared" ca="1" si="136"/>
        <v>0</v>
      </c>
      <c r="BJ94" s="361">
        <f t="shared" ca="1" si="173"/>
        <v>0</v>
      </c>
      <c r="BK94" s="362">
        <f t="shared" ca="1" si="173"/>
        <v>0</v>
      </c>
      <c r="BL94" s="363">
        <f t="shared" ca="1" si="149"/>
        <v>0</v>
      </c>
      <c r="BM94" s="360">
        <f t="shared" ca="1" si="137"/>
        <v>0</v>
      </c>
      <c r="BN94" s="360">
        <f t="shared" ca="1" si="137"/>
        <v>0</v>
      </c>
    </row>
    <row r="95" spans="1:68">
      <c r="A95" s="221" t="str">
        <f t="shared" ca="1" si="124"/>
        <v>WP003</v>
      </c>
      <c r="B95" s="221" t="str">
        <f t="shared" ca="1" si="125"/>
        <v>WP003</v>
      </c>
      <c r="C95" s="221">
        <v>5</v>
      </c>
      <c r="D95" s="221" t="s">
        <v>107</v>
      </c>
      <c r="J95" s="222" t="s">
        <v>96</v>
      </c>
      <c r="M95" s="221" t="s">
        <v>80</v>
      </c>
      <c r="N95" s="461"/>
      <c r="O95" s="255"/>
      <c r="P95" s="456" t="s">
        <v>108</v>
      </c>
      <c r="Q95" s="456"/>
      <c r="R95" s="364">
        <f t="shared" ca="1" si="162"/>
        <v>0</v>
      </c>
      <c r="S95" s="358">
        <f t="shared" ca="1" si="162"/>
        <v>0</v>
      </c>
      <c r="T95" s="359">
        <f t="shared" ca="1" si="138"/>
        <v>0</v>
      </c>
      <c r="U95" s="360">
        <f t="shared" ca="1" si="126"/>
        <v>0</v>
      </c>
      <c r="V95" s="364">
        <f t="shared" ca="1" si="163"/>
        <v>0</v>
      </c>
      <c r="W95" s="358">
        <f t="shared" ca="1" si="163"/>
        <v>0</v>
      </c>
      <c r="X95" s="359">
        <f t="shared" ca="1" si="139"/>
        <v>0</v>
      </c>
      <c r="Y95" s="360">
        <f t="shared" ca="1" si="127"/>
        <v>0</v>
      </c>
      <c r="Z95" s="364">
        <f t="shared" ca="1" si="164"/>
        <v>0</v>
      </c>
      <c r="AA95" s="358">
        <f t="shared" ca="1" si="164"/>
        <v>0</v>
      </c>
      <c r="AB95" s="359">
        <f t="shared" ca="1" si="140"/>
        <v>0</v>
      </c>
      <c r="AC95" s="360">
        <f t="shared" ca="1" si="128"/>
        <v>0</v>
      </c>
      <c r="AD95" s="364">
        <f t="shared" ca="1" si="165"/>
        <v>0</v>
      </c>
      <c r="AE95" s="358">
        <f t="shared" ca="1" si="165"/>
        <v>0</v>
      </c>
      <c r="AF95" s="359">
        <f t="shared" ca="1" si="141"/>
        <v>0</v>
      </c>
      <c r="AG95" s="360">
        <f t="shared" ca="1" si="129"/>
        <v>0</v>
      </c>
      <c r="AH95" s="364">
        <f t="shared" ca="1" si="166"/>
        <v>0</v>
      </c>
      <c r="AI95" s="358">
        <f t="shared" ca="1" si="166"/>
        <v>0</v>
      </c>
      <c r="AJ95" s="359">
        <f t="shared" ca="1" si="142"/>
        <v>0</v>
      </c>
      <c r="AK95" s="360">
        <f t="shared" ca="1" si="130"/>
        <v>0</v>
      </c>
      <c r="AL95" s="364">
        <f t="shared" ca="1" si="167"/>
        <v>0</v>
      </c>
      <c r="AM95" s="358">
        <f t="shared" ca="1" si="167"/>
        <v>0</v>
      </c>
      <c r="AN95" s="359">
        <f t="shared" ca="1" si="143"/>
        <v>0</v>
      </c>
      <c r="AO95" s="360">
        <f t="shared" ca="1" si="131"/>
        <v>0</v>
      </c>
      <c r="AP95" s="364">
        <f t="shared" ca="1" si="168"/>
        <v>0</v>
      </c>
      <c r="AQ95" s="358">
        <f t="shared" ca="1" si="168"/>
        <v>0</v>
      </c>
      <c r="AR95" s="359">
        <f t="shared" ca="1" si="144"/>
        <v>0</v>
      </c>
      <c r="AS95" s="360">
        <f t="shared" ca="1" si="132"/>
        <v>0</v>
      </c>
      <c r="AT95" s="364">
        <f t="shared" ca="1" si="169"/>
        <v>0</v>
      </c>
      <c r="AU95" s="358">
        <f t="shared" ca="1" si="169"/>
        <v>0</v>
      </c>
      <c r="AV95" s="359">
        <f t="shared" ca="1" si="145"/>
        <v>0</v>
      </c>
      <c r="AW95" s="360">
        <f t="shared" ca="1" si="133"/>
        <v>0</v>
      </c>
      <c r="AX95" s="364">
        <f t="shared" ca="1" si="170"/>
        <v>0</v>
      </c>
      <c r="AY95" s="358">
        <f t="shared" ca="1" si="170"/>
        <v>0</v>
      </c>
      <c r="AZ95" s="359">
        <f t="shared" ca="1" si="146"/>
        <v>0</v>
      </c>
      <c r="BA95" s="360">
        <f t="shared" ca="1" si="134"/>
        <v>0</v>
      </c>
      <c r="BB95" s="364">
        <f t="shared" ca="1" si="171"/>
        <v>0</v>
      </c>
      <c r="BC95" s="358">
        <f t="shared" ca="1" si="171"/>
        <v>0</v>
      </c>
      <c r="BD95" s="359">
        <f t="shared" ca="1" si="147"/>
        <v>0</v>
      </c>
      <c r="BE95" s="360">
        <f t="shared" ca="1" si="135"/>
        <v>0</v>
      </c>
      <c r="BF95" s="364">
        <f t="shared" ca="1" si="172"/>
        <v>0</v>
      </c>
      <c r="BG95" s="358">
        <f t="shared" ca="1" si="172"/>
        <v>0</v>
      </c>
      <c r="BH95" s="359">
        <f t="shared" ca="1" si="148"/>
        <v>0</v>
      </c>
      <c r="BI95" s="360">
        <f t="shared" ca="1" si="136"/>
        <v>0</v>
      </c>
      <c r="BJ95" s="364">
        <f t="shared" ca="1" si="173"/>
        <v>0</v>
      </c>
      <c r="BK95" s="358">
        <f t="shared" ca="1" si="173"/>
        <v>0</v>
      </c>
      <c r="BL95" s="359">
        <f t="shared" ca="1" si="149"/>
        <v>0</v>
      </c>
      <c r="BM95" s="360">
        <f t="shared" ca="1" si="137"/>
        <v>0</v>
      </c>
      <c r="BN95" s="360">
        <f t="shared" ca="1" si="137"/>
        <v>0</v>
      </c>
    </row>
    <row r="96" spans="1:68">
      <c r="A96" s="221" t="str">
        <f t="shared" ca="1" si="124"/>
        <v>WP003</v>
      </c>
      <c r="B96" s="221" t="str">
        <f t="shared" ca="1" si="125"/>
        <v>WP003</v>
      </c>
      <c r="C96" s="221">
        <v>6</v>
      </c>
      <c r="D96" s="221" t="s">
        <v>109</v>
      </c>
      <c r="J96" s="222" t="s">
        <v>96</v>
      </c>
      <c r="K96" s="221" t="s">
        <v>110</v>
      </c>
      <c r="M96" s="221" t="s">
        <v>46</v>
      </c>
      <c r="N96" s="461"/>
      <c r="O96" s="255"/>
      <c r="P96" s="456" t="s">
        <v>111</v>
      </c>
      <c r="Q96" s="456"/>
      <c r="R96" s="364"/>
      <c r="S96" s="358"/>
      <c r="T96" s="359">
        <f t="shared" ca="1" si="138"/>
        <v>0</v>
      </c>
      <c r="U96" s="360">
        <f t="shared" ca="1" si="126"/>
        <v>0</v>
      </c>
      <c r="V96" s="364"/>
      <c r="W96" s="358"/>
      <c r="X96" s="359">
        <f t="shared" ca="1" si="139"/>
        <v>0</v>
      </c>
      <c r="Y96" s="360">
        <f t="shared" ca="1" si="127"/>
        <v>0</v>
      </c>
      <c r="Z96" s="364"/>
      <c r="AA96" s="358"/>
      <c r="AB96" s="359">
        <f t="shared" ca="1" si="140"/>
        <v>0</v>
      </c>
      <c r="AC96" s="360">
        <f t="shared" ca="1" si="128"/>
        <v>0</v>
      </c>
      <c r="AD96" s="364"/>
      <c r="AE96" s="358"/>
      <c r="AF96" s="359">
        <f t="shared" ca="1" si="141"/>
        <v>0</v>
      </c>
      <c r="AG96" s="360">
        <f t="shared" ca="1" si="129"/>
        <v>0</v>
      </c>
      <c r="AH96" s="364"/>
      <c r="AI96" s="358"/>
      <c r="AJ96" s="359">
        <f t="shared" ca="1" si="142"/>
        <v>0</v>
      </c>
      <c r="AK96" s="360">
        <f t="shared" ca="1" si="130"/>
        <v>0</v>
      </c>
      <c r="AL96" s="364"/>
      <c r="AM96" s="358"/>
      <c r="AN96" s="359">
        <f t="shared" ca="1" si="143"/>
        <v>0</v>
      </c>
      <c r="AO96" s="360">
        <f t="shared" ca="1" si="131"/>
        <v>0</v>
      </c>
      <c r="AP96" s="364"/>
      <c r="AQ96" s="358"/>
      <c r="AR96" s="359">
        <f t="shared" ca="1" si="144"/>
        <v>0</v>
      </c>
      <c r="AS96" s="360">
        <f t="shared" ca="1" si="132"/>
        <v>0</v>
      </c>
      <c r="AT96" s="364"/>
      <c r="AU96" s="358"/>
      <c r="AV96" s="359">
        <f t="shared" ca="1" si="145"/>
        <v>0</v>
      </c>
      <c r="AW96" s="360">
        <f t="shared" ca="1" si="133"/>
        <v>0</v>
      </c>
      <c r="AX96" s="364"/>
      <c r="AY96" s="358"/>
      <c r="AZ96" s="359">
        <f t="shared" ca="1" si="146"/>
        <v>0</v>
      </c>
      <c r="BA96" s="360">
        <f t="shared" ca="1" si="134"/>
        <v>0</v>
      </c>
      <c r="BB96" s="364"/>
      <c r="BC96" s="358"/>
      <c r="BD96" s="359">
        <f t="shared" ca="1" si="147"/>
        <v>0</v>
      </c>
      <c r="BE96" s="360">
        <f t="shared" ca="1" si="135"/>
        <v>0</v>
      </c>
      <c r="BF96" s="364"/>
      <c r="BG96" s="358"/>
      <c r="BH96" s="359">
        <f t="shared" ca="1" si="148"/>
        <v>0</v>
      </c>
      <c r="BI96" s="360">
        <f t="shared" ca="1" si="136"/>
        <v>0</v>
      </c>
      <c r="BJ96" s="364"/>
      <c r="BK96" s="358"/>
      <c r="BL96" s="359">
        <f t="shared" ca="1" si="149"/>
        <v>0</v>
      </c>
      <c r="BM96" s="360">
        <f t="shared" ca="1" si="137"/>
        <v>0</v>
      </c>
      <c r="BN96" s="360">
        <f t="shared" ca="1" si="137"/>
        <v>0</v>
      </c>
    </row>
    <row r="97" spans="1:66">
      <c r="A97" s="221" t="str">
        <f t="shared" ca="1" si="124"/>
        <v>WP003</v>
      </c>
      <c r="B97" s="221" t="str">
        <f t="shared" ca="1" si="125"/>
        <v>WP003</v>
      </c>
      <c r="C97" s="221">
        <v>7</v>
      </c>
      <c r="D97" s="221" t="s">
        <v>112</v>
      </c>
      <c r="L97" s="221" t="s">
        <v>110</v>
      </c>
      <c r="M97" s="221" t="s">
        <v>80</v>
      </c>
      <c r="N97" s="461"/>
      <c r="O97" s="255"/>
      <c r="P97" s="389"/>
      <c r="Q97" s="254" t="s">
        <v>113</v>
      </c>
      <c r="R97" s="361">
        <f t="shared" ref="R97:S102" ca="1" si="174">INDIRECT("'"&amp; MID(OFFSET(R97,ROW(R$3)-ROW(R97),IF(OFFSET(R97,ROW(R$2)-ROW(R97),2)="T",0,IF(OFFSET(R97,ROW(R$2)-ROW(R97),1)="T",-1,-2))),1,6) &amp; "'!" &amp; ADDRESS(ROW(R97),MATCH(INDIRECT(ADDRESS(2,COLUMN(R97)+IF(OFFSET(R97,ROW(R$2)-ROW(R97),2)="T",1,IF(OFFSET(R97,ROW(R$2)-ROW(R97),1)="T",0,-1))),TRUE),INDIRECT("'"&amp; MID(OFFSET(R97,ROW(R$3)-ROW(R97),IF(OFFSET(R97,ROW(R$2)-ROW(R97),2)="T",0,IF(OFFSET(R97,ROW(R$2)-ROW(R97),1)="T",-1,-2))),1,6) &amp; "'!2:2",TRUE),0)-IF(OFFSET(R97,ROW(R$2)-ROW(R97),2)="T",1,IF(OFFSET(R97,ROW(R$2)-ROW(R97),1)="T",0,-1))),TRUE)</f>
        <v>0</v>
      </c>
      <c r="S97" s="362">
        <f t="shared" ca="1" si="174"/>
        <v>0</v>
      </c>
      <c r="T97" s="363">
        <f t="shared" ca="1" si="138"/>
        <v>0</v>
      </c>
      <c r="U97" s="360">
        <f t="shared" ca="1" si="126"/>
        <v>0</v>
      </c>
      <c r="V97" s="361">
        <f t="shared" ref="V97:W102" ca="1" si="175">INDIRECT("'"&amp; MID(OFFSET(V97,ROW(V$3)-ROW(V97),IF(OFFSET(V97,ROW(V$2)-ROW(V97),2)="T",0,IF(OFFSET(V97,ROW(V$2)-ROW(V97),1)="T",-1,-2))),1,6) &amp; "'!" &amp; ADDRESS(ROW(V97),MATCH(INDIRECT(ADDRESS(2,COLUMN(V97)+IF(OFFSET(V97,ROW(V$2)-ROW(V97),2)="T",1,IF(OFFSET(V97,ROW(V$2)-ROW(V97),1)="T",0,-1))),TRUE),INDIRECT("'"&amp; MID(OFFSET(V97,ROW(V$3)-ROW(V97),IF(OFFSET(V97,ROW(V$2)-ROW(V97),2)="T",0,IF(OFFSET(V97,ROW(V$2)-ROW(V97),1)="T",-1,-2))),1,6) &amp; "'!2:2",TRUE),0)-IF(OFFSET(V97,ROW(V$2)-ROW(V97),2)="T",1,IF(OFFSET(V97,ROW(V$2)-ROW(V97),1)="T",0,-1))),TRUE)</f>
        <v>0</v>
      </c>
      <c r="W97" s="362">
        <f t="shared" ca="1" si="175"/>
        <v>0</v>
      </c>
      <c r="X97" s="363">
        <f t="shared" ca="1" si="139"/>
        <v>0</v>
      </c>
      <c r="Y97" s="360">
        <f t="shared" ca="1" si="127"/>
        <v>0</v>
      </c>
      <c r="Z97" s="361">
        <f t="shared" ref="Z97:AA102" ca="1" si="176">INDIRECT("'"&amp; MID(OFFSET(Z97,ROW(Z$3)-ROW(Z97),IF(OFFSET(Z97,ROW(Z$2)-ROW(Z97),2)="T",0,IF(OFFSET(Z97,ROW(Z$2)-ROW(Z97),1)="T",-1,-2))),1,6) &amp; "'!" &amp; ADDRESS(ROW(Z97),MATCH(INDIRECT(ADDRESS(2,COLUMN(Z97)+IF(OFFSET(Z97,ROW(Z$2)-ROW(Z97),2)="T",1,IF(OFFSET(Z97,ROW(Z$2)-ROW(Z97),1)="T",0,-1))),TRUE),INDIRECT("'"&amp; MID(OFFSET(Z97,ROW(Z$3)-ROW(Z97),IF(OFFSET(Z97,ROW(Z$2)-ROW(Z97),2)="T",0,IF(OFFSET(Z97,ROW(Z$2)-ROW(Z97),1)="T",-1,-2))),1,6) &amp; "'!2:2",TRUE),0)-IF(OFFSET(Z97,ROW(Z$2)-ROW(Z97),2)="T",1,IF(OFFSET(Z97,ROW(Z$2)-ROW(Z97),1)="T",0,-1))),TRUE)</f>
        <v>0</v>
      </c>
      <c r="AA97" s="362">
        <f t="shared" ca="1" si="176"/>
        <v>0</v>
      </c>
      <c r="AB97" s="363">
        <f t="shared" ca="1" si="140"/>
        <v>0</v>
      </c>
      <c r="AC97" s="360">
        <f t="shared" ca="1" si="128"/>
        <v>0</v>
      </c>
      <c r="AD97" s="361">
        <f t="shared" ref="AD97:AE102" ca="1" si="177">INDIRECT("'"&amp; MID(OFFSET(AD97,ROW(AD$3)-ROW(AD97),IF(OFFSET(AD97,ROW(AD$2)-ROW(AD97),2)="T",0,IF(OFFSET(AD97,ROW(AD$2)-ROW(AD97),1)="T",-1,-2))),1,6) &amp; "'!" &amp; ADDRESS(ROW(AD97),MATCH(INDIRECT(ADDRESS(2,COLUMN(AD97)+IF(OFFSET(AD97,ROW(AD$2)-ROW(AD97),2)="T",1,IF(OFFSET(AD97,ROW(AD$2)-ROW(AD97),1)="T",0,-1))),TRUE),INDIRECT("'"&amp; MID(OFFSET(AD97,ROW(AD$3)-ROW(AD97),IF(OFFSET(AD97,ROW(AD$2)-ROW(AD97),2)="T",0,IF(OFFSET(AD97,ROW(AD$2)-ROW(AD97),1)="T",-1,-2))),1,6) &amp; "'!2:2",TRUE),0)-IF(OFFSET(AD97,ROW(AD$2)-ROW(AD97),2)="T",1,IF(OFFSET(AD97,ROW(AD$2)-ROW(AD97),1)="T",0,-1))),TRUE)</f>
        <v>0</v>
      </c>
      <c r="AE97" s="362">
        <f t="shared" ca="1" si="177"/>
        <v>0</v>
      </c>
      <c r="AF97" s="363">
        <f t="shared" ca="1" si="141"/>
        <v>0</v>
      </c>
      <c r="AG97" s="360">
        <f t="shared" ca="1" si="129"/>
        <v>0</v>
      </c>
      <c r="AH97" s="361">
        <f t="shared" ref="AH97:AI102" ca="1" si="178">INDIRECT("'"&amp; MID(OFFSET(AH97,ROW(AH$3)-ROW(AH97),IF(OFFSET(AH97,ROW(AH$2)-ROW(AH97),2)="T",0,IF(OFFSET(AH97,ROW(AH$2)-ROW(AH97),1)="T",-1,-2))),1,6) &amp; "'!" &amp; ADDRESS(ROW(AH97),MATCH(INDIRECT(ADDRESS(2,COLUMN(AH97)+IF(OFFSET(AH97,ROW(AH$2)-ROW(AH97),2)="T",1,IF(OFFSET(AH97,ROW(AH$2)-ROW(AH97),1)="T",0,-1))),TRUE),INDIRECT("'"&amp; MID(OFFSET(AH97,ROW(AH$3)-ROW(AH97),IF(OFFSET(AH97,ROW(AH$2)-ROW(AH97),2)="T",0,IF(OFFSET(AH97,ROW(AH$2)-ROW(AH97),1)="T",-1,-2))),1,6) &amp; "'!2:2",TRUE),0)-IF(OFFSET(AH97,ROW(AH$2)-ROW(AH97),2)="T",1,IF(OFFSET(AH97,ROW(AH$2)-ROW(AH97),1)="T",0,-1))),TRUE)</f>
        <v>0</v>
      </c>
      <c r="AI97" s="362">
        <f t="shared" ca="1" si="178"/>
        <v>0</v>
      </c>
      <c r="AJ97" s="363">
        <f t="shared" ca="1" si="142"/>
        <v>0</v>
      </c>
      <c r="AK97" s="360">
        <f t="shared" ca="1" si="130"/>
        <v>0</v>
      </c>
      <c r="AL97" s="361">
        <f t="shared" ref="AL97:AM102" ca="1" si="179">INDIRECT("'"&amp; MID(OFFSET(AL97,ROW(AL$3)-ROW(AL97),IF(OFFSET(AL97,ROW(AL$2)-ROW(AL97),2)="T",0,IF(OFFSET(AL97,ROW(AL$2)-ROW(AL97),1)="T",-1,-2))),1,6) &amp; "'!" &amp; ADDRESS(ROW(AL97),MATCH(INDIRECT(ADDRESS(2,COLUMN(AL97)+IF(OFFSET(AL97,ROW(AL$2)-ROW(AL97),2)="T",1,IF(OFFSET(AL97,ROW(AL$2)-ROW(AL97),1)="T",0,-1))),TRUE),INDIRECT("'"&amp; MID(OFFSET(AL97,ROW(AL$3)-ROW(AL97),IF(OFFSET(AL97,ROW(AL$2)-ROW(AL97),2)="T",0,IF(OFFSET(AL97,ROW(AL$2)-ROW(AL97),1)="T",-1,-2))),1,6) &amp; "'!2:2",TRUE),0)-IF(OFFSET(AL97,ROW(AL$2)-ROW(AL97),2)="T",1,IF(OFFSET(AL97,ROW(AL$2)-ROW(AL97),1)="T",0,-1))),TRUE)</f>
        <v>0</v>
      </c>
      <c r="AM97" s="362">
        <f t="shared" ca="1" si="179"/>
        <v>0</v>
      </c>
      <c r="AN97" s="363">
        <f t="shared" ca="1" si="143"/>
        <v>0</v>
      </c>
      <c r="AO97" s="360">
        <f t="shared" ca="1" si="131"/>
        <v>0</v>
      </c>
      <c r="AP97" s="361">
        <f t="shared" ref="AP97:AQ102" ca="1" si="180">INDIRECT("'"&amp; MID(OFFSET(AP97,ROW(AP$3)-ROW(AP97),IF(OFFSET(AP97,ROW(AP$2)-ROW(AP97),2)="T",0,IF(OFFSET(AP97,ROW(AP$2)-ROW(AP97),1)="T",-1,-2))),1,6) &amp; "'!" &amp; ADDRESS(ROW(AP97),MATCH(INDIRECT(ADDRESS(2,COLUMN(AP97)+IF(OFFSET(AP97,ROW(AP$2)-ROW(AP97),2)="T",1,IF(OFFSET(AP97,ROW(AP$2)-ROW(AP97),1)="T",0,-1))),TRUE),INDIRECT("'"&amp; MID(OFFSET(AP97,ROW(AP$3)-ROW(AP97),IF(OFFSET(AP97,ROW(AP$2)-ROW(AP97),2)="T",0,IF(OFFSET(AP97,ROW(AP$2)-ROW(AP97),1)="T",-1,-2))),1,6) &amp; "'!2:2",TRUE),0)-IF(OFFSET(AP97,ROW(AP$2)-ROW(AP97),2)="T",1,IF(OFFSET(AP97,ROW(AP$2)-ROW(AP97),1)="T",0,-1))),TRUE)</f>
        <v>0</v>
      </c>
      <c r="AQ97" s="362">
        <f t="shared" ca="1" si="180"/>
        <v>0</v>
      </c>
      <c r="AR97" s="363">
        <f t="shared" ca="1" si="144"/>
        <v>0</v>
      </c>
      <c r="AS97" s="360">
        <f t="shared" ca="1" si="132"/>
        <v>0</v>
      </c>
      <c r="AT97" s="361">
        <f t="shared" ref="AT97:AU102" ca="1" si="181">INDIRECT("'"&amp; MID(OFFSET(AT97,ROW(AT$3)-ROW(AT97),IF(OFFSET(AT97,ROW(AT$2)-ROW(AT97),2)="T",0,IF(OFFSET(AT97,ROW(AT$2)-ROW(AT97),1)="T",-1,-2))),1,6) &amp; "'!" &amp; ADDRESS(ROW(AT97),MATCH(INDIRECT(ADDRESS(2,COLUMN(AT97)+IF(OFFSET(AT97,ROW(AT$2)-ROW(AT97),2)="T",1,IF(OFFSET(AT97,ROW(AT$2)-ROW(AT97),1)="T",0,-1))),TRUE),INDIRECT("'"&amp; MID(OFFSET(AT97,ROW(AT$3)-ROW(AT97),IF(OFFSET(AT97,ROW(AT$2)-ROW(AT97),2)="T",0,IF(OFFSET(AT97,ROW(AT$2)-ROW(AT97),1)="T",-1,-2))),1,6) &amp; "'!2:2",TRUE),0)-IF(OFFSET(AT97,ROW(AT$2)-ROW(AT97),2)="T",1,IF(OFFSET(AT97,ROW(AT$2)-ROW(AT97),1)="T",0,-1))),TRUE)</f>
        <v>0</v>
      </c>
      <c r="AU97" s="362">
        <f t="shared" ca="1" si="181"/>
        <v>0</v>
      </c>
      <c r="AV97" s="363">
        <f t="shared" ca="1" si="145"/>
        <v>0</v>
      </c>
      <c r="AW97" s="360">
        <f t="shared" ca="1" si="133"/>
        <v>0</v>
      </c>
      <c r="AX97" s="361">
        <f t="shared" ref="AX97:AY102" ca="1" si="182">INDIRECT("'"&amp; MID(OFFSET(AX97,ROW(AX$3)-ROW(AX97),IF(OFFSET(AX97,ROW(AX$2)-ROW(AX97),2)="T",0,IF(OFFSET(AX97,ROW(AX$2)-ROW(AX97),1)="T",-1,-2))),1,6) &amp; "'!" &amp; ADDRESS(ROW(AX97),MATCH(INDIRECT(ADDRESS(2,COLUMN(AX97)+IF(OFFSET(AX97,ROW(AX$2)-ROW(AX97),2)="T",1,IF(OFFSET(AX97,ROW(AX$2)-ROW(AX97),1)="T",0,-1))),TRUE),INDIRECT("'"&amp; MID(OFFSET(AX97,ROW(AX$3)-ROW(AX97),IF(OFFSET(AX97,ROW(AX$2)-ROW(AX97),2)="T",0,IF(OFFSET(AX97,ROW(AX$2)-ROW(AX97),1)="T",-1,-2))),1,6) &amp; "'!2:2",TRUE),0)-IF(OFFSET(AX97,ROW(AX$2)-ROW(AX97),2)="T",1,IF(OFFSET(AX97,ROW(AX$2)-ROW(AX97),1)="T",0,-1))),TRUE)</f>
        <v>0</v>
      </c>
      <c r="AY97" s="362">
        <f t="shared" ca="1" si="182"/>
        <v>0</v>
      </c>
      <c r="AZ97" s="363">
        <f t="shared" ca="1" si="146"/>
        <v>0</v>
      </c>
      <c r="BA97" s="360">
        <f t="shared" ca="1" si="134"/>
        <v>0</v>
      </c>
      <c r="BB97" s="361">
        <f t="shared" ref="BB97:BC102" ca="1" si="183">INDIRECT("'"&amp; MID(OFFSET(BB97,ROW(BB$3)-ROW(BB97),IF(OFFSET(BB97,ROW(BB$2)-ROW(BB97),2)="T",0,IF(OFFSET(BB97,ROW(BB$2)-ROW(BB97),1)="T",-1,-2))),1,6) &amp; "'!" &amp; ADDRESS(ROW(BB97),MATCH(INDIRECT(ADDRESS(2,COLUMN(BB97)+IF(OFFSET(BB97,ROW(BB$2)-ROW(BB97),2)="T",1,IF(OFFSET(BB97,ROW(BB$2)-ROW(BB97),1)="T",0,-1))),TRUE),INDIRECT("'"&amp; MID(OFFSET(BB97,ROW(BB$3)-ROW(BB97),IF(OFFSET(BB97,ROW(BB$2)-ROW(BB97),2)="T",0,IF(OFFSET(BB97,ROW(BB$2)-ROW(BB97),1)="T",-1,-2))),1,6) &amp; "'!2:2",TRUE),0)-IF(OFFSET(BB97,ROW(BB$2)-ROW(BB97),2)="T",1,IF(OFFSET(BB97,ROW(BB$2)-ROW(BB97),1)="T",0,-1))),TRUE)</f>
        <v>0</v>
      </c>
      <c r="BC97" s="362">
        <f t="shared" ca="1" si="183"/>
        <v>0</v>
      </c>
      <c r="BD97" s="363">
        <f t="shared" ca="1" si="147"/>
        <v>0</v>
      </c>
      <c r="BE97" s="360">
        <f t="shared" ca="1" si="135"/>
        <v>0</v>
      </c>
      <c r="BF97" s="361">
        <f t="shared" ref="BF97:BG102" ca="1" si="184">INDIRECT("'"&amp; MID(OFFSET(BF97,ROW(BF$3)-ROW(BF97),IF(OFFSET(BF97,ROW(BF$2)-ROW(BF97),2)="T",0,IF(OFFSET(BF97,ROW(BF$2)-ROW(BF97),1)="T",-1,-2))),1,6) &amp; "'!" &amp; ADDRESS(ROW(BF97),MATCH(INDIRECT(ADDRESS(2,COLUMN(BF97)+IF(OFFSET(BF97,ROW(BF$2)-ROW(BF97),2)="T",1,IF(OFFSET(BF97,ROW(BF$2)-ROW(BF97),1)="T",0,-1))),TRUE),INDIRECT("'"&amp; MID(OFFSET(BF97,ROW(BF$3)-ROW(BF97),IF(OFFSET(BF97,ROW(BF$2)-ROW(BF97),2)="T",0,IF(OFFSET(BF97,ROW(BF$2)-ROW(BF97),1)="T",-1,-2))),1,6) &amp; "'!2:2",TRUE),0)-IF(OFFSET(BF97,ROW(BF$2)-ROW(BF97),2)="T",1,IF(OFFSET(BF97,ROW(BF$2)-ROW(BF97),1)="T",0,-1))),TRUE)</f>
        <v>0</v>
      </c>
      <c r="BG97" s="362">
        <f t="shared" ca="1" si="184"/>
        <v>0</v>
      </c>
      <c r="BH97" s="363">
        <f t="shared" ca="1" si="148"/>
        <v>0</v>
      </c>
      <c r="BI97" s="360">
        <f t="shared" ca="1" si="136"/>
        <v>0</v>
      </c>
      <c r="BJ97" s="361">
        <f t="shared" ref="BJ97:BK102" ca="1" si="185">INDIRECT("'"&amp; MID(OFFSET(BJ97,ROW(BJ$3)-ROW(BJ97),IF(OFFSET(BJ97,ROW(BJ$2)-ROW(BJ97),2)="T",0,IF(OFFSET(BJ97,ROW(BJ$2)-ROW(BJ97),1)="T",-1,-2))),1,6) &amp; "'!" &amp; ADDRESS(ROW(BJ97),MATCH(INDIRECT(ADDRESS(2,COLUMN(BJ97)+IF(OFFSET(BJ97,ROW(BJ$2)-ROW(BJ97),2)="T",1,IF(OFFSET(BJ97,ROW(BJ$2)-ROW(BJ97),1)="T",0,-1))),TRUE),INDIRECT("'"&amp; MID(OFFSET(BJ97,ROW(BJ$3)-ROW(BJ97),IF(OFFSET(BJ97,ROW(BJ$2)-ROW(BJ97),2)="T",0,IF(OFFSET(BJ97,ROW(BJ$2)-ROW(BJ97),1)="T",-1,-2))),1,6) &amp; "'!2:2",TRUE),0)-IF(OFFSET(BJ97,ROW(BJ$2)-ROW(BJ97),2)="T",1,IF(OFFSET(BJ97,ROW(BJ$2)-ROW(BJ97),1)="T",0,-1))),TRUE)</f>
        <v>0</v>
      </c>
      <c r="BK97" s="362">
        <f t="shared" ca="1" si="185"/>
        <v>0</v>
      </c>
      <c r="BL97" s="363">
        <f t="shared" ca="1" si="149"/>
        <v>0</v>
      </c>
      <c r="BM97" s="360">
        <f t="shared" ca="1" si="137"/>
        <v>0</v>
      </c>
      <c r="BN97" s="360">
        <f t="shared" ca="1" si="137"/>
        <v>0</v>
      </c>
    </row>
    <row r="98" spans="1:66">
      <c r="A98" s="221" t="str">
        <f t="shared" ca="1" si="124"/>
        <v>WP003</v>
      </c>
      <c r="B98" s="221" t="str">
        <f t="shared" ca="1" si="125"/>
        <v>WP003</v>
      </c>
      <c r="C98" s="221">
        <v>7</v>
      </c>
      <c r="D98" s="221" t="s">
        <v>114</v>
      </c>
      <c r="L98" s="221" t="s">
        <v>110</v>
      </c>
      <c r="M98" s="221" t="s">
        <v>80</v>
      </c>
      <c r="N98" s="461"/>
      <c r="O98" s="255"/>
      <c r="P98" s="389"/>
      <c r="Q98" s="254" t="s">
        <v>115</v>
      </c>
      <c r="R98" s="361">
        <f t="shared" ca="1" si="174"/>
        <v>0</v>
      </c>
      <c r="S98" s="362">
        <f t="shared" ca="1" si="174"/>
        <v>0</v>
      </c>
      <c r="T98" s="363">
        <f t="shared" ca="1" si="138"/>
        <v>0</v>
      </c>
      <c r="U98" s="360">
        <f t="shared" ca="1" si="126"/>
        <v>0</v>
      </c>
      <c r="V98" s="361">
        <f t="shared" ca="1" si="175"/>
        <v>0</v>
      </c>
      <c r="W98" s="362">
        <f t="shared" ca="1" si="175"/>
        <v>0</v>
      </c>
      <c r="X98" s="363">
        <f t="shared" ca="1" si="139"/>
        <v>0</v>
      </c>
      <c r="Y98" s="360">
        <f t="shared" ca="1" si="127"/>
        <v>0</v>
      </c>
      <c r="Z98" s="361">
        <f t="shared" ca="1" si="176"/>
        <v>0</v>
      </c>
      <c r="AA98" s="362">
        <f t="shared" ca="1" si="176"/>
        <v>0</v>
      </c>
      <c r="AB98" s="363">
        <f t="shared" ca="1" si="140"/>
        <v>0</v>
      </c>
      <c r="AC98" s="360">
        <f t="shared" ca="1" si="128"/>
        <v>0</v>
      </c>
      <c r="AD98" s="361">
        <f t="shared" ca="1" si="177"/>
        <v>0</v>
      </c>
      <c r="AE98" s="362">
        <f t="shared" ca="1" si="177"/>
        <v>0</v>
      </c>
      <c r="AF98" s="363">
        <f t="shared" ca="1" si="141"/>
        <v>0</v>
      </c>
      <c r="AG98" s="360">
        <f t="shared" ca="1" si="129"/>
        <v>0</v>
      </c>
      <c r="AH98" s="361">
        <f t="shared" ca="1" si="178"/>
        <v>0</v>
      </c>
      <c r="AI98" s="362">
        <f t="shared" ca="1" si="178"/>
        <v>0</v>
      </c>
      <c r="AJ98" s="363">
        <f t="shared" ca="1" si="142"/>
        <v>0</v>
      </c>
      <c r="AK98" s="360">
        <f t="shared" ca="1" si="130"/>
        <v>0</v>
      </c>
      <c r="AL98" s="361">
        <f t="shared" ca="1" si="179"/>
        <v>0</v>
      </c>
      <c r="AM98" s="362">
        <f t="shared" ca="1" si="179"/>
        <v>0</v>
      </c>
      <c r="AN98" s="363">
        <f t="shared" ca="1" si="143"/>
        <v>0</v>
      </c>
      <c r="AO98" s="360">
        <f t="shared" ca="1" si="131"/>
        <v>0</v>
      </c>
      <c r="AP98" s="361">
        <f t="shared" ca="1" si="180"/>
        <v>0</v>
      </c>
      <c r="AQ98" s="362">
        <f t="shared" ca="1" si="180"/>
        <v>0</v>
      </c>
      <c r="AR98" s="363">
        <f t="shared" ca="1" si="144"/>
        <v>0</v>
      </c>
      <c r="AS98" s="360">
        <f t="shared" ca="1" si="132"/>
        <v>0</v>
      </c>
      <c r="AT98" s="361">
        <f t="shared" ca="1" si="181"/>
        <v>0</v>
      </c>
      <c r="AU98" s="362">
        <f t="shared" ca="1" si="181"/>
        <v>0</v>
      </c>
      <c r="AV98" s="363">
        <f t="shared" ca="1" si="145"/>
        <v>0</v>
      </c>
      <c r="AW98" s="360">
        <f t="shared" ca="1" si="133"/>
        <v>0</v>
      </c>
      <c r="AX98" s="361">
        <f t="shared" ca="1" si="182"/>
        <v>0</v>
      </c>
      <c r="AY98" s="362">
        <f t="shared" ca="1" si="182"/>
        <v>0</v>
      </c>
      <c r="AZ98" s="363">
        <f t="shared" ca="1" si="146"/>
        <v>0</v>
      </c>
      <c r="BA98" s="360">
        <f t="shared" ca="1" si="134"/>
        <v>0</v>
      </c>
      <c r="BB98" s="361">
        <f t="shared" ca="1" si="183"/>
        <v>0</v>
      </c>
      <c r="BC98" s="362">
        <f t="shared" ca="1" si="183"/>
        <v>0</v>
      </c>
      <c r="BD98" s="363">
        <f t="shared" ca="1" si="147"/>
        <v>0</v>
      </c>
      <c r="BE98" s="360">
        <f t="shared" ca="1" si="135"/>
        <v>0</v>
      </c>
      <c r="BF98" s="361">
        <f t="shared" ca="1" si="184"/>
        <v>0</v>
      </c>
      <c r="BG98" s="362">
        <f t="shared" ca="1" si="184"/>
        <v>0</v>
      </c>
      <c r="BH98" s="363">
        <f t="shared" ca="1" si="148"/>
        <v>0</v>
      </c>
      <c r="BI98" s="360">
        <f t="shared" ca="1" si="136"/>
        <v>0</v>
      </c>
      <c r="BJ98" s="361">
        <f t="shared" ca="1" si="185"/>
        <v>0</v>
      </c>
      <c r="BK98" s="362">
        <f t="shared" ca="1" si="185"/>
        <v>0</v>
      </c>
      <c r="BL98" s="363">
        <f t="shared" ca="1" si="149"/>
        <v>0</v>
      </c>
      <c r="BM98" s="360">
        <f t="shared" ca="1" si="137"/>
        <v>0</v>
      </c>
      <c r="BN98" s="360">
        <f t="shared" ca="1" si="137"/>
        <v>0</v>
      </c>
    </row>
    <row r="99" spans="1:66">
      <c r="A99" s="221" t="str">
        <f t="shared" ca="1" si="124"/>
        <v>WP003</v>
      </c>
      <c r="B99" s="221" t="str">
        <f t="shared" ca="1" si="125"/>
        <v>WP003</v>
      </c>
      <c r="C99" s="221">
        <v>7</v>
      </c>
      <c r="D99" s="221" t="s">
        <v>116</v>
      </c>
      <c r="L99" s="221" t="s">
        <v>110</v>
      </c>
      <c r="M99" s="221" t="s">
        <v>80</v>
      </c>
      <c r="N99" s="461"/>
      <c r="O99" s="255"/>
      <c r="P99" s="389"/>
      <c r="Q99" s="254" t="s">
        <v>117</v>
      </c>
      <c r="R99" s="361">
        <f t="shared" ca="1" si="174"/>
        <v>0</v>
      </c>
      <c r="S99" s="362">
        <f t="shared" ca="1" si="174"/>
        <v>0</v>
      </c>
      <c r="T99" s="363">
        <f t="shared" ca="1" si="138"/>
        <v>0</v>
      </c>
      <c r="U99" s="360">
        <f t="shared" ca="1" si="126"/>
        <v>0</v>
      </c>
      <c r="V99" s="361">
        <f t="shared" ca="1" si="175"/>
        <v>0</v>
      </c>
      <c r="W99" s="362">
        <f t="shared" ca="1" si="175"/>
        <v>0</v>
      </c>
      <c r="X99" s="363">
        <f t="shared" ca="1" si="139"/>
        <v>0</v>
      </c>
      <c r="Y99" s="360">
        <f t="shared" ca="1" si="127"/>
        <v>0</v>
      </c>
      <c r="Z99" s="361">
        <f t="shared" ca="1" si="176"/>
        <v>0</v>
      </c>
      <c r="AA99" s="362">
        <f t="shared" ca="1" si="176"/>
        <v>0</v>
      </c>
      <c r="AB99" s="363">
        <f t="shared" ca="1" si="140"/>
        <v>0</v>
      </c>
      <c r="AC99" s="360">
        <f t="shared" ca="1" si="128"/>
        <v>0</v>
      </c>
      <c r="AD99" s="361">
        <f t="shared" ca="1" si="177"/>
        <v>0</v>
      </c>
      <c r="AE99" s="362">
        <f t="shared" ca="1" si="177"/>
        <v>0</v>
      </c>
      <c r="AF99" s="363">
        <f t="shared" ca="1" si="141"/>
        <v>0</v>
      </c>
      <c r="AG99" s="360">
        <f t="shared" ca="1" si="129"/>
        <v>0</v>
      </c>
      <c r="AH99" s="361">
        <f t="shared" ca="1" si="178"/>
        <v>0</v>
      </c>
      <c r="AI99" s="362">
        <f t="shared" ca="1" si="178"/>
        <v>0</v>
      </c>
      <c r="AJ99" s="363">
        <f t="shared" ca="1" si="142"/>
        <v>0</v>
      </c>
      <c r="AK99" s="360">
        <f t="shared" ca="1" si="130"/>
        <v>0</v>
      </c>
      <c r="AL99" s="361">
        <f t="shared" ca="1" si="179"/>
        <v>0</v>
      </c>
      <c r="AM99" s="362">
        <f t="shared" ca="1" si="179"/>
        <v>0</v>
      </c>
      <c r="AN99" s="363">
        <f t="shared" ca="1" si="143"/>
        <v>0</v>
      </c>
      <c r="AO99" s="360">
        <f t="shared" ca="1" si="131"/>
        <v>0</v>
      </c>
      <c r="AP99" s="361">
        <f t="shared" ca="1" si="180"/>
        <v>0</v>
      </c>
      <c r="AQ99" s="362">
        <f t="shared" ca="1" si="180"/>
        <v>0</v>
      </c>
      <c r="AR99" s="363">
        <f t="shared" ca="1" si="144"/>
        <v>0</v>
      </c>
      <c r="AS99" s="360">
        <f t="shared" ca="1" si="132"/>
        <v>0</v>
      </c>
      <c r="AT99" s="361">
        <f t="shared" ca="1" si="181"/>
        <v>0</v>
      </c>
      <c r="AU99" s="362">
        <f t="shared" ca="1" si="181"/>
        <v>0</v>
      </c>
      <c r="AV99" s="363">
        <f t="shared" ca="1" si="145"/>
        <v>0</v>
      </c>
      <c r="AW99" s="360">
        <f t="shared" ca="1" si="133"/>
        <v>0</v>
      </c>
      <c r="AX99" s="361">
        <f t="shared" ca="1" si="182"/>
        <v>0</v>
      </c>
      <c r="AY99" s="362">
        <f t="shared" ca="1" si="182"/>
        <v>0</v>
      </c>
      <c r="AZ99" s="363">
        <f t="shared" ca="1" si="146"/>
        <v>0</v>
      </c>
      <c r="BA99" s="360">
        <f t="shared" ca="1" si="134"/>
        <v>0</v>
      </c>
      <c r="BB99" s="361">
        <f t="shared" ca="1" si="183"/>
        <v>0</v>
      </c>
      <c r="BC99" s="362">
        <f t="shared" ca="1" si="183"/>
        <v>0</v>
      </c>
      <c r="BD99" s="363">
        <f t="shared" ca="1" si="147"/>
        <v>0</v>
      </c>
      <c r="BE99" s="360">
        <f t="shared" ca="1" si="135"/>
        <v>0</v>
      </c>
      <c r="BF99" s="361">
        <f t="shared" ca="1" si="184"/>
        <v>0</v>
      </c>
      <c r="BG99" s="362">
        <f t="shared" ca="1" si="184"/>
        <v>0</v>
      </c>
      <c r="BH99" s="363">
        <f t="shared" ca="1" si="148"/>
        <v>0</v>
      </c>
      <c r="BI99" s="360">
        <f t="shared" ca="1" si="136"/>
        <v>0</v>
      </c>
      <c r="BJ99" s="361">
        <f t="shared" ca="1" si="185"/>
        <v>0</v>
      </c>
      <c r="BK99" s="362">
        <f t="shared" ca="1" si="185"/>
        <v>0</v>
      </c>
      <c r="BL99" s="363">
        <f t="shared" ca="1" si="149"/>
        <v>0</v>
      </c>
      <c r="BM99" s="360">
        <f t="shared" ca="1" si="137"/>
        <v>0</v>
      </c>
      <c r="BN99" s="360">
        <f t="shared" ca="1" si="137"/>
        <v>0</v>
      </c>
    </row>
    <row r="100" spans="1:66">
      <c r="A100" s="221" t="str">
        <f t="shared" ca="1" si="124"/>
        <v>WP003</v>
      </c>
      <c r="B100" s="221" t="str">
        <f t="shared" ca="1" si="125"/>
        <v>WP003</v>
      </c>
      <c r="C100" s="221">
        <v>7</v>
      </c>
      <c r="D100" s="221" t="s">
        <v>118</v>
      </c>
      <c r="L100" s="221" t="s">
        <v>110</v>
      </c>
      <c r="M100" s="221" t="s">
        <v>80</v>
      </c>
      <c r="N100" s="461"/>
      <c r="O100" s="255"/>
      <c r="P100" s="389"/>
      <c r="Q100" s="254" t="s">
        <v>119</v>
      </c>
      <c r="R100" s="361">
        <f t="shared" ca="1" si="174"/>
        <v>0</v>
      </c>
      <c r="S100" s="362">
        <f t="shared" ca="1" si="174"/>
        <v>0</v>
      </c>
      <c r="T100" s="363">
        <f t="shared" ca="1" si="138"/>
        <v>0</v>
      </c>
      <c r="U100" s="360">
        <f t="shared" ca="1" si="126"/>
        <v>0</v>
      </c>
      <c r="V100" s="361">
        <f t="shared" ca="1" si="175"/>
        <v>0</v>
      </c>
      <c r="W100" s="362">
        <f t="shared" ca="1" si="175"/>
        <v>0</v>
      </c>
      <c r="X100" s="363">
        <f t="shared" ca="1" si="139"/>
        <v>0</v>
      </c>
      <c r="Y100" s="360">
        <f t="shared" ca="1" si="127"/>
        <v>0</v>
      </c>
      <c r="Z100" s="361">
        <f t="shared" ca="1" si="176"/>
        <v>0</v>
      </c>
      <c r="AA100" s="362">
        <f t="shared" ca="1" si="176"/>
        <v>0</v>
      </c>
      <c r="AB100" s="363">
        <f t="shared" ca="1" si="140"/>
        <v>0</v>
      </c>
      <c r="AC100" s="360">
        <f t="shared" ca="1" si="128"/>
        <v>0</v>
      </c>
      <c r="AD100" s="361">
        <f t="shared" ca="1" si="177"/>
        <v>0</v>
      </c>
      <c r="AE100" s="362">
        <f t="shared" ca="1" si="177"/>
        <v>0</v>
      </c>
      <c r="AF100" s="363">
        <f t="shared" ca="1" si="141"/>
        <v>0</v>
      </c>
      <c r="AG100" s="360">
        <f t="shared" ca="1" si="129"/>
        <v>0</v>
      </c>
      <c r="AH100" s="361">
        <f t="shared" ca="1" si="178"/>
        <v>0</v>
      </c>
      <c r="AI100" s="362">
        <f t="shared" ca="1" si="178"/>
        <v>0</v>
      </c>
      <c r="AJ100" s="363">
        <f t="shared" ca="1" si="142"/>
        <v>0</v>
      </c>
      <c r="AK100" s="360">
        <f t="shared" ca="1" si="130"/>
        <v>0</v>
      </c>
      <c r="AL100" s="361">
        <f t="shared" ca="1" si="179"/>
        <v>0</v>
      </c>
      <c r="AM100" s="362">
        <f t="shared" ca="1" si="179"/>
        <v>0</v>
      </c>
      <c r="AN100" s="363">
        <f t="shared" ca="1" si="143"/>
        <v>0</v>
      </c>
      <c r="AO100" s="360">
        <f t="shared" ca="1" si="131"/>
        <v>0</v>
      </c>
      <c r="AP100" s="361">
        <f t="shared" ca="1" si="180"/>
        <v>0</v>
      </c>
      <c r="AQ100" s="362">
        <f t="shared" ca="1" si="180"/>
        <v>0</v>
      </c>
      <c r="AR100" s="363">
        <f t="shared" ca="1" si="144"/>
        <v>0</v>
      </c>
      <c r="AS100" s="360">
        <f t="shared" ca="1" si="132"/>
        <v>0</v>
      </c>
      <c r="AT100" s="361">
        <f t="shared" ca="1" si="181"/>
        <v>0</v>
      </c>
      <c r="AU100" s="362">
        <f t="shared" ca="1" si="181"/>
        <v>0</v>
      </c>
      <c r="AV100" s="363">
        <f t="shared" ca="1" si="145"/>
        <v>0</v>
      </c>
      <c r="AW100" s="360">
        <f t="shared" ca="1" si="133"/>
        <v>0</v>
      </c>
      <c r="AX100" s="361">
        <f t="shared" ca="1" si="182"/>
        <v>0</v>
      </c>
      <c r="AY100" s="362">
        <f t="shared" ca="1" si="182"/>
        <v>0</v>
      </c>
      <c r="AZ100" s="363">
        <f t="shared" ca="1" si="146"/>
        <v>0</v>
      </c>
      <c r="BA100" s="360">
        <f t="shared" ca="1" si="134"/>
        <v>0</v>
      </c>
      <c r="BB100" s="361">
        <f t="shared" ca="1" si="183"/>
        <v>0</v>
      </c>
      <c r="BC100" s="362">
        <f t="shared" ca="1" si="183"/>
        <v>0</v>
      </c>
      <c r="BD100" s="363">
        <f t="shared" ca="1" si="147"/>
        <v>0</v>
      </c>
      <c r="BE100" s="360">
        <f t="shared" ca="1" si="135"/>
        <v>0</v>
      </c>
      <c r="BF100" s="361">
        <f t="shared" ca="1" si="184"/>
        <v>0</v>
      </c>
      <c r="BG100" s="362">
        <f t="shared" ca="1" si="184"/>
        <v>0</v>
      </c>
      <c r="BH100" s="363">
        <f t="shared" ca="1" si="148"/>
        <v>0</v>
      </c>
      <c r="BI100" s="360">
        <f t="shared" ca="1" si="136"/>
        <v>0</v>
      </c>
      <c r="BJ100" s="361">
        <f t="shared" ca="1" si="185"/>
        <v>0</v>
      </c>
      <c r="BK100" s="362">
        <f t="shared" ca="1" si="185"/>
        <v>0</v>
      </c>
      <c r="BL100" s="363">
        <f t="shared" ca="1" si="149"/>
        <v>0</v>
      </c>
      <c r="BM100" s="360">
        <f t="shared" ca="1" si="137"/>
        <v>0</v>
      </c>
      <c r="BN100" s="360">
        <f t="shared" ca="1" si="137"/>
        <v>0</v>
      </c>
    </row>
    <row r="101" spans="1:66">
      <c r="A101" s="221" t="str">
        <f t="shared" ca="1" si="124"/>
        <v>WP003</v>
      </c>
      <c r="B101" s="221" t="str">
        <f t="shared" ca="1" si="125"/>
        <v>WP003</v>
      </c>
      <c r="C101" s="221">
        <v>7</v>
      </c>
      <c r="D101" s="221" t="s">
        <v>120</v>
      </c>
      <c r="L101" s="221" t="s">
        <v>110</v>
      </c>
      <c r="M101" s="221" t="s">
        <v>80</v>
      </c>
      <c r="N101" s="461"/>
      <c r="O101" s="255"/>
      <c r="P101" s="389"/>
      <c r="Q101" s="254" t="s">
        <v>121</v>
      </c>
      <c r="R101" s="361">
        <f t="shared" ca="1" si="174"/>
        <v>0</v>
      </c>
      <c r="S101" s="362">
        <f t="shared" ca="1" si="174"/>
        <v>0</v>
      </c>
      <c r="T101" s="363">
        <f t="shared" ca="1" si="138"/>
        <v>0</v>
      </c>
      <c r="U101" s="360">
        <f t="shared" ca="1" si="126"/>
        <v>0</v>
      </c>
      <c r="V101" s="361">
        <f t="shared" ca="1" si="175"/>
        <v>0</v>
      </c>
      <c r="W101" s="362">
        <f t="shared" ca="1" si="175"/>
        <v>0</v>
      </c>
      <c r="X101" s="363">
        <f t="shared" ca="1" si="139"/>
        <v>0</v>
      </c>
      <c r="Y101" s="360">
        <f t="shared" ca="1" si="127"/>
        <v>0</v>
      </c>
      <c r="Z101" s="361">
        <f t="shared" ca="1" si="176"/>
        <v>0</v>
      </c>
      <c r="AA101" s="362">
        <f t="shared" ca="1" si="176"/>
        <v>0</v>
      </c>
      <c r="AB101" s="363">
        <f t="shared" ca="1" si="140"/>
        <v>0</v>
      </c>
      <c r="AC101" s="360">
        <f t="shared" ca="1" si="128"/>
        <v>0</v>
      </c>
      <c r="AD101" s="361">
        <f t="shared" ca="1" si="177"/>
        <v>0</v>
      </c>
      <c r="AE101" s="362">
        <f t="shared" ca="1" si="177"/>
        <v>0</v>
      </c>
      <c r="AF101" s="363">
        <f t="shared" ca="1" si="141"/>
        <v>0</v>
      </c>
      <c r="AG101" s="360">
        <f t="shared" ca="1" si="129"/>
        <v>0</v>
      </c>
      <c r="AH101" s="361">
        <f t="shared" ca="1" si="178"/>
        <v>0</v>
      </c>
      <c r="AI101" s="362">
        <f t="shared" ca="1" si="178"/>
        <v>0</v>
      </c>
      <c r="AJ101" s="363">
        <f t="shared" ca="1" si="142"/>
        <v>0</v>
      </c>
      <c r="AK101" s="360">
        <f t="shared" ca="1" si="130"/>
        <v>0</v>
      </c>
      <c r="AL101" s="361">
        <f t="shared" ca="1" si="179"/>
        <v>0</v>
      </c>
      <c r="AM101" s="362">
        <f t="shared" ca="1" si="179"/>
        <v>0</v>
      </c>
      <c r="AN101" s="363">
        <f t="shared" ca="1" si="143"/>
        <v>0</v>
      </c>
      <c r="AO101" s="360">
        <f t="shared" ca="1" si="131"/>
        <v>0</v>
      </c>
      <c r="AP101" s="361">
        <f t="shared" ca="1" si="180"/>
        <v>0</v>
      </c>
      <c r="AQ101" s="362">
        <f t="shared" ca="1" si="180"/>
        <v>0</v>
      </c>
      <c r="AR101" s="363">
        <f t="shared" ca="1" si="144"/>
        <v>0</v>
      </c>
      <c r="AS101" s="360">
        <f t="shared" ca="1" si="132"/>
        <v>0</v>
      </c>
      <c r="AT101" s="361">
        <f t="shared" ca="1" si="181"/>
        <v>0</v>
      </c>
      <c r="AU101" s="362">
        <f t="shared" ca="1" si="181"/>
        <v>0</v>
      </c>
      <c r="AV101" s="363">
        <f t="shared" ca="1" si="145"/>
        <v>0</v>
      </c>
      <c r="AW101" s="360">
        <f t="shared" ca="1" si="133"/>
        <v>0</v>
      </c>
      <c r="AX101" s="361">
        <f t="shared" ca="1" si="182"/>
        <v>0</v>
      </c>
      <c r="AY101" s="362">
        <f t="shared" ca="1" si="182"/>
        <v>0</v>
      </c>
      <c r="AZ101" s="363">
        <f t="shared" ca="1" si="146"/>
        <v>0</v>
      </c>
      <c r="BA101" s="360">
        <f t="shared" ca="1" si="134"/>
        <v>0</v>
      </c>
      <c r="BB101" s="361">
        <f t="shared" ca="1" si="183"/>
        <v>0</v>
      </c>
      <c r="BC101" s="362">
        <f t="shared" ca="1" si="183"/>
        <v>0</v>
      </c>
      <c r="BD101" s="363">
        <f t="shared" ca="1" si="147"/>
        <v>0</v>
      </c>
      <c r="BE101" s="360">
        <f t="shared" ca="1" si="135"/>
        <v>0</v>
      </c>
      <c r="BF101" s="361">
        <f t="shared" ca="1" si="184"/>
        <v>0</v>
      </c>
      <c r="BG101" s="362">
        <f t="shared" ca="1" si="184"/>
        <v>0</v>
      </c>
      <c r="BH101" s="363">
        <f t="shared" ca="1" si="148"/>
        <v>0</v>
      </c>
      <c r="BI101" s="360">
        <f t="shared" ca="1" si="136"/>
        <v>0</v>
      </c>
      <c r="BJ101" s="361">
        <f t="shared" ca="1" si="185"/>
        <v>0</v>
      </c>
      <c r="BK101" s="362">
        <f t="shared" ca="1" si="185"/>
        <v>0</v>
      </c>
      <c r="BL101" s="363">
        <f t="shared" ca="1" si="149"/>
        <v>0</v>
      </c>
      <c r="BM101" s="360">
        <f t="shared" ca="1" si="137"/>
        <v>0</v>
      </c>
      <c r="BN101" s="360">
        <f t="shared" ca="1" si="137"/>
        <v>0</v>
      </c>
    </row>
    <row r="102" spans="1:66">
      <c r="A102" s="221" t="str">
        <f t="shared" ca="1" si="124"/>
        <v>WP003</v>
      </c>
      <c r="B102" s="221" t="str">
        <f t="shared" ca="1" si="125"/>
        <v>WP003</v>
      </c>
      <c r="C102" s="221">
        <v>7</v>
      </c>
      <c r="D102" s="221" t="s">
        <v>122</v>
      </c>
      <c r="L102" s="221" t="s">
        <v>110</v>
      </c>
      <c r="M102" s="221" t="s">
        <v>80</v>
      </c>
      <c r="N102" s="461"/>
      <c r="O102" s="256"/>
      <c r="P102" s="389"/>
      <c r="Q102" s="254" t="s">
        <v>123</v>
      </c>
      <c r="R102" s="361">
        <f t="shared" ca="1" si="174"/>
        <v>0</v>
      </c>
      <c r="S102" s="362">
        <f t="shared" ca="1" si="174"/>
        <v>0</v>
      </c>
      <c r="T102" s="363">
        <f t="shared" ca="1" si="138"/>
        <v>0</v>
      </c>
      <c r="U102" s="360">
        <f t="shared" ca="1" si="126"/>
        <v>0</v>
      </c>
      <c r="V102" s="361">
        <f t="shared" ca="1" si="175"/>
        <v>0</v>
      </c>
      <c r="W102" s="362">
        <f t="shared" ca="1" si="175"/>
        <v>0</v>
      </c>
      <c r="X102" s="363">
        <f t="shared" ca="1" si="139"/>
        <v>0</v>
      </c>
      <c r="Y102" s="360">
        <f t="shared" ca="1" si="127"/>
        <v>0</v>
      </c>
      <c r="Z102" s="361">
        <f t="shared" ca="1" si="176"/>
        <v>0</v>
      </c>
      <c r="AA102" s="362">
        <f t="shared" ca="1" si="176"/>
        <v>0</v>
      </c>
      <c r="AB102" s="363">
        <f t="shared" ca="1" si="140"/>
        <v>0</v>
      </c>
      <c r="AC102" s="360">
        <f t="shared" ca="1" si="128"/>
        <v>0</v>
      </c>
      <c r="AD102" s="361">
        <f t="shared" ca="1" si="177"/>
        <v>0</v>
      </c>
      <c r="AE102" s="362">
        <f t="shared" ca="1" si="177"/>
        <v>0</v>
      </c>
      <c r="AF102" s="363">
        <f t="shared" ca="1" si="141"/>
        <v>0</v>
      </c>
      <c r="AG102" s="360">
        <f t="shared" ca="1" si="129"/>
        <v>0</v>
      </c>
      <c r="AH102" s="361">
        <f t="shared" ca="1" si="178"/>
        <v>0</v>
      </c>
      <c r="AI102" s="362">
        <f t="shared" ca="1" si="178"/>
        <v>0</v>
      </c>
      <c r="AJ102" s="363">
        <f t="shared" ca="1" si="142"/>
        <v>0</v>
      </c>
      <c r="AK102" s="360">
        <f t="shared" ca="1" si="130"/>
        <v>0</v>
      </c>
      <c r="AL102" s="361">
        <f t="shared" ca="1" si="179"/>
        <v>0</v>
      </c>
      <c r="AM102" s="362">
        <f t="shared" ca="1" si="179"/>
        <v>0</v>
      </c>
      <c r="AN102" s="363">
        <f t="shared" ca="1" si="143"/>
        <v>0</v>
      </c>
      <c r="AO102" s="360">
        <f t="shared" ca="1" si="131"/>
        <v>0</v>
      </c>
      <c r="AP102" s="361">
        <f t="shared" ca="1" si="180"/>
        <v>0</v>
      </c>
      <c r="AQ102" s="362">
        <f t="shared" ca="1" si="180"/>
        <v>0</v>
      </c>
      <c r="AR102" s="363">
        <f t="shared" ca="1" si="144"/>
        <v>0</v>
      </c>
      <c r="AS102" s="360">
        <f t="shared" ca="1" si="132"/>
        <v>0</v>
      </c>
      <c r="AT102" s="361">
        <f t="shared" ca="1" si="181"/>
        <v>0</v>
      </c>
      <c r="AU102" s="362">
        <f t="shared" ca="1" si="181"/>
        <v>0</v>
      </c>
      <c r="AV102" s="363">
        <f t="shared" ca="1" si="145"/>
        <v>0</v>
      </c>
      <c r="AW102" s="360">
        <f t="shared" ca="1" si="133"/>
        <v>0</v>
      </c>
      <c r="AX102" s="361">
        <f t="shared" ca="1" si="182"/>
        <v>0</v>
      </c>
      <c r="AY102" s="362">
        <f t="shared" ca="1" si="182"/>
        <v>0</v>
      </c>
      <c r="AZ102" s="363">
        <f t="shared" ca="1" si="146"/>
        <v>0</v>
      </c>
      <c r="BA102" s="360">
        <f t="shared" ca="1" si="134"/>
        <v>0</v>
      </c>
      <c r="BB102" s="361">
        <f t="shared" ca="1" si="183"/>
        <v>0</v>
      </c>
      <c r="BC102" s="362">
        <f t="shared" ca="1" si="183"/>
        <v>0</v>
      </c>
      <c r="BD102" s="363">
        <f t="shared" ca="1" si="147"/>
        <v>0</v>
      </c>
      <c r="BE102" s="360">
        <f t="shared" ca="1" si="135"/>
        <v>0</v>
      </c>
      <c r="BF102" s="361">
        <f t="shared" ca="1" si="184"/>
        <v>0</v>
      </c>
      <c r="BG102" s="362">
        <f t="shared" ca="1" si="184"/>
        <v>0</v>
      </c>
      <c r="BH102" s="363">
        <f t="shared" ca="1" si="148"/>
        <v>0</v>
      </c>
      <c r="BI102" s="360">
        <f t="shared" ca="1" si="136"/>
        <v>0</v>
      </c>
      <c r="BJ102" s="361">
        <f t="shared" ca="1" si="185"/>
        <v>0</v>
      </c>
      <c r="BK102" s="362">
        <f t="shared" ca="1" si="185"/>
        <v>0</v>
      </c>
      <c r="BL102" s="363">
        <f t="shared" ca="1" si="149"/>
        <v>0</v>
      </c>
      <c r="BM102" s="360">
        <f t="shared" ca="1" si="137"/>
        <v>0</v>
      </c>
      <c r="BN102" s="360">
        <f t="shared" ca="1" si="137"/>
        <v>0</v>
      </c>
    </row>
    <row r="103" spans="1:66">
      <c r="A103" s="221" t="str">
        <f t="shared" ca="1" si="124"/>
        <v>WP003</v>
      </c>
      <c r="B103" s="221" t="str">
        <f t="shared" ca="1" si="125"/>
        <v>WP003</v>
      </c>
      <c r="C103" s="221">
        <v>4</v>
      </c>
      <c r="D103" s="221" t="s">
        <v>124</v>
      </c>
      <c r="H103" s="221" t="s">
        <v>74</v>
      </c>
      <c r="I103" s="221" t="s">
        <v>125</v>
      </c>
      <c r="M103" s="221" t="s">
        <v>46</v>
      </c>
      <c r="N103" s="461"/>
      <c r="O103" s="452" t="s">
        <v>126</v>
      </c>
      <c r="P103" s="453"/>
      <c r="Q103" s="453"/>
      <c r="R103" s="353"/>
      <c r="S103" s="354"/>
      <c r="T103" s="355">
        <f t="shared" ca="1" si="138"/>
        <v>0</v>
      </c>
      <c r="U103" s="356">
        <f t="shared" ca="1" si="126"/>
        <v>0</v>
      </c>
      <c r="V103" s="353"/>
      <c r="W103" s="354"/>
      <c r="X103" s="355">
        <f t="shared" ca="1" si="139"/>
        <v>0</v>
      </c>
      <c r="Y103" s="356">
        <f t="shared" ca="1" si="127"/>
        <v>0</v>
      </c>
      <c r="Z103" s="353"/>
      <c r="AA103" s="354"/>
      <c r="AB103" s="355">
        <f t="shared" ca="1" si="140"/>
        <v>0</v>
      </c>
      <c r="AC103" s="356">
        <f t="shared" ca="1" si="128"/>
        <v>0</v>
      </c>
      <c r="AD103" s="353"/>
      <c r="AE103" s="354"/>
      <c r="AF103" s="355">
        <f t="shared" ca="1" si="141"/>
        <v>0</v>
      </c>
      <c r="AG103" s="356">
        <f t="shared" ca="1" si="129"/>
        <v>0</v>
      </c>
      <c r="AH103" s="353"/>
      <c r="AI103" s="354"/>
      <c r="AJ103" s="355">
        <f t="shared" ca="1" si="142"/>
        <v>0</v>
      </c>
      <c r="AK103" s="356">
        <f t="shared" ca="1" si="130"/>
        <v>0</v>
      </c>
      <c r="AL103" s="353"/>
      <c r="AM103" s="354"/>
      <c r="AN103" s="355">
        <f t="shared" ca="1" si="143"/>
        <v>0</v>
      </c>
      <c r="AO103" s="356">
        <f t="shared" ca="1" si="131"/>
        <v>0</v>
      </c>
      <c r="AP103" s="353"/>
      <c r="AQ103" s="354"/>
      <c r="AR103" s="355">
        <f t="shared" ca="1" si="144"/>
        <v>0</v>
      </c>
      <c r="AS103" s="356">
        <f t="shared" ca="1" si="132"/>
        <v>0</v>
      </c>
      <c r="AT103" s="353"/>
      <c r="AU103" s="354"/>
      <c r="AV103" s="355">
        <f t="shared" ca="1" si="145"/>
        <v>0</v>
      </c>
      <c r="AW103" s="356">
        <f t="shared" ca="1" si="133"/>
        <v>0</v>
      </c>
      <c r="AX103" s="353"/>
      <c r="AY103" s="354"/>
      <c r="AZ103" s="355">
        <f t="shared" ca="1" si="146"/>
        <v>0</v>
      </c>
      <c r="BA103" s="356">
        <f t="shared" ca="1" si="134"/>
        <v>0</v>
      </c>
      <c r="BB103" s="353"/>
      <c r="BC103" s="354"/>
      <c r="BD103" s="355">
        <f t="shared" ca="1" si="147"/>
        <v>0</v>
      </c>
      <c r="BE103" s="356">
        <f t="shared" ca="1" si="135"/>
        <v>0</v>
      </c>
      <c r="BF103" s="353"/>
      <c r="BG103" s="354"/>
      <c r="BH103" s="355">
        <f t="shared" ca="1" si="148"/>
        <v>0</v>
      </c>
      <c r="BI103" s="356">
        <f t="shared" ca="1" si="136"/>
        <v>0</v>
      </c>
      <c r="BJ103" s="353"/>
      <c r="BK103" s="354"/>
      <c r="BL103" s="355">
        <f t="shared" ca="1" si="149"/>
        <v>0</v>
      </c>
      <c r="BM103" s="356">
        <f t="shared" ca="1" si="137"/>
        <v>0</v>
      </c>
      <c r="BN103" s="356">
        <f t="shared" ca="1" si="137"/>
        <v>0</v>
      </c>
    </row>
    <row r="104" spans="1:66">
      <c r="A104" s="221" t="str">
        <f t="shared" ca="1" si="124"/>
        <v>WP003</v>
      </c>
      <c r="B104" s="221" t="str">
        <f t="shared" ca="1" si="125"/>
        <v>WP003</v>
      </c>
      <c r="C104" s="221">
        <v>5</v>
      </c>
      <c r="D104" s="221" t="s">
        <v>127</v>
      </c>
      <c r="J104" s="222" t="s">
        <v>125</v>
      </c>
      <c r="M104" s="221" t="s">
        <v>80</v>
      </c>
      <c r="N104" s="461"/>
      <c r="O104" s="257"/>
      <c r="P104" s="457" t="s">
        <v>128</v>
      </c>
      <c r="Q104" s="458"/>
      <c r="R104" s="361">
        <f ca="1">INDIRECT("'"&amp; MID(OFFSET(R104,ROW(R$3)-ROW(R104),IF(OFFSET(R104,ROW(R$2)-ROW(R104),2)="T",0,IF(OFFSET(R104,ROW(R$2)-ROW(R104),1)="T",-1,-2))),1,6) &amp; "'!" &amp; ADDRESS(ROW(R104),MATCH(INDIRECT(ADDRESS(2,COLUMN(R104)+IF(OFFSET(R104,ROW(R$2)-ROW(R104),2)="T",1,IF(OFFSET(R104,ROW(R$2)-ROW(R104),1)="T",0,-1))),TRUE),INDIRECT("'"&amp; MID(OFFSET(R104,ROW(R$3)-ROW(R104),IF(OFFSET(R104,ROW(R$2)-ROW(R104),2)="T",0,IF(OFFSET(R104,ROW(R$2)-ROW(R104),1)="T",-1,-2))),1,6) &amp; "'!2:2",TRUE),0)-IF(OFFSET(R104,ROW(R$2)-ROW(R104),2)="T",1,IF(OFFSET(R104,ROW(R$2)-ROW(R104),1)="T",0,-1))),TRUE)</f>
        <v>0</v>
      </c>
      <c r="S104" s="362">
        <f ca="1">INDIRECT("'"&amp; MID(OFFSET(S104,ROW(S$3)-ROW(S104),IF(OFFSET(S104,ROW(S$2)-ROW(S104),2)="T",0,IF(OFFSET(S104,ROW(S$2)-ROW(S104),1)="T",-1,-2))),1,6) &amp; "'!" &amp; ADDRESS(ROW(S104),MATCH(INDIRECT(ADDRESS(2,COLUMN(S104)+IF(OFFSET(S104,ROW(S$2)-ROW(S104),2)="T",1,IF(OFFSET(S104,ROW(S$2)-ROW(S104),1)="T",0,-1))),TRUE),INDIRECT("'"&amp; MID(OFFSET(S104,ROW(S$3)-ROW(S104),IF(OFFSET(S104,ROW(S$2)-ROW(S104),2)="T",0,IF(OFFSET(S104,ROW(S$2)-ROW(S104),1)="T",-1,-2))),1,6) &amp; "'!2:2",TRUE),0)-IF(OFFSET(S104,ROW(S$2)-ROW(S104),2)="T",1,IF(OFFSET(S104,ROW(S$2)-ROW(S104),1)="T",0,-1))),TRUE)</f>
        <v>0</v>
      </c>
      <c r="T104" s="363">
        <f t="shared" ca="1" si="138"/>
        <v>0</v>
      </c>
      <c r="U104" s="360">
        <f t="shared" ca="1" si="126"/>
        <v>0</v>
      </c>
      <c r="V104" s="361">
        <f ca="1">INDIRECT("'"&amp; MID(OFFSET(V104,ROW(V$3)-ROW(V104),IF(OFFSET(V104,ROW(V$2)-ROW(V104),2)="T",0,IF(OFFSET(V104,ROW(V$2)-ROW(V104),1)="T",-1,-2))),1,6) &amp; "'!" &amp; ADDRESS(ROW(V104),MATCH(INDIRECT(ADDRESS(2,COLUMN(V104)+IF(OFFSET(V104,ROW(V$2)-ROW(V104),2)="T",1,IF(OFFSET(V104,ROW(V$2)-ROW(V104),1)="T",0,-1))),TRUE),INDIRECT("'"&amp; MID(OFFSET(V104,ROW(V$3)-ROW(V104),IF(OFFSET(V104,ROW(V$2)-ROW(V104),2)="T",0,IF(OFFSET(V104,ROW(V$2)-ROW(V104),1)="T",-1,-2))),1,6) &amp; "'!2:2",TRUE),0)-IF(OFFSET(V104,ROW(V$2)-ROW(V104),2)="T",1,IF(OFFSET(V104,ROW(V$2)-ROW(V104),1)="T",0,-1))),TRUE)</f>
        <v>0</v>
      </c>
      <c r="W104" s="362">
        <f ca="1">INDIRECT("'"&amp; MID(OFFSET(W104,ROW(W$3)-ROW(W104),IF(OFFSET(W104,ROW(W$2)-ROW(W104),2)="T",0,IF(OFFSET(W104,ROW(W$2)-ROW(W104),1)="T",-1,-2))),1,6) &amp; "'!" &amp; ADDRESS(ROW(W104),MATCH(INDIRECT(ADDRESS(2,COLUMN(W104)+IF(OFFSET(W104,ROW(W$2)-ROW(W104),2)="T",1,IF(OFFSET(W104,ROW(W$2)-ROW(W104),1)="T",0,-1))),TRUE),INDIRECT("'"&amp; MID(OFFSET(W104,ROW(W$3)-ROW(W104),IF(OFFSET(W104,ROW(W$2)-ROW(W104),2)="T",0,IF(OFFSET(W104,ROW(W$2)-ROW(W104),1)="T",-1,-2))),1,6) &amp; "'!2:2",TRUE),0)-IF(OFFSET(W104,ROW(W$2)-ROW(W104),2)="T",1,IF(OFFSET(W104,ROW(W$2)-ROW(W104),1)="T",0,-1))),TRUE)</f>
        <v>0</v>
      </c>
      <c r="X104" s="363">
        <f t="shared" ca="1" si="139"/>
        <v>0</v>
      </c>
      <c r="Y104" s="360">
        <f t="shared" ca="1" si="127"/>
        <v>0</v>
      </c>
      <c r="Z104" s="361">
        <f ca="1">INDIRECT("'"&amp; MID(OFFSET(Z104,ROW(Z$3)-ROW(Z104),IF(OFFSET(Z104,ROW(Z$2)-ROW(Z104),2)="T",0,IF(OFFSET(Z104,ROW(Z$2)-ROW(Z104),1)="T",-1,-2))),1,6) &amp; "'!" &amp; ADDRESS(ROW(Z104),MATCH(INDIRECT(ADDRESS(2,COLUMN(Z104)+IF(OFFSET(Z104,ROW(Z$2)-ROW(Z104),2)="T",1,IF(OFFSET(Z104,ROW(Z$2)-ROW(Z104),1)="T",0,-1))),TRUE),INDIRECT("'"&amp; MID(OFFSET(Z104,ROW(Z$3)-ROW(Z104),IF(OFFSET(Z104,ROW(Z$2)-ROW(Z104),2)="T",0,IF(OFFSET(Z104,ROW(Z$2)-ROW(Z104),1)="T",-1,-2))),1,6) &amp; "'!2:2",TRUE),0)-IF(OFFSET(Z104,ROW(Z$2)-ROW(Z104),2)="T",1,IF(OFFSET(Z104,ROW(Z$2)-ROW(Z104),1)="T",0,-1))),TRUE)</f>
        <v>0</v>
      </c>
      <c r="AA104" s="362">
        <f ca="1">INDIRECT("'"&amp; MID(OFFSET(AA104,ROW(AA$3)-ROW(AA104),IF(OFFSET(AA104,ROW(AA$2)-ROW(AA104),2)="T",0,IF(OFFSET(AA104,ROW(AA$2)-ROW(AA104),1)="T",-1,-2))),1,6) &amp; "'!" &amp; ADDRESS(ROW(AA104),MATCH(INDIRECT(ADDRESS(2,COLUMN(AA104)+IF(OFFSET(AA104,ROW(AA$2)-ROW(AA104),2)="T",1,IF(OFFSET(AA104,ROW(AA$2)-ROW(AA104),1)="T",0,-1))),TRUE),INDIRECT("'"&amp; MID(OFFSET(AA104,ROW(AA$3)-ROW(AA104),IF(OFFSET(AA104,ROW(AA$2)-ROW(AA104),2)="T",0,IF(OFFSET(AA104,ROW(AA$2)-ROW(AA104),1)="T",-1,-2))),1,6) &amp; "'!2:2",TRUE),0)-IF(OFFSET(AA104,ROW(AA$2)-ROW(AA104),2)="T",1,IF(OFFSET(AA104,ROW(AA$2)-ROW(AA104),1)="T",0,-1))),TRUE)</f>
        <v>0</v>
      </c>
      <c r="AB104" s="363">
        <f t="shared" ca="1" si="140"/>
        <v>0</v>
      </c>
      <c r="AC104" s="360">
        <f t="shared" ca="1" si="128"/>
        <v>0</v>
      </c>
      <c r="AD104" s="361">
        <f ca="1">INDIRECT("'"&amp; MID(OFFSET(AD104,ROW(AD$3)-ROW(AD104),IF(OFFSET(AD104,ROW(AD$2)-ROW(AD104),2)="T",0,IF(OFFSET(AD104,ROW(AD$2)-ROW(AD104),1)="T",-1,-2))),1,6) &amp; "'!" &amp; ADDRESS(ROW(AD104),MATCH(INDIRECT(ADDRESS(2,COLUMN(AD104)+IF(OFFSET(AD104,ROW(AD$2)-ROW(AD104),2)="T",1,IF(OFFSET(AD104,ROW(AD$2)-ROW(AD104),1)="T",0,-1))),TRUE),INDIRECT("'"&amp; MID(OFFSET(AD104,ROW(AD$3)-ROW(AD104),IF(OFFSET(AD104,ROW(AD$2)-ROW(AD104),2)="T",0,IF(OFFSET(AD104,ROW(AD$2)-ROW(AD104),1)="T",-1,-2))),1,6) &amp; "'!2:2",TRUE),0)-IF(OFFSET(AD104,ROW(AD$2)-ROW(AD104),2)="T",1,IF(OFFSET(AD104,ROW(AD$2)-ROW(AD104),1)="T",0,-1))),TRUE)</f>
        <v>0</v>
      </c>
      <c r="AE104" s="362">
        <f ca="1">INDIRECT("'"&amp; MID(OFFSET(AE104,ROW(AE$3)-ROW(AE104),IF(OFFSET(AE104,ROW(AE$2)-ROW(AE104),2)="T",0,IF(OFFSET(AE104,ROW(AE$2)-ROW(AE104),1)="T",-1,-2))),1,6) &amp; "'!" &amp; ADDRESS(ROW(AE104),MATCH(INDIRECT(ADDRESS(2,COLUMN(AE104)+IF(OFFSET(AE104,ROW(AE$2)-ROW(AE104),2)="T",1,IF(OFFSET(AE104,ROW(AE$2)-ROW(AE104),1)="T",0,-1))),TRUE),INDIRECT("'"&amp; MID(OFFSET(AE104,ROW(AE$3)-ROW(AE104),IF(OFFSET(AE104,ROW(AE$2)-ROW(AE104),2)="T",0,IF(OFFSET(AE104,ROW(AE$2)-ROW(AE104),1)="T",-1,-2))),1,6) &amp; "'!2:2",TRUE),0)-IF(OFFSET(AE104,ROW(AE$2)-ROW(AE104),2)="T",1,IF(OFFSET(AE104,ROW(AE$2)-ROW(AE104),1)="T",0,-1))),TRUE)</f>
        <v>0</v>
      </c>
      <c r="AF104" s="363">
        <f t="shared" ca="1" si="141"/>
        <v>0</v>
      </c>
      <c r="AG104" s="360">
        <f t="shared" ca="1" si="129"/>
        <v>0</v>
      </c>
      <c r="AH104" s="361">
        <f ca="1">INDIRECT("'"&amp; MID(OFFSET(AH104,ROW(AH$3)-ROW(AH104),IF(OFFSET(AH104,ROW(AH$2)-ROW(AH104),2)="T",0,IF(OFFSET(AH104,ROW(AH$2)-ROW(AH104),1)="T",-1,-2))),1,6) &amp; "'!" &amp; ADDRESS(ROW(AH104),MATCH(INDIRECT(ADDRESS(2,COLUMN(AH104)+IF(OFFSET(AH104,ROW(AH$2)-ROW(AH104),2)="T",1,IF(OFFSET(AH104,ROW(AH$2)-ROW(AH104),1)="T",0,-1))),TRUE),INDIRECT("'"&amp; MID(OFFSET(AH104,ROW(AH$3)-ROW(AH104),IF(OFFSET(AH104,ROW(AH$2)-ROW(AH104),2)="T",0,IF(OFFSET(AH104,ROW(AH$2)-ROW(AH104),1)="T",-1,-2))),1,6) &amp; "'!2:2",TRUE),0)-IF(OFFSET(AH104,ROW(AH$2)-ROW(AH104),2)="T",1,IF(OFFSET(AH104,ROW(AH$2)-ROW(AH104),1)="T",0,-1))),TRUE)</f>
        <v>0</v>
      </c>
      <c r="AI104" s="362">
        <f ca="1">INDIRECT("'"&amp; MID(OFFSET(AI104,ROW(AI$3)-ROW(AI104),IF(OFFSET(AI104,ROW(AI$2)-ROW(AI104),2)="T",0,IF(OFFSET(AI104,ROW(AI$2)-ROW(AI104),1)="T",-1,-2))),1,6) &amp; "'!" &amp; ADDRESS(ROW(AI104),MATCH(INDIRECT(ADDRESS(2,COLUMN(AI104)+IF(OFFSET(AI104,ROW(AI$2)-ROW(AI104),2)="T",1,IF(OFFSET(AI104,ROW(AI$2)-ROW(AI104),1)="T",0,-1))),TRUE),INDIRECT("'"&amp; MID(OFFSET(AI104,ROW(AI$3)-ROW(AI104),IF(OFFSET(AI104,ROW(AI$2)-ROW(AI104),2)="T",0,IF(OFFSET(AI104,ROW(AI$2)-ROW(AI104),1)="T",-1,-2))),1,6) &amp; "'!2:2",TRUE),0)-IF(OFFSET(AI104,ROW(AI$2)-ROW(AI104),2)="T",1,IF(OFFSET(AI104,ROW(AI$2)-ROW(AI104),1)="T",0,-1))),TRUE)</f>
        <v>0</v>
      </c>
      <c r="AJ104" s="363">
        <f t="shared" ca="1" si="142"/>
        <v>0</v>
      </c>
      <c r="AK104" s="360">
        <f t="shared" ca="1" si="130"/>
        <v>0</v>
      </c>
      <c r="AL104" s="361">
        <f ca="1">INDIRECT("'"&amp; MID(OFFSET(AL104,ROW(AL$3)-ROW(AL104),IF(OFFSET(AL104,ROW(AL$2)-ROW(AL104),2)="T",0,IF(OFFSET(AL104,ROW(AL$2)-ROW(AL104),1)="T",-1,-2))),1,6) &amp; "'!" &amp; ADDRESS(ROW(AL104),MATCH(INDIRECT(ADDRESS(2,COLUMN(AL104)+IF(OFFSET(AL104,ROW(AL$2)-ROW(AL104),2)="T",1,IF(OFFSET(AL104,ROW(AL$2)-ROW(AL104),1)="T",0,-1))),TRUE),INDIRECT("'"&amp; MID(OFFSET(AL104,ROW(AL$3)-ROW(AL104),IF(OFFSET(AL104,ROW(AL$2)-ROW(AL104),2)="T",0,IF(OFFSET(AL104,ROW(AL$2)-ROW(AL104),1)="T",-1,-2))),1,6) &amp; "'!2:2",TRUE),0)-IF(OFFSET(AL104,ROW(AL$2)-ROW(AL104),2)="T",1,IF(OFFSET(AL104,ROW(AL$2)-ROW(AL104),1)="T",0,-1))),TRUE)</f>
        <v>0</v>
      </c>
      <c r="AM104" s="362">
        <f ca="1">INDIRECT("'"&amp; MID(OFFSET(AM104,ROW(AM$3)-ROW(AM104),IF(OFFSET(AM104,ROW(AM$2)-ROW(AM104),2)="T",0,IF(OFFSET(AM104,ROW(AM$2)-ROW(AM104),1)="T",-1,-2))),1,6) &amp; "'!" &amp; ADDRESS(ROW(AM104),MATCH(INDIRECT(ADDRESS(2,COLUMN(AM104)+IF(OFFSET(AM104,ROW(AM$2)-ROW(AM104),2)="T",1,IF(OFFSET(AM104,ROW(AM$2)-ROW(AM104),1)="T",0,-1))),TRUE),INDIRECT("'"&amp; MID(OFFSET(AM104,ROW(AM$3)-ROW(AM104),IF(OFFSET(AM104,ROW(AM$2)-ROW(AM104),2)="T",0,IF(OFFSET(AM104,ROW(AM$2)-ROW(AM104),1)="T",-1,-2))),1,6) &amp; "'!2:2",TRUE),0)-IF(OFFSET(AM104,ROW(AM$2)-ROW(AM104),2)="T",1,IF(OFFSET(AM104,ROW(AM$2)-ROW(AM104),1)="T",0,-1))),TRUE)</f>
        <v>0</v>
      </c>
      <c r="AN104" s="363">
        <f t="shared" ca="1" si="143"/>
        <v>0</v>
      </c>
      <c r="AO104" s="360">
        <f t="shared" ca="1" si="131"/>
        <v>0</v>
      </c>
      <c r="AP104" s="361">
        <f ca="1">INDIRECT("'"&amp; MID(OFFSET(AP104,ROW(AP$3)-ROW(AP104),IF(OFFSET(AP104,ROW(AP$2)-ROW(AP104),2)="T",0,IF(OFFSET(AP104,ROW(AP$2)-ROW(AP104),1)="T",-1,-2))),1,6) &amp; "'!" &amp; ADDRESS(ROW(AP104),MATCH(INDIRECT(ADDRESS(2,COLUMN(AP104)+IF(OFFSET(AP104,ROW(AP$2)-ROW(AP104),2)="T",1,IF(OFFSET(AP104,ROW(AP$2)-ROW(AP104),1)="T",0,-1))),TRUE),INDIRECT("'"&amp; MID(OFFSET(AP104,ROW(AP$3)-ROW(AP104),IF(OFFSET(AP104,ROW(AP$2)-ROW(AP104),2)="T",0,IF(OFFSET(AP104,ROW(AP$2)-ROW(AP104),1)="T",-1,-2))),1,6) &amp; "'!2:2",TRUE),0)-IF(OFFSET(AP104,ROW(AP$2)-ROW(AP104),2)="T",1,IF(OFFSET(AP104,ROW(AP$2)-ROW(AP104),1)="T",0,-1))),TRUE)</f>
        <v>0</v>
      </c>
      <c r="AQ104" s="362">
        <f ca="1">INDIRECT("'"&amp; MID(OFFSET(AQ104,ROW(AQ$3)-ROW(AQ104),IF(OFFSET(AQ104,ROW(AQ$2)-ROW(AQ104),2)="T",0,IF(OFFSET(AQ104,ROW(AQ$2)-ROW(AQ104),1)="T",-1,-2))),1,6) &amp; "'!" &amp; ADDRESS(ROW(AQ104),MATCH(INDIRECT(ADDRESS(2,COLUMN(AQ104)+IF(OFFSET(AQ104,ROW(AQ$2)-ROW(AQ104),2)="T",1,IF(OFFSET(AQ104,ROW(AQ$2)-ROW(AQ104),1)="T",0,-1))),TRUE),INDIRECT("'"&amp; MID(OFFSET(AQ104,ROW(AQ$3)-ROW(AQ104),IF(OFFSET(AQ104,ROW(AQ$2)-ROW(AQ104),2)="T",0,IF(OFFSET(AQ104,ROW(AQ$2)-ROW(AQ104),1)="T",-1,-2))),1,6) &amp; "'!2:2",TRUE),0)-IF(OFFSET(AQ104,ROW(AQ$2)-ROW(AQ104),2)="T",1,IF(OFFSET(AQ104,ROW(AQ$2)-ROW(AQ104),1)="T",0,-1))),TRUE)</f>
        <v>0</v>
      </c>
      <c r="AR104" s="363">
        <f t="shared" ca="1" si="144"/>
        <v>0</v>
      </c>
      <c r="AS104" s="360">
        <f t="shared" ca="1" si="132"/>
        <v>0</v>
      </c>
      <c r="AT104" s="361">
        <f ca="1">INDIRECT("'"&amp; MID(OFFSET(AT104,ROW(AT$3)-ROW(AT104),IF(OFFSET(AT104,ROW(AT$2)-ROW(AT104),2)="T",0,IF(OFFSET(AT104,ROW(AT$2)-ROW(AT104),1)="T",-1,-2))),1,6) &amp; "'!" &amp; ADDRESS(ROW(AT104),MATCH(INDIRECT(ADDRESS(2,COLUMN(AT104)+IF(OFFSET(AT104,ROW(AT$2)-ROW(AT104),2)="T",1,IF(OFFSET(AT104,ROW(AT$2)-ROW(AT104),1)="T",0,-1))),TRUE),INDIRECT("'"&amp; MID(OFFSET(AT104,ROW(AT$3)-ROW(AT104),IF(OFFSET(AT104,ROW(AT$2)-ROW(AT104),2)="T",0,IF(OFFSET(AT104,ROW(AT$2)-ROW(AT104),1)="T",-1,-2))),1,6) &amp; "'!2:2",TRUE),0)-IF(OFFSET(AT104,ROW(AT$2)-ROW(AT104),2)="T",1,IF(OFFSET(AT104,ROW(AT$2)-ROW(AT104),1)="T",0,-1))),TRUE)</f>
        <v>0</v>
      </c>
      <c r="AU104" s="362">
        <f ca="1">INDIRECT("'"&amp; MID(OFFSET(AU104,ROW(AU$3)-ROW(AU104),IF(OFFSET(AU104,ROW(AU$2)-ROW(AU104),2)="T",0,IF(OFFSET(AU104,ROW(AU$2)-ROW(AU104),1)="T",-1,-2))),1,6) &amp; "'!" &amp; ADDRESS(ROW(AU104),MATCH(INDIRECT(ADDRESS(2,COLUMN(AU104)+IF(OFFSET(AU104,ROW(AU$2)-ROW(AU104),2)="T",1,IF(OFFSET(AU104,ROW(AU$2)-ROW(AU104),1)="T",0,-1))),TRUE),INDIRECT("'"&amp; MID(OFFSET(AU104,ROW(AU$3)-ROW(AU104),IF(OFFSET(AU104,ROW(AU$2)-ROW(AU104),2)="T",0,IF(OFFSET(AU104,ROW(AU$2)-ROW(AU104),1)="T",-1,-2))),1,6) &amp; "'!2:2",TRUE),0)-IF(OFFSET(AU104,ROW(AU$2)-ROW(AU104),2)="T",1,IF(OFFSET(AU104,ROW(AU$2)-ROW(AU104),1)="T",0,-1))),TRUE)</f>
        <v>0</v>
      </c>
      <c r="AV104" s="363">
        <f t="shared" ca="1" si="145"/>
        <v>0</v>
      </c>
      <c r="AW104" s="360">
        <f t="shared" ca="1" si="133"/>
        <v>0</v>
      </c>
      <c r="AX104" s="361">
        <f ca="1">INDIRECT("'"&amp; MID(OFFSET(AX104,ROW(AX$3)-ROW(AX104),IF(OFFSET(AX104,ROW(AX$2)-ROW(AX104),2)="T",0,IF(OFFSET(AX104,ROW(AX$2)-ROW(AX104),1)="T",-1,-2))),1,6) &amp; "'!" &amp; ADDRESS(ROW(AX104),MATCH(INDIRECT(ADDRESS(2,COLUMN(AX104)+IF(OFFSET(AX104,ROW(AX$2)-ROW(AX104),2)="T",1,IF(OFFSET(AX104,ROW(AX$2)-ROW(AX104),1)="T",0,-1))),TRUE),INDIRECT("'"&amp; MID(OFFSET(AX104,ROW(AX$3)-ROW(AX104),IF(OFFSET(AX104,ROW(AX$2)-ROW(AX104),2)="T",0,IF(OFFSET(AX104,ROW(AX$2)-ROW(AX104),1)="T",-1,-2))),1,6) &amp; "'!2:2",TRUE),0)-IF(OFFSET(AX104,ROW(AX$2)-ROW(AX104),2)="T",1,IF(OFFSET(AX104,ROW(AX$2)-ROW(AX104),1)="T",0,-1))),TRUE)</f>
        <v>0</v>
      </c>
      <c r="AY104" s="362">
        <f ca="1">INDIRECT("'"&amp; MID(OFFSET(AY104,ROW(AY$3)-ROW(AY104),IF(OFFSET(AY104,ROW(AY$2)-ROW(AY104),2)="T",0,IF(OFFSET(AY104,ROW(AY$2)-ROW(AY104),1)="T",-1,-2))),1,6) &amp; "'!" &amp; ADDRESS(ROW(AY104),MATCH(INDIRECT(ADDRESS(2,COLUMN(AY104)+IF(OFFSET(AY104,ROW(AY$2)-ROW(AY104),2)="T",1,IF(OFFSET(AY104,ROW(AY$2)-ROW(AY104),1)="T",0,-1))),TRUE),INDIRECT("'"&amp; MID(OFFSET(AY104,ROW(AY$3)-ROW(AY104),IF(OFFSET(AY104,ROW(AY$2)-ROW(AY104),2)="T",0,IF(OFFSET(AY104,ROW(AY$2)-ROW(AY104),1)="T",-1,-2))),1,6) &amp; "'!2:2",TRUE),0)-IF(OFFSET(AY104,ROW(AY$2)-ROW(AY104),2)="T",1,IF(OFFSET(AY104,ROW(AY$2)-ROW(AY104),1)="T",0,-1))),TRUE)</f>
        <v>0</v>
      </c>
      <c r="AZ104" s="363">
        <f t="shared" ca="1" si="146"/>
        <v>0</v>
      </c>
      <c r="BA104" s="360">
        <f t="shared" ca="1" si="134"/>
        <v>0</v>
      </c>
      <c r="BB104" s="361">
        <f ca="1">INDIRECT("'"&amp; MID(OFFSET(BB104,ROW(BB$3)-ROW(BB104),IF(OFFSET(BB104,ROW(BB$2)-ROW(BB104),2)="T",0,IF(OFFSET(BB104,ROW(BB$2)-ROW(BB104),1)="T",-1,-2))),1,6) &amp; "'!" &amp; ADDRESS(ROW(BB104),MATCH(INDIRECT(ADDRESS(2,COLUMN(BB104)+IF(OFFSET(BB104,ROW(BB$2)-ROW(BB104),2)="T",1,IF(OFFSET(BB104,ROW(BB$2)-ROW(BB104),1)="T",0,-1))),TRUE),INDIRECT("'"&amp; MID(OFFSET(BB104,ROW(BB$3)-ROW(BB104),IF(OFFSET(BB104,ROW(BB$2)-ROW(BB104),2)="T",0,IF(OFFSET(BB104,ROW(BB$2)-ROW(BB104),1)="T",-1,-2))),1,6) &amp; "'!2:2",TRUE),0)-IF(OFFSET(BB104,ROW(BB$2)-ROW(BB104),2)="T",1,IF(OFFSET(BB104,ROW(BB$2)-ROW(BB104),1)="T",0,-1))),TRUE)</f>
        <v>0</v>
      </c>
      <c r="BC104" s="362">
        <f ca="1">INDIRECT("'"&amp; MID(OFFSET(BC104,ROW(BC$3)-ROW(BC104),IF(OFFSET(BC104,ROW(BC$2)-ROW(BC104),2)="T",0,IF(OFFSET(BC104,ROW(BC$2)-ROW(BC104),1)="T",-1,-2))),1,6) &amp; "'!" &amp; ADDRESS(ROW(BC104),MATCH(INDIRECT(ADDRESS(2,COLUMN(BC104)+IF(OFFSET(BC104,ROW(BC$2)-ROW(BC104),2)="T",1,IF(OFFSET(BC104,ROW(BC$2)-ROW(BC104),1)="T",0,-1))),TRUE),INDIRECT("'"&amp; MID(OFFSET(BC104,ROW(BC$3)-ROW(BC104),IF(OFFSET(BC104,ROW(BC$2)-ROW(BC104),2)="T",0,IF(OFFSET(BC104,ROW(BC$2)-ROW(BC104),1)="T",-1,-2))),1,6) &amp; "'!2:2",TRUE),0)-IF(OFFSET(BC104,ROW(BC$2)-ROW(BC104),2)="T",1,IF(OFFSET(BC104,ROW(BC$2)-ROW(BC104),1)="T",0,-1))),TRUE)</f>
        <v>0</v>
      </c>
      <c r="BD104" s="363">
        <f t="shared" ca="1" si="147"/>
        <v>0</v>
      </c>
      <c r="BE104" s="360">
        <f t="shared" ca="1" si="135"/>
        <v>0</v>
      </c>
      <c r="BF104" s="361">
        <f ca="1">INDIRECT("'"&amp; MID(OFFSET(BF104,ROW(BF$3)-ROW(BF104),IF(OFFSET(BF104,ROW(BF$2)-ROW(BF104),2)="T",0,IF(OFFSET(BF104,ROW(BF$2)-ROW(BF104),1)="T",-1,-2))),1,6) &amp; "'!" &amp; ADDRESS(ROW(BF104),MATCH(INDIRECT(ADDRESS(2,COLUMN(BF104)+IF(OFFSET(BF104,ROW(BF$2)-ROW(BF104),2)="T",1,IF(OFFSET(BF104,ROW(BF$2)-ROW(BF104),1)="T",0,-1))),TRUE),INDIRECT("'"&amp; MID(OFFSET(BF104,ROW(BF$3)-ROW(BF104),IF(OFFSET(BF104,ROW(BF$2)-ROW(BF104),2)="T",0,IF(OFFSET(BF104,ROW(BF$2)-ROW(BF104),1)="T",-1,-2))),1,6) &amp; "'!2:2",TRUE),0)-IF(OFFSET(BF104,ROW(BF$2)-ROW(BF104),2)="T",1,IF(OFFSET(BF104,ROW(BF$2)-ROW(BF104),1)="T",0,-1))),TRUE)</f>
        <v>0</v>
      </c>
      <c r="BG104" s="362">
        <f ca="1">INDIRECT("'"&amp; MID(OFFSET(BG104,ROW(BG$3)-ROW(BG104),IF(OFFSET(BG104,ROW(BG$2)-ROW(BG104),2)="T",0,IF(OFFSET(BG104,ROW(BG$2)-ROW(BG104),1)="T",-1,-2))),1,6) &amp; "'!" &amp; ADDRESS(ROW(BG104),MATCH(INDIRECT(ADDRESS(2,COLUMN(BG104)+IF(OFFSET(BG104,ROW(BG$2)-ROW(BG104),2)="T",1,IF(OFFSET(BG104,ROW(BG$2)-ROW(BG104),1)="T",0,-1))),TRUE),INDIRECT("'"&amp; MID(OFFSET(BG104,ROW(BG$3)-ROW(BG104),IF(OFFSET(BG104,ROW(BG$2)-ROW(BG104),2)="T",0,IF(OFFSET(BG104,ROW(BG$2)-ROW(BG104),1)="T",-1,-2))),1,6) &amp; "'!2:2",TRUE),0)-IF(OFFSET(BG104,ROW(BG$2)-ROW(BG104),2)="T",1,IF(OFFSET(BG104,ROW(BG$2)-ROW(BG104),1)="T",0,-1))),TRUE)</f>
        <v>0</v>
      </c>
      <c r="BH104" s="363">
        <f t="shared" ca="1" si="148"/>
        <v>0</v>
      </c>
      <c r="BI104" s="360">
        <f t="shared" ca="1" si="136"/>
        <v>0</v>
      </c>
      <c r="BJ104" s="361">
        <f ca="1">INDIRECT("'"&amp; MID(OFFSET(BJ104,ROW(BJ$3)-ROW(BJ104),IF(OFFSET(BJ104,ROW(BJ$2)-ROW(BJ104),2)="T",0,IF(OFFSET(BJ104,ROW(BJ$2)-ROW(BJ104),1)="T",-1,-2))),1,6) &amp; "'!" &amp; ADDRESS(ROW(BJ104),MATCH(INDIRECT(ADDRESS(2,COLUMN(BJ104)+IF(OFFSET(BJ104,ROW(BJ$2)-ROW(BJ104),2)="T",1,IF(OFFSET(BJ104,ROW(BJ$2)-ROW(BJ104),1)="T",0,-1))),TRUE),INDIRECT("'"&amp; MID(OFFSET(BJ104,ROW(BJ$3)-ROW(BJ104),IF(OFFSET(BJ104,ROW(BJ$2)-ROW(BJ104),2)="T",0,IF(OFFSET(BJ104,ROW(BJ$2)-ROW(BJ104),1)="T",-1,-2))),1,6) &amp; "'!2:2",TRUE),0)-IF(OFFSET(BJ104,ROW(BJ$2)-ROW(BJ104),2)="T",1,IF(OFFSET(BJ104,ROW(BJ$2)-ROW(BJ104),1)="T",0,-1))),TRUE)</f>
        <v>0</v>
      </c>
      <c r="BK104" s="362">
        <f ca="1">INDIRECT("'"&amp; MID(OFFSET(BK104,ROW(BK$3)-ROW(BK104),IF(OFFSET(BK104,ROW(BK$2)-ROW(BK104),2)="T",0,IF(OFFSET(BK104,ROW(BK$2)-ROW(BK104),1)="T",-1,-2))),1,6) &amp; "'!" &amp; ADDRESS(ROW(BK104),MATCH(INDIRECT(ADDRESS(2,COLUMN(BK104)+IF(OFFSET(BK104,ROW(BK$2)-ROW(BK104),2)="T",1,IF(OFFSET(BK104,ROW(BK$2)-ROW(BK104),1)="T",0,-1))),TRUE),INDIRECT("'"&amp; MID(OFFSET(BK104,ROW(BK$3)-ROW(BK104),IF(OFFSET(BK104,ROW(BK$2)-ROW(BK104),2)="T",0,IF(OFFSET(BK104,ROW(BK$2)-ROW(BK104),1)="T",-1,-2))),1,6) &amp; "'!2:2",TRUE),0)-IF(OFFSET(BK104,ROW(BK$2)-ROW(BK104),2)="T",1,IF(OFFSET(BK104,ROW(BK$2)-ROW(BK104),1)="T",0,-1))),TRUE)</f>
        <v>0</v>
      </c>
      <c r="BL104" s="363">
        <f t="shared" ca="1" si="149"/>
        <v>0</v>
      </c>
      <c r="BM104" s="360">
        <f t="shared" ca="1" si="137"/>
        <v>0</v>
      </c>
      <c r="BN104" s="360">
        <f t="shared" ca="1" si="137"/>
        <v>0</v>
      </c>
    </row>
    <row r="105" spans="1:66">
      <c r="A105" s="221" t="str">
        <f t="shared" ca="1" si="124"/>
        <v>WP003</v>
      </c>
      <c r="B105" s="221" t="str">
        <f t="shared" ca="1" si="125"/>
        <v>WP003</v>
      </c>
      <c r="C105" s="221">
        <v>2</v>
      </c>
      <c r="D105" s="221" t="s">
        <v>129</v>
      </c>
      <c r="F105" s="221" t="s">
        <v>130</v>
      </c>
      <c r="G105" s="221" t="s">
        <v>74</v>
      </c>
      <c r="M105" s="221" t="s">
        <v>46</v>
      </c>
      <c r="N105" s="461"/>
      <c r="O105" s="450" t="s">
        <v>131</v>
      </c>
      <c r="P105" s="451"/>
      <c r="Q105" s="451"/>
      <c r="R105" s="366"/>
      <c r="S105" s="367"/>
      <c r="T105" s="368">
        <f t="shared" ca="1" si="138"/>
        <v>0</v>
      </c>
      <c r="U105" s="369">
        <f t="shared" ca="1" si="126"/>
        <v>0</v>
      </c>
      <c r="V105" s="366"/>
      <c r="W105" s="367"/>
      <c r="X105" s="368">
        <f t="shared" ca="1" si="139"/>
        <v>0</v>
      </c>
      <c r="Y105" s="369">
        <f t="shared" ca="1" si="127"/>
        <v>0</v>
      </c>
      <c r="Z105" s="366"/>
      <c r="AA105" s="367"/>
      <c r="AB105" s="368">
        <f t="shared" ca="1" si="140"/>
        <v>0</v>
      </c>
      <c r="AC105" s="369">
        <f t="shared" ca="1" si="128"/>
        <v>0</v>
      </c>
      <c r="AD105" s="366"/>
      <c r="AE105" s="367"/>
      <c r="AF105" s="368">
        <f t="shared" ca="1" si="141"/>
        <v>0</v>
      </c>
      <c r="AG105" s="369">
        <f t="shared" ca="1" si="129"/>
        <v>0</v>
      </c>
      <c r="AH105" s="366"/>
      <c r="AI105" s="367"/>
      <c r="AJ105" s="368">
        <f t="shared" ca="1" si="142"/>
        <v>0</v>
      </c>
      <c r="AK105" s="369">
        <f t="shared" ca="1" si="130"/>
        <v>0</v>
      </c>
      <c r="AL105" s="366"/>
      <c r="AM105" s="367"/>
      <c r="AN105" s="368">
        <f t="shared" ca="1" si="143"/>
        <v>0</v>
      </c>
      <c r="AO105" s="369">
        <f t="shared" ca="1" si="131"/>
        <v>0</v>
      </c>
      <c r="AP105" s="366"/>
      <c r="AQ105" s="367"/>
      <c r="AR105" s="368">
        <f t="shared" ca="1" si="144"/>
        <v>0</v>
      </c>
      <c r="AS105" s="369">
        <f t="shared" ca="1" si="132"/>
        <v>0</v>
      </c>
      <c r="AT105" s="366"/>
      <c r="AU105" s="367"/>
      <c r="AV105" s="368">
        <f t="shared" ca="1" si="145"/>
        <v>0</v>
      </c>
      <c r="AW105" s="369">
        <f t="shared" ca="1" si="133"/>
        <v>0</v>
      </c>
      <c r="AX105" s="366"/>
      <c r="AY105" s="367"/>
      <c r="AZ105" s="368">
        <f t="shared" ca="1" si="146"/>
        <v>0</v>
      </c>
      <c r="BA105" s="369">
        <f t="shared" ca="1" si="134"/>
        <v>0</v>
      </c>
      <c r="BB105" s="366"/>
      <c r="BC105" s="367"/>
      <c r="BD105" s="368">
        <f t="shared" ca="1" si="147"/>
        <v>0</v>
      </c>
      <c r="BE105" s="369">
        <f t="shared" ca="1" si="135"/>
        <v>0</v>
      </c>
      <c r="BF105" s="366"/>
      <c r="BG105" s="367"/>
      <c r="BH105" s="368">
        <f t="shared" ca="1" si="148"/>
        <v>0</v>
      </c>
      <c r="BI105" s="369">
        <f t="shared" ca="1" si="136"/>
        <v>0</v>
      </c>
      <c r="BJ105" s="366"/>
      <c r="BK105" s="367"/>
      <c r="BL105" s="368">
        <f t="shared" ca="1" si="149"/>
        <v>0</v>
      </c>
      <c r="BM105" s="369">
        <f t="shared" ca="1" si="137"/>
        <v>0</v>
      </c>
      <c r="BN105" s="369">
        <f t="shared" ca="1" si="137"/>
        <v>0</v>
      </c>
    </row>
    <row r="106" spans="1:66">
      <c r="A106" s="221" t="str">
        <f t="shared" ca="1" si="124"/>
        <v>WP003</v>
      </c>
      <c r="B106" s="221" t="str">
        <f t="shared" ca="1" si="125"/>
        <v>WP003</v>
      </c>
      <c r="C106" s="221">
        <v>1</v>
      </c>
      <c r="N106" s="461"/>
      <c r="O106" s="258"/>
      <c r="P106" s="249"/>
      <c r="Q106" s="249"/>
      <c r="R106" s="361"/>
      <c r="S106" s="362"/>
      <c r="T106" s="363"/>
      <c r="U106" s="360"/>
      <c r="V106" s="361"/>
      <c r="W106" s="362"/>
      <c r="X106" s="363"/>
      <c r="Y106" s="360"/>
      <c r="Z106" s="361"/>
      <c r="AA106" s="362"/>
      <c r="AB106" s="363"/>
      <c r="AC106" s="360"/>
      <c r="AD106" s="361"/>
      <c r="AE106" s="362"/>
      <c r="AF106" s="363"/>
      <c r="AG106" s="360"/>
      <c r="AH106" s="361"/>
      <c r="AI106" s="362"/>
      <c r="AJ106" s="363"/>
      <c r="AK106" s="360"/>
      <c r="AL106" s="361"/>
      <c r="AM106" s="362"/>
      <c r="AN106" s="363"/>
      <c r="AO106" s="360"/>
      <c r="AP106" s="361"/>
      <c r="AQ106" s="362"/>
      <c r="AR106" s="363"/>
      <c r="AS106" s="360"/>
      <c r="AT106" s="361"/>
      <c r="AU106" s="362"/>
      <c r="AV106" s="363"/>
      <c r="AW106" s="360"/>
      <c r="AX106" s="361"/>
      <c r="AY106" s="362"/>
      <c r="AZ106" s="363"/>
      <c r="BA106" s="360"/>
      <c r="BB106" s="361"/>
      <c r="BC106" s="362"/>
      <c r="BD106" s="363"/>
      <c r="BE106" s="360"/>
      <c r="BF106" s="361"/>
      <c r="BG106" s="362"/>
      <c r="BH106" s="363"/>
      <c r="BI106" s="360"/>
      <c r="BJ106" s="361"/>
      <c r="BK106" s="362"/>
      <c r="BL106" s="363"/>
      <c r="BM106" s="360"/>
      <c r="BN106" s="360"/>
    </row>
    <row r="107" spans="1:66">
      <c r="A107" s="221" t="str">
        <f t="shared" ca="1" si="124"/>
        <v>WP003</v>
      </c>
      <c r="B107" s="221" t="str">
        <f t="shared" ca="1" si="125"/>
        <v>WP003</v>
      </c>
      <c r="C107" s="221">
        <v>2</v>
      </c>
      <c r="D107" s="221" t="s">
        <v>132</v>
      </c>
      <c r="F107" s="221" t="s">
        <v>130</v>
      </c>
      <c r="M107" s="221" t="s">
        <v>133</v>
      </c>
      <c r="N107" s="461"/>
      <c r="O107" s="452" t="s">
        <v>134</v>
      </c>
      <c r="P107" s="453"/>
      <c r="Q107" s="453"/>
      <c r="R107" s="370"/>
      <c r="S107" s="371"/>
      <c r="T107" s="372">
        <f ca="1">IF(OFFSET(T107,ROW(T$2)-ROW(T107),0)="TT","TT",IF(OFFSET(T107,0,COLUMN($M107)-COLUMN(T107))="%",ROUND((OFFSET(T107,-2,0)-OFFSET(T107,-19,0))*0.07,2),IF(OFFSET(T107,0,COLUMN($M107)-COLUMN(T107))="V",ROUND(OFFSET(T107,0,-2)*OFFSET(T107,0,-1),2),SUMIF(INDIRECT(ADDRESS(MATCH("START"&amp;OFFSET(T107,0,COLUMN($B107)-COLUMN(T107)),$A:$A,0),$C107+COLUMN($E107)+1)&amp;":"&amp;ADDRESS(MATCH("END"&amp;OFFSET(T107,0,COLUMN($B107)-COLUMN(T107)),$A:$A,0),$C107+COLUMN($E107)+1),TRUE),INDIRECT(ADDRESS(ROW(T107),$C107+COLUMN($E107)),TRUE),INDIRECT(ADDRESS(MATCH("START"&amp;OFFSET(T107,0,COLUMN($B107)-COLUMN(T107)),$A:$A,0),COLUMN(T107))&amp;":"&amp;ADDRESS(MATCH("END"&amp;OFFSET(T107,0,COLUMN($B107)-COLUMN(T107)),$A:$A,0),COLUMN(T107)),TRUE)))))</f>
        <v>0</v>
      </c>
      <c r="U107" s="356">
        <f ca="1">IF(OFFSET(U107,ROW(U$2)-ROW(U107),0)="TT",SUMIF(INDIRECT(ADDRESS(2,COLUMN($Q107)+1) &amp; ":" &amp; ADDRESS(2,COLUMN(U107)-1),TRUE),"TBE",INDIRECT(ADDRESS(ROW(U107), COLUMN($Q107)+1) &amp; ":" &amp; ADDRESS(ROW(U107),COLUMN(U107)-1),TRUE)),IF(OFFSET(U107,ROW(U$2)-ROW(U107),0)="TBE",SUMIF(INDIRECT(ADDRESS(2,MATCH(INT(OFFSET(U107,ROW(U$2)-ROW(U107),-2)),$2:$2,0)) &amp; ":" &amp; ADDRESS(2,COLUMN(U107)-1),TRUE),"T",INDIRECT(ADDRESS(ROW(U107), MATCH(INT(OFFSET(U107,ROW(U$2)-ROW(U107),-2)),$2:$2,0)) &amp; ":" &amp; ADDRESS(ROW(U107),COLUMN(U107)-1),TRUE)),IF(OFFSET(U107,0,COLUMN($M107)-COLUMN(U107))="V",OFFSET(U107,0,-2)*OFFSET(U107,0,-1),"TOTAL")))</f>
        <v>0</v>
      </c>
      <c r="V107" s="370"/>
      <c r="W107" s="371"/>
      <c r="X107" s="372">
        <f ca="1">IF(OFFSET(X107,ROW(X$2)-ROW(X107),0)="TT","TT",IF(OFFSET(X107,0,COLUMN($M107)-COLUMN(X107))="%",ROUND((OFFSET(X107,-2,0)-OFFSET(X107,-19,0))*0.07,2),IF(OFFSET(X107,0,COLUMN($M107)-COLUMN(X107))="V",ROUND(OFFSET(X107,0,-2)*OFFSET(X107,0,-1),2),SUMIF(INDIRECT(ADDRESS(MATCH("START"&amp;OFFSET(X107,0,COLUMN($B107)-COLUMN(X107)),$A:$A,0),$C107+COLUMN($E107)+1)&amp;":"&amp;ADDRESS(MATCH("END"&amp;OFFSET(X107,0,COLUMN($B107)-COLUMN(X107)),$A:$A,0),$C107+COLUMN($E107)+1),TRUE),INDIRECT(ADDRESS(ROW(X107),$C107+COLUMN($E107)),TRUE),INDIRECT(ADDRESS(MATCH("START"&amp;OFFSET(X107,0,COLUMN($B107)-COLUMN(X107)),$A:$A,0),COLUMN(X107))&amp;":"&amp;ADDRESS(MATCH("END"&amp;OFFSET(X107,0,COLUMN($B107)-COLUMN(X107)),$A:$A,0),COLUMN(X107)),TRUE)))))</f>
        <v>0</v>
      </c>
      <c r="Y107" s="356">
        <f ca="1">IF(OFFSET(Y107,ROW(Y$2)-ROW(Y107),0)="TT",SUMIF(INDIRECT(ADDRESS(2,COLUMN($Q107)+1) &amp; ":" &amp; ADDRESS(2,COLUMN(Y107)-1),TRUE),"TBE",INDIRECT(ADDRESS(ROW(Y107), COLUMN($Q107)+1) &amp; ":" &amp; ADDRESS(ROW(Y107),COLUMN(Y107)-1),TRUE)),IF(OFFSET(Y107,ROW(Y$2)-ROW(Y107),0)="TBE",SUMIF(INDIRECT(ADDRESS(2,MATCH(INT(OFFSET(Y107,ROW(Y$2)-ROW(Y107),-2)),$2:$2,0)) &amp; ":" &amp; ADDRESS(2,COLUMN(Y107)-1),TRUE),"T",INDIRECT(ADDRESS(ROW(Y107), MATCH(INT(OFFSET(Y107,ROW(Y$2)-ROW(Y107),-2)),$2:$2,0)) &amp; ":" &amp; ADDRESS(ROW(Y107),COLUMN(Y107)-1),TRUE)),IF(OFFSET(Y107,0,COLUMN($M107)-COLUMN(Y107))="V",OFFSET(Y107,0,-2)*OFFSET(Y107,0,-1),"TOTAL")))</f>
        <v>0</v>
      </c>
      <c r="Z107" s="370"/>
      <c r="AA107" s="371"/>
      <c r="AB107" s="372">
        <f ca="1">IF(OFFSET(AB107,ROW(AB$2)-ROW(AB107),0)="TT","TT",IF(OFFSET(AB107,0,COLUMN($M107)-COLUMN(AB107))="%",ROUND((OFFSET(AB107,-2,0)-OFFSET(AB107,-19,0))*0.07,2),IF(OFFSET(AB107,0,COLUMN($M107)-COLUMN(AB107))="V",ROUND(OFFSET(AB107,0,-2)*OFFSET(AB107,0,-1),2),SUMIF(INDIRECT(ADDRESS(MATCH("START"&amp;OFFSET(AB107,0,COLUMN($B107)-COLUMN(AB107)),$A:$A,0),$C107+COLUMN($E107)+1)&amp;":"&amp;ADDRESS(MATCH("END"&amp;OFFSET(AB107,0,COLUMN($B107)-COLUMN(AB107)),$A:$A,0),$C107+COLUMN($E107)+1),TRUE),INDIRECT(ADDRESS(ROW(AB107),$C107+COLUMN($E107)),TRUE),INDIRECT(ADDRESS(MATCH("START"&amp;OFFSET(AB107,0,COLUMN($B107)-COLUMN(AB107)),$A:$A,0),COLUMN(AB107))&amp;":"&amp;ADDRESS(MATCH("END"&amp;OFFSET(AB107,0,COLUMN($B107)-COLUMN(AB107)),$A:$A,0),COLUMN(AB107)),TRUE)))))</f>
        <v>0</v>
      </c>
      <c r="AC107" s="356">
        <f ca="1">IF(OFFSET(AC107,ROW(AC$2)-ROW(AC107),0)="TT",SUMIF(INDIRECT(ADDRESS(2,COLUMN($Q107)+1) &amp; ":" &amp; ADDRESS(2,COLUMN(AC107)-1),TRUE),"TBE",INDIRECT(ADDRESS(ROW(AC107), COLUMN($Q107)+1) &amp; ":" &amp; ADDRESS(ROW(AC107),COLUMN(AC107)-1),TRUE)),IF(OFFSET(AC107,ROW(AC$2)-ROW(AC107),0)="TBE",SUMIF(INDIRECT(ADDRESS(2,MATCH(INT(OFFSET(AC107,ROW(AC$2)-ROW(AC107),-2)),$2:$2,0)) &amp; ":" &amp; ADDRESS(2,COLUMN(AC107)-1),TRUE),"T",INDIRECT(ADDRESS(ROW(AC107), MATCH(INT(OFFSET(AC107,ROW(AC$2)-ROW(AC107),-2)),$2:$2,0)) &amp; ":" &amp; ADDRESS(ROW(AC107),COLUMN(AC107)-1),TRUE)),IF(OFFSET(AC107,0,COLUMN($M107)-COLUMN(AC107))="V",OFFSET(AC107,0,-2)*OFFSET(AC107,0,-1),"TOTAL")))</f>
        <v>0</v>
      </c>
      <c r="AD107" s="370"/>
      <c r="AE107" s="371"/>
      <c r="AF107" s="372">
        <f ca="1">IF(OFFSET(AF107,ROW(AF$2)-ROW(AF107),0)="TT","TT",IF(OFFSET(AF107,0,COLUMN($M107)-COLUMN(AF107))="%",ROUND((OFFSET(AF107,-2,0)-OFFSET(AF107,-19,0))*0.07,2),IF(OFFSET(AF107,0,COLUMN($M107)-COLUMN(AF107))="V",ROUND(OFFSET(AF107,0,-2)*OFFSET(AF107,0,-1),2),SUMIF(INDIRECT(ADDRESS(MATCH("START"&amp;OFFSET(AF107,0,COLUMN($B107)-COLUMN(AF107)),$A:$A,0),$C107+COLUMN($E107)+1)&amp;":"&amp;ADDRESS(MATCH("END"&amp;OFFSET(AF107,0,COLUMN($B107)-COLUMN(AF107)),$A:$A,0),$C107+COLUMN($E107)+1),TRUE),INDIRECT(ADDRESS(ROW(AF107),$C107+COLUMN($E107)),TRUE),INDIRECT(ADDRESS(MATCH("START"&amp;OFFSET(AF107,0,COLUMN($B107)-COLUMN(AF107)),$A:$A,0),COLUMN(AF107))&amp;":"&amp;ADDRESS(MATCH("END"&amp;OFFSET(AF107,0,COLUMN($B107)-COLUMN(AF107)),$A:$A,0),COLUMN(AF107)),TRUE)))))</f>
        <v>0</v>
      </c>
      <c r="AG107" s="356">
        <f ca="1">IF(OFFSET(AG107,ROW(AG$2)-ROW(AG107),0)="TT",SUMIF(INDIRECT(ADDRESS(2,COLUMN($Q107)+1) &amp; ":" &amp; ADDRESS(2,COLUMN(AG107)-1),TRUE),"TBE",INDIRECT(ADDRESS(ROW(AG107), COLUMN($Q107)+1) &amp; ":" &amp; ADDRESS(ROW(AG107),COLUMN(AG107)-1),TRUE)),IF(OFFSET(AG107,ROW(AG$2)-ROW(AG107),0)="TBE",SUMIF(INDIRECT(ADDRESS(2,MATCH(INT(OFFSET(AG107,ROW(AG$2)-ROW(AG107),-2)),$2:$2,0)) &amp; ":" &amp; ADDRESS(2,COLUMN(AG107)-1),TRUE),"T",INDIRECT(ADDRESS(ROW(AG107), MATCH(INT(OFFSET(AG107,ROW(AG$2)-ROW(AG107),-2)),$2:$2,0)) &amp; ":" &amp; ADDRESS(ROW(AG107),COLUMN(AG107)-1),TRUE)),IF(OFFSET(AG107,0,COLUMN($M107)-COLUMN(AG107))="V",OFFSET(AG107,0,-2)*OFFSET(AG107,0,-1),"TOTAL")))</f>
        <v>0</v>
      </c>
      <c r="AH107" s="370"/>
      <c r="AI107" s="371"/>
      <c r="AJ107" s="372">
        <f ca="1">IF(OFFSET(AJ107,ROW(AJ$2)-ROW(AJ107),0)="TT","TT",IF(OFFSET(AJ107,0,COLUMN($M107)-COLUMN(AJ107))="%",ROUND((OFFSET(AJ107,-2,0)-OFFSET(AJ107,-19,0))*0.07,2),IF(OFFSET(AJ107,0,COLUMN($M107)-COLUMN(AJ107))="V",ROUND(OFFSET(AJ107,0,-2)*OFFSET(AJ107,0,-1),2),SUMIF(INDIRECT(ADDRESS(MATCH("START"&amp;OFFSET(AJ107,0,COLUMN($B107)-COLUMN(AJ107)),$A:$A,0),$C107+COLUMN($E107)+1)&amp;":"&amp;ADDRESS(MATCH("END"&amp;OFFSET(AJ107,0,COLUMN($B107)-COLUMN(AJ107)),$A:$A,0),$C107+COLUMN($E107)+1),TRUE),INDIRECT(ADDRESS(ROW(AJ107),$C107+COLUMN($E107)),TRUE),INDIRECT(ADDRESS(MATCH("START"&amp;OFFSET(AJ107,0,COLUMN($B107)-COLUMN(AJ107)),$A:$A,0),COLUMN(AJ107))&amp;":"&amp;ADDRESS(MATCH("END"&amp;OFFSET(AJ107,0,COLUMN($B107)-COLUMN(AJ107)),$A:$A,0),COLUMN(AJ107)),TRUE)))))</f>
        <v>0</v>
      </c>
      <c r="AK107" s="356">
        <f ca="1">IF(OFFSET(AK107,ROW(AK$2)-ROW(AK107),0)="TT",SUMIF(INDIRECT(ADDRESS(2,COLUMN($Q107)+1) &amp; ":" &amp; ADDRESS(2,COLUMN(AK107)-1),TRUE),"TBE",INDIRECT(ADDRESS(ROW(AK107), COLUMN($Q107)+1) &amp; ":" &amp; ADDRESS(ROW(AK107),COLUMN(AK107)-1),TRUE)),IF(OFFSET(AK107,ROW(AK$2)-ROW(AK107),0)="TBE",SUMIF(INDIRECT(ADDRESS(2,MATCH(INT(OFFSET(AK107,ROW(AK$2)-ROW(AK107),-2)),$2:$2,0)) &amp; ":" &amp; ADDRESS(2,COLUMN(AK107)-1),TRUE),"T",INDIRECT(ADDRESS(ROW(AK107), MATCH(INT(OFFSET(AK107,ROW(AK$2)-ROW(AK107),-2)),$2:$2,0)) &amp; ":" &amp; ADDRESS(ROW(AK107),COLUMN(AK107)-1),TRUE)),IF(OFFSET(AK107,0,COLUMN($M107)-COLUMN(AK107))="V",OFFSET(AK107,0,-2)*OFFSET(AK107,0,-1),"TOTAL")))</f>
        <v>0</v>
      </c>
      <c r="AL107" s="370"/>
      <c r="AM107" s="371"/>
      <c r="AN107" s="372">
        <f ca="1">IF(OFFSET(AN107,ROW(AN$2)-ROW(AN107),0)="TT","TT",IF(OFFSET(AN107,0,COLUMN($M107)-COLUMN(AN107))="%",ROUND((OFFSET(AN107,-2,0)-OFFSET(AN107,-19,0))*0.07,2),IF(OFFSET(AN107,0,COLUMN($M107)-COLUMN(AN107))="V",ROUND(OFFSET(AN107,0,-2)*OFFSET(AN107,0,-1),2),SUMIF(INDIRECT(ADDRESS(MATCH("START"&amp;OFFSET(AN107,0,COLUMN($B107)-COLUMN(AN107)),$A:$A,0),$C107+COLUMN($E107)+1)&amp;":"&amp;ADDRESS(MATCH("END"&amp;OFFSET(AN107,0,COLUMN($B107)-COLUMN(AN107)),$A:$A,0),$C107+COLUMN($E107)+1),TRUE),INDIRECT(ADDRESS(ROW(AN107),$C107+COLUMN($E107)),TRUE),INDIRECT(ADDRESS(MATCH("START"&amp;OFFSET(AN107,0,COLUMN($B107)-COLUMN(AN107)),$A:$A,0),COLUMN(AN107))&amp;":"&amp;ADDRESS(MATCH("END"&amp;OFFSET(AN107,0,COLUMN($B107)-COLUMN(AN107)),$A:$A,0),COLUMN(AN107)),TRUE)))))</f>
        <v>0</v>
      </c>
      <c r="AO107" s="356">
        <f ca="1">IF(OFFSET(AO107,ROW(AO$2)-ROW(AO107),0)="TT",SUMIF(INDIRECT(ADDRESS(2,COLUMN($Q107)+1) &amp; ":" &amp; ADDRESS(2,COLUMN(AO107)-1),TRUE),"TBE",INDIRECT(ADDRESS(ROW(AO107), COLUMN($Q107)+1) &amp; ":" &amp; ADDRESS(ROW(AO107),COLUMN(AO107)-1),TRUE)),IF(OFFSET(AO107,ROW(AO$2)-ROW(AO107),0)="TBE",SUMIF(INDIRECT(ADDRESS(2,MATCH(INT(OFFSET(AO107,ROW(AO$2)-ROW(AO107),-2)),$2:$2,0)) &amp; ":" &amp; ADDRESS(2,COLUMN(AO107)-1),TRUE),"T",INDIRECT(ADDRESS(ROW(AO107), MATCH(INT(OFFSET(AO107,ROW(AO$2)-ROW(AO107),-2)),$2:$2,0)) &amp; ":" &amp; ADDRESS(ROW(AO107),COLUMN(AO107)-1),TRUE)),IF(OFFSET(AO107,0,COLUMN($M107)-COLUMN(AO107))="V",OFFSET(AO107,0,-2)*OFFSET(AO107,0,-1),"TOTAL")))</f>
        <v>0</v>
      </c>
      <c r="AP107" s="370"/>
      <c r="AQ107" s="371"/>
      <c r="AR107" s="372">
        <f ca="1">IF(OFFSET(AR107,ROW(AR$2)-ROW(AR107),0)="TT","TT",IF(OFFSET(AR107,0,COLUMN($M107)-COLUMN(AR107))="%",ROUND((OFFSET(AR107,-2,0)-OFFSET(AR107,-19,0))*0.07,2),IF(OFFSET(AR107,0,COLUMN($M107)-COLUMN(AR107))="V",ROUND(OFFSET(AR107,0,-2)*OFFSET(AR107,0,-1),2),SUMIF(INDIRECT(ADDRESS(MATCH("START"&amp;OFFSET(AR107,0,COLUMN($B107)-COLUMN(AR107)),$A:$A,0),$C107+COLUMN($E107)+1)&amp;":"&amp;ADDRESS(MATCH("END"&amp;OFFSET(AR107,0,COLUMN($B107)-COLUMN(AR107)),$A:$A,0),$C107+COLUMN($E107)+1),TRUE),INDIRECT(ADDRESS(ROW(AR107),$C107+COLUMN($E107)),TRUE),INDIRECT(ADDRESS(MATCH("START"&amp;OFFSET(AR107,0,COLUMN($B107)-COLUMN(AR107)),$A:$A,0),COLUMN(AR107))&amp;":"&amp;ADDRESS(MATCH("END"&amp;OFFSET(AR107,0,COLUMN($B107)-COLUMN(AR107)),$A:$A,0),COLUMN(AR107)),TRUE)))))</f>
        <v>0</v>
      </c>
      <c r="AS107" s="356">
        <f ca="1">IF(OFFSET(AS107,ROW(AS$2)-ROW(AS107),0)="TT",SUMIF(INDIRECT(ADDRESS(2,COLUMN($Q107)+1) &amp; ":" &amp; ADDRESS(2,COLUMN(AS107)-1),TRUE),"TBE",INDIRECT(ADDRESS(ROW(AS107), COLUMN($Q107)+1) &amp; ":" &amp; ADDRESS(ROW(AS107),COLUMN(AS107)-1),TRUE)),IF(OFFSET(AS107,ROW(AS$2)-ROW(AS107),0)="TBE",SUMIF(INDIRECT(ADDRESS(2,MATCH(INT(OFFSET(AS107,ROW(AS$2)-ROW(AS107),-2)),$2:$2,0)) &amp; ":" &amp; ADDRESS(2,COLUMN(AS107)-1),TRUE),"T",INDIRECT(ADDRESS(ROW(AS107), MATCH(INT(OFFSET(AS107,ROW(AS$2)-ROW(AS107),-2)),$2:$2,0)) &amp; ":" &amp; ADDRESS(ROW(AS107),COLUMN(AS107)-1),TRUE)),IF(OFFSET(AS107,0,COLUMN($M107)-COLUMN(AS107))="V",OFFSET(AS107,0,-2)*OFFSET(AS107,0,-1),"TOTAL")))</f>
        <v>0</v>
      </c>
      <c r="AT107" s="370"/>
      <c r="AU107" s="371"/>
      <c r="AV107" s="372">
        <f ca="1">IF(OFFSET(AV107,ROW(AV$2)-ROW(AV107),0)="TT","TT",IF(OFFSET(AV107,0,COLUMN($M107)-COLUMN(AV107))="%",ROUND((OFFSET(AV107,-2,0)-OFFSET(AV107,-19,0))*0.07,2),IF(OFFSET(AV107,0,COLUMN($M107)-COLUMN(AV107))="V",ROUND(OFFSET(AV107,0,-2)*OFFSET(AV107,0,-1),2),SUMIF(INDIRECT(ADDRESS(MATCH("START"&amp;OFFSET(AV107,0,COLUMN($B107)-COLUMN(AV107)),$A:$A,0),$C107+COLUMN($E107)+1)&amp;":"&amp;ADDRESS(MATCH("END"&amp;OFFSET(AV107,0,COLUMN($B107)-COLUMN(AV107)),$A:$A,0),$C107+COLUMN($E107)+1),TRUE),INDIRECT(ADDRESS(ROW(AV107),$C107+COLUMN($E107)),TRUE),INDIRECT(ADDRESS(MATCH("START"&amp;OFFSET(AV107,0,COLUMN($B107)-COLUMN(AV107)),$A:$A,0),COLUMN(AV107))&amp;":"&amp;ADDRESS(MATCH("END"&amp;OFFSET(AV107,0,COLUMN($B107)-COLUMN(AV107)),$A:$A,0),COLUMN(AV107)),TRUE)))))</f>
        <v>0</v>
      </c>
      <c r="AW107" s="356">
        <f ca="1">IF(OFFSET(AW107,ROW(AW$2)-ROW(AW107),0)="TT",SUMIF(INDIRECT(ADDRESS(2,COLUMN($Q107)+1) &amp; ":" &amp; ADDRESS(2,COLUMN(AW107)-1),TRUE),"TBE",INDIRECT(ADDRESS(ROW(AW107), COLUMN($Q107)+1) &amp; ":" &amp; ADDRESS(ROW(AW107),COLUMN(AW107)-1),TRUE)),IF(OFFSET(AW107,ROW(AW$2)-ROW(AW107),0)="TBE",SUMIF(INDIRECT(ADDRESS(2,MATCH(INT(OFFSET(AW107,ROW(AW$2)-ROW(AW107),-2)),$2:$2,0)) &amp; ":" &amp; ADDRESS(2,COLUMN(AW107)-1),TRUE),"T",INDIRECT(ADDRESS(ROW(AW107), MATCH(INT(OFFSET(AW107,ROW(AW$2)-ROW(AW107),-2)),$2:$2,0)) &amp; ":" &amp; ADDRESS(ROW(AW107),COLUMN(AW107)-1),TRUE)),IF(OFFSET(AW107,0,COLUMN($M107)-COLUMN(AW107))="V",OFFSET(AW107,0,-2)*OFFSET(AW107,0,-1),"TOTAL")))</f>
        <v>0</v>
      </c>
      <c r="AX107" s="370"/>
      <c r="AY107" s="371"/>
      <c r="AZ107" s="372">
        <f ca="1">IF(OFFSET(AZ107,ROW(AZ$2)-ROW(AZ107),0)="TT","TT",IF(OFFSET(AZ107,0,COLUMN($M107)-COLUMN(AZ107))="%",ROUND((OFFSET(AZ107,-2,0)-OFFSET(AZ107,-19,0))*0.07,2),IF(OFFSET(AZ107,0,COLUMN($M107)-COLUMN(AZ107))="V",ROUND(OFFSET(AZ107,0,-2)*OFFSET(AZ107,0,-1),2),SUMIF(INDIRECT(ADDRESS(MATCH("START"&amp;OFFSET(AZ107,0,COLUMN($B107)-COLUMN(AZ107)),$A:$A,0),$C107+COLUMN($E107)+1)&amp;":"&amp;ADDRESS(MATCH("END"&amp;OFFSET(AZ107,0,COLUMN($B107)-COLUMN(AZ107)),$A:$A,0),$C107+COLUMN($E107)+1),TRUE),INDIRECT(ADDRESS(ROW(AZ107),$C107+COLUMN($E107)),TRUE),INDIRECT(ADDRESS(MATCH("START"&amp;OFFSET(AZ107,0,COLUMN($B107)-COLUMN(AZ107)),$A:$A,0),COLUMN(AZ107))&amp;":"&amp;ADDRESS(MATCH("END"&amp;OFFSET(AZ107,0,COLUMN($B107)-COLUMN(AZ107)),$A:$A,0),COLUMN(AZ107)),TRUE)))))</f>
        <v>0</v>
      </c>
      <c r="BA107" s="356">
        <f ca="1">IF(OFFSET(BA107,ROW(BA$2)-ROW(BA107),0)="TT",SUMIF(INDIRECT(ADDRESS(2,COLUMN($Q107)+1) &amp; ":" &amp; ADDRESS(2,COLUMN(BA107)-1),TRUE),"TBE",INDIRECT(ADDRESS(ROW(BA107), COLUMN($Q107)+1) &amp; ":" &amp; ADDRESS(ROW(BA107),COLUMN(BA107)-1),TRUE)),IF(OFFSET(BA107,ROW(BA$2)-ROW(BA107),0)="TBE",SUMIF(INDIRECT(ADDRESS(2,MATCH(INT(OFFSET(BA107,ROW(BA$2)-ROW(BA107),-2)),$2:$2,0)) &amp; ":" &amp; ADDRESS(2,COLUMN(BA107)-1),TRUE),"T",INDIRECT(ADDRESS(ROW(BA107), MATCH(INT(OFFSET(BA107,ROW(BA$2)-ROW(BA107),-2)),$2:$2,0)) &amp; ":" &amp; ADDRESS(ROW(BA107),COLUMN(BA107)-1),TRUE)),IF(OFFSET(BA107,0,COLUMN($M107)-COLUMN(BA107))="V",OFFSET(BA107,0,-2)*OFFSET(BA107,0,-1),"TOTAL")))</f>
        <v>0</v>
      </c>
      <c r="BB107" s="370"/>
      <c r="BC107" s="371"/>
      <c r="BD107" s="372">
        <f ca="1">IF(OFFSET(BD107,ROW(BD$2)-ROW(BD107),0)="TT","TT",IF(OFFSET(BD107,0,COLUMN($M107)-COLUMN(BD107))="%",ROUND((OFFSET(BD107,-2,0)-OFFSET(BD107,-19,0))*0.07,2),IF(OFFSET(BD107,0,COLUMN($M107)-COLUMN(BD107))="V",ROUND(OFFSET(BD107,0,-2)*OFFSET(BD107,0,-1),2),SUMIF(INDIRECT(ADDRESS(MATCH("START"&amp;OFFSET(BD107,0,COLUMN($B107)-COLUMN(BD107)),$A:$A,0),$C107+COLUMN($E107)+1)&amp;":"&amp;ADDRESS(MATCH("END"&amp;OFFSET(BD107,0,COLUMN($B107)-COLUMN(BD107)),$A:$A,0),$C107+COLUMN($E107)+1),TRUE),INDIRECT(ADDRESS(ROW(BD107),$C107+COLUMN($E107)),TRUE),INDIRECT(ADDRESS(MATCH("START"&amp;OFFSET(BD107,0,COLUMN($B107)-COLUMN(BD107)),$A:$A,0),COLUMN(BD107))&amp;":"&amp;ADDRESS(MATCH("END"&amp;OFFSET(BD107,0,COLUMN($B107)-COLUMN(BD107)),$A:$A,0),COLUMN(BD107)),TRUE)))))</f>
        <v>0</v>
      </c>
      <c r="BE107" s="356">
        <f ca="1">IF(OFFSET(BE107,ROW(BE$2)-ROW(BE107),0)="TT",SUMIF(INDIRECT(ADDRESS(2,COLUMN($Q107)+1) &amp; ":" &amp; ADDRESS(2,COLUMN(BE107)-1),TRUE),"TBE",INDIRECT(ADDRESS(ROW(BE107), COLUMN($Q107)+1) &amp; ":" &amp; ADDRESS(ROW(BE107),COLUMN(BE107)-1),TRUE)),IF(OFFSET(BE107,ROW(BE$2)-ROW(BE107),0)="TBE",SUMIF(INDIRECT(ADDRESS(2,MATCH(INT(OFFSET(BE107,ROW(BE$2)-ROW(BE107),-2)),$2:$2,0)) &amp; ":" &amp; ADDRESS(2,COLUMN(BE107)-1),TRUE),"T",INDIRECT(ADDRESS(ROW(BE107), MATCH(INT(OFFSET(BE107,ROW(BE$2)-ROW(BE107),-2)),$2:$2,0)) &amp; ":" &amp; ADDRESS(ROW(BE107),COLUMN(BE107)-1),TRUE)),IF(OFFSET(BE107,0,COLUMN($M107)-COLUMN(BE107))="V",OFFSET(BE107,0,-2)*OFFSET(BE107,0,-1),"TOTAL")))</f>
        <v>0</v>
      </c>
      <c r="BF107" s="370"/>
      <c r="BG107" s="371"/>
      <c r="BH107" s="372">
        <f ca="1">IF(OFFSET(BH107,ROW(BH$2)-ROW(BH107),0)="TT","TT",IF(OFFSET(BH107,0,COLUMN($M107)-COLUMN(BH107))="%",ROUND((OFFSET(BH107,-2,0)-OFFSET(BH107,-19,0))*0.07,2),IF(OFFSET(BH107,0,COLUMN($M107)-COLUMN(BH107))="V",ROUND(OFFSET(BH107,0,-2)*OFFSET(BH107,0,-1),2),SUMIF(INDIRECT(ADDRESS(MATCH("START"&amp;OFFSET(BH107,0,COLUMN($B107)-COLUMN(BH107)),$A:$A,0),$C107+COLUMN($E107)+1)&amp;":"&amp;ADDRESS(MATCH("END"&amp;OFFSET(BH107,0,COLUMN($B107)-COLUMN(BH107)),$A:$A,0),$C107+COLUMN($E107)+1),TRUE),INDIRECT(ADDRESS(ROW(BH107),$C107+COLUMN($E107)),TRUE),INDIRECT(ADDRESS(MATCH("START"&amp;OFFSET(BH107,0,COLUMN($B107)-COLUMN(BH107)),$A:$A,0),COLUMN(BH107))&amp;":"&amp;ADDRESS(MATCH("END"&amp;OFFSET(BH107,0,COLUMN($B107)-COLUMN(BH107)),$A:$A,0),COLUMN(BH107)),TRUE)))))</f>
        <v>0</v>
      </c>
      <c r="BI107" s="356">
        <f ca="1">IF(OFFSET(BI107,ROW(BI$2)-ROW(BI107),0)="TT",SUMIF(INDIRECT(ADDRESS(2,COLUMN($Q107)+1) &amp; ":" &amp; ADDRESS(2,COLUMN(BI107)-1),TRUE),"TBE",INDIRECT(ADDRESS(ROW(BI107), COLUMN($Q107)+1) &amp; ":" &amp; ADDRESS(ROW(BI107),COLUMN(BI107)-1),TRUE)),IF(OFFSET(BI107,ROW(BI$2)-ROW(BI107),0)="TBE",SUMIF(INDIRECT(ADDRESS(2,MATCH(INT(OFFSET(BI107,ROW(BI$2)-ROW(BI107),-2)),$2:$2,0)) &amp; ":" &amp; ADDRESS(2,COLUMN(BI107)-1),TRUE),"T",INDIRECT(ADDRESS(ROW(BI107), MATCH(INT(OFFSET(BI107,ROW(BI$2)-ROW(BI107),-2)),$2:$2,0)) &amp; ":" &amp; ADDRESS(ROW(BI107),COLUMN(BI107)-1),TRUE)),IF(OFFSET(BI107,0,COLUMN($M107)-COLUMN(BI107))="V",OFFSET(BI107,0,-2)*OFFSET(BI107,0,-1),"TOTAL")))</f>
        <v>0</v>
      </c>
      <c r="BJ107" s="370"/>
      <c r="BK107" s="371"/>
      <c r="BL107" s="372">
        <f ca="1">IF(OFFSET(BL107,ROW(BL$2)-ROW(BL107),0)="TT","TT",IF(OFFSET(BL107,0,COLUMN($M107)-COLUMN(BL107))="%",ROUND((OFFSET(BL107,-2,0)-OFFSET(BL107,-19,0))*0.07,2),IF(OFFSET(BL107,0,COLUMN($M107)-COLUMN(BL107))="V",ROUND(OFFSET(BL107,0,-2)*OFFSET(BL107,0,-1),2),SUMIF(INDIRECT(ADDRESS(MATCH("START"&amp;OFFSET(BL107,0,COLUMN($B107)-COLUMN(BL107)),$A:$A,0),$C107+COLUMN($E107)+1)&amp;":"&amp;ADDRESS(MATCH("END"&amp;OFFSET(BL107,0,COLUMN($B107)-COLUMN(BL107)),$A:$A,0),$C107+COLUMN($E107)+1),TRUE),INDIRECT(ADDRESS(ROW(BL107),$C107+COLUMN($E107)),TRUE),INDIRECT(ADDRESS(MATCH("START"&amp;OFFSET(BL107,0,COLUMN($B107)-COLUMN(BL107)),$A:$A,0),COLUMN(BL107))&amp;":"&amp;ADDRESS(MATCH("END"&amp;OFFSET(BL107,0,COLUMN($B107)-COLUMN(BL107)),$A:$A,0),COLUMN(BL107)),TRUE)))))</f>
        <v>0</v>
      </c>
      <c r="BM107" s="356">
        <f ca="1">IF(OFFSET(BM107,ROW(BM$2)-ROW(BM107),0)="TT",SUMIF(INDIRECT(ADDRESS(2,COLUMN($Q107)+1) &amp; ":" &amp; ADDRESS(2,COLUMN(BM107)-1),TRUE),"TBE",INDIRECT(ADDRESS(ROW(BM107), COLUMN($Q107)+1) &amp; ":" &amp; ADDRESS(ROW(BM107),COLUMN(BM107)-1),TRUE)),IF(OFFSET(BM107,ROW(BM$2)-ROW(BM107),0)="TBE",SUMIF(INDIRECT(ADDRESS(2,MATCH(INT(OFFSET(BM107,ROW(BM$2)-ROW(BM107),-2)),$2:$2,0)) &amp; ":" &amp; ADDRESS(2,COLUMN(BM107)-1),TRUE),"T",INDIRECT(ADDRESS(ROW(BM107), MATCH(INT(OFFSET(BM107,ROW(BM$2)-ROW(BM107),-2)),$2:$2,0)) &amp; ":" &amp; ADDRESS(ROW(BM107),COLUMN(BM107)-1),TRUE)),IF(OFFSET(BM107,0,COLUMN($M107)-COLUMN(BM107))="V",OFFSET(BM107,0,-2)*OFFSET(BM107,0,-1),"TOTAL")))</f>
        <v>0</v>
      </c>
      <c r="BN107" s="356">
        <f ca="1">IF(OFFSET(BN107,ROW(BN$2)-ROW(BN107),0)="TT",SUMIF(INDIRECT(ADDRESS(2,COLUMN($Q107)+1) &amp; ":" &amp; ADDRESS(2,COLUMN(BN107)-1),TRUE),"TBE",INDIRECT(ADDRESS(ROW(BN107), COLUMN($Q107)+1) &amp; ":" &amp; ADDRESS(ROW(BN107),COLUMN(BN107)-1),TRUE)),IF(OFFSET(BN107,ROW(BN$2)-ROW(BN107),0)="TBE",SUMIF(INDIRECT(ADDRESS(2,MATCH(INT(OFFSET(BN107,ROW(BN$2)-ROW(BN107),-2)),$2:$2,0)) &amp; ":" &amp; ADDRESS(2,COLUMN(BN107)-1),TRUE),"T",INDIRECT(ADDRESS(ROW(BN107), MATCH(INT(OFFSET(BN107,ROW(BN$2)-ROW(BN107),-2)),$2:$2,0)) &amp; ":" &amp; ADDRESS(ROW(BN107),COLUMN(BN107)-1),TRUE)),IF(OFFSET(BN107,0,COLUMN($M107)-COLUMN(BN107))="V",OFFSET(BN107,0,-2)*OFFSET(BN107,0,-1),"TOTAL")))</f>
        <v>0</v>
      </c>
    </row>
    <row r="108" spans="1:66">
      <c r="A108" s="221" t="str">
        <f t="shared" ca="1" si="124"/>
        <v>WP003</v>
      </c>
      <c r="B108" s="221" t="str">
        <f t="shared" ca="1" si="125"/>
        <v>WP003</v>
      </c>
      <c r="C108" s="221">
        <v>1</v>
      </c>
      <c r="N108" s="461"/>
      <c r="O108" s="259"/>
      <c r="P108" s="389"/>
      <c r="Q108" s="389"/>
      <c r="R108" s="361"/>
      <c r="S108" s="362"/>
      <c r="T108" s="363"/>
      <c r="U108" s="360"/>
      <c r="V108" s="361"/>
      <c r="W108" s="362"/>
      <c r="X108" s="363"/>
      <c r="Y108" s="360"/>
      <c r="Z108" s="361"/>
      <c r="AA108" s="362"/>
      <c r="AB108" s="363"/>
      <c r="AC108" s="360"/>
      <c r="AD108" s="361"/>
      <c r="AE108" s="362"/>
      <c r="AF108" s="363"/>
      <c r="AG108" s="360"/>
      <c r="AH108" s="361"/>
      <c r="AI108" s="362"/>
      <c r="AJ108" s="363"/>
      <c r="AK108" s="360"/>
      <c r="AL108" s="361"/>
      <c r="AM108" s="362"/>
      <c r="AN108" s="363"/>
      <c r="AO108" s="360"/>
      <c r="AP108" s="361"/>
      <c r="AQ108" s="362"/>
      <c r="AR108" s="363"/>
      <c r="AS108" s="360"/>
      <c r="AT108" s="361"/>
      <c r="AU108" s="362"/>
      <c r="AV108" s="363"/>
      <c r="AW108" s="360"/>
      <c r="AX108" s="361"/>
      <c r="AY108" s="362"/>
      <c r="AZ108" s="363"/>
      <c r="BA108" s="360"/>
      <c r="BB108" s="361"/>
      <c r="BC108" s="362"/>
      <c r="BD108" s="363"/>
      <c r="BE108" s="360"/>
      <c r="BF108" s="361"/>
      <c r="BG108" s="362"/>
      <c r="BH108" s="363"/>
      <c r="BI108" s="360"/>
      <c r="BJ108" s="361"/>
      <c r="BK108" s="362"/>
      <c r="BL108" s="363"/>
      <c r="BM108" s="360"/>
      <c r="BN108" s="360"/>
    </row>
    <row r="109" spans="1:66" ht="12.75" thickBot="1">
      <c r="A109" s="221" t="str">
        <f t="shared" ca="1" si="124"/>
        <v>ENDWP003</v>
      </c>
      <c r="B109" s="221" t="str">
        <f t="shared" ca="1" si="125"/>
        <v>WP003</v>
      </c>
      <c r="C109" s="221">
        <v>0</v>
      </c>
      <c r="D109" s="221" t="s">
        <v>135</v>
      </c>
      <c r="E109" s="221" t="s">
        <v>130</v>
      </c>
      <c r="M109" s="221" t="s">
        <v>46</v>
      </c>
      <c r="N109" s="462"/>
      <c r="O109" s="454" t="str">
        <f ca="1">"TOTAL COSTS (A+B+C+D+E) - " &amp; OFFSET(O109,-26,0)</f>
        <v xml:space="preserve">TOTAL COSTS (A+B+C+D+E) - </v>
      </c>
      <c r="P109" s="455"/>
      <c r="Q109" s="455"/>
      <c r="R109" s="373"/>
      <c r="S109" s="374"/>
      <c r="T109" s="375">
        <f t="shared" ca="1" si="138"/>
        <v>0</v>
      </c>
      <c r="U109" s="376">
        <f ca="1">IF(OFFSET(U109,ROW(U$2)-ROW(U109),0)="TT",SUMIF(INDIRECT(ADDRESS(2,COLUMN($Q109)+1) &amp; ":" &amp; ADDRESS(2,COLUMN(U109)-1),TRUE),"TBE",INDIRECT(ADDRESS(ROW(U109), COLUMN($Q109)+1) &amp; ":" &amp; ADDRESS(ROW(U109),COLUMN(U109)-1),TRUE)),IF(OFFSET(U109,ROW(U$2)-ROW(U109),0)="TBE",SUMIF(INDIRECT(ADDRESS(2,MATCH(INT(OFFSET(U109,ROW(U$2)-ROW(U109),-2)),$2:$2,0)) &amp; ":" &amp; ADDRESS(2,COLUMN(U109)-1),TRUE),"T",INDIRECT(ADDRESS(ROW(U109), MATCH(INT(OFFSET(U109,ROW(U$2)-ROW(U109),-2)),$2:$2,0)) &amp; ":" &amp; ADDRESS(ROW(U109),COLUMN(U109)-1),TRUE)),IF(OFFSET(U109,0,COLUMN($M109)-COLUMN(U109))="V",OFFSET(U109,0,-2)*OFFSET(U109,0,-1),"TOTAL")))</f>
        <v>0</v>
      </c>
      <c r="V109" s="373"/>
      <c r="W109" s="374"/>
      <c r="X109" s="375">
        <f t="shared" ca="1" si="139"/>
        <v>0</v>
      </c>
      <c r="Y109" s="376">
        <f ca="1">IF(OFFSET(Y109,ROW(Y$2)-ROW(Y109),0)="TT",SUMIF(INDIRECT(ADDRESS(2,COLUMN($Q109)+1) &amp; ":" &amp; ADDRESS(2,COLUMN(Y109)-1),TRUE),"TBE",INDIRECT(ADDRESS(ROW(Y109), COLUMN($Q109)+1) &amp; ":" &amp; ADDRESS(ROW(Y109),COLUMN(Y109)-1),TRUE)),IF(OFFSET(Y109,ROW(Y$2)-ROW(Y109),0)="TBE",SUMIF(INDIRECT(ADDRESS(2,MATCH(INT(OFFSET(Y109,ROW(Y$2)-ROW(Y109),-2)),$2:$2,0)) &amp; ":" &amp; ADDRESS(2,COLUMN(Y109)-1),TRUE),"T",INDIRECT(ADDRESS(ROW(Y109), MATCH(INT(OFFSET(Y109,ROW(Y$2)-ROW(Y109),-2)),$2:$2,0)) &amp; ":" &amp; ADDRESS(ROW(Y109),COLUMN(Y109)-1),TRUE)),IF(OFFSET(Y109,0,COLUMN($M109)-COLUMN(Y109))="V",OFFSET(Y109,0,-2)*OFFSET(Y109,0,-1),"TOTAL")))</f>
        <v>0</v>
      </c>
      <c r="Z109" s="373"/>
      <c r="AA109" s="374"/>
      <c r="AB109" s="375">
        <f t="shared" ca="1" si="140"/>
        <v>0</v>
      </c>
      <c r="AC109" s="376">
        <f ca="1">IF(OFFSET(AC109,ROW(AC$2)-ROW(AC109),0)="TT",SUMIF(INDIRECT(ADDRESS(2,COLUMN($Q109)+1) &amp; ":" &amp; ADDRESS(2,COLUMN(AC109)-1),TRUE),"TBE",INDIRECT(ADDRESS(ROW(AC109), COLUMN($Q109)+1) &amp; ":" &amp; ADDRESS(ROW(AC109),COLUMN(AC109)-1),TRUE)),IF(OFFSET(AC109,ROW(AC$2)-ROW(AC109),0)="TBE",SUMIF(INDIRECT(ADDRESS(2,MATCH(INT(OFFSET(AC109,ROW(AC$2)-ROW(AC109),-2)),$2:$2,0)) &amp; ":" &amp; ADDRESS(2,COLUMN(AC109)-1),TRUE),"T",INDIRECT(ADDRESS(ROW(AC109), MATCH(INT(OFFSET(AC109,ROW(AC$2)-ROW(AC109),-2)),$2:$2,0)) &amp; ":" &amp; ADDRESS(ROW(AC109),COLUMN(AC109)-1),TRUE)),IF(OFFSET(AC109,0,COLUMN($M109)-COLUMN(AC109))="V",OFFSET(AC109,0,-2)*OFFSET(AC109,0,-1),"TOTAL")))</f>
        <v>0</v>
      </c>
      <c r="AD109" s="373"/>
      <c r="AE109" s="374"/>
      <c r="AF109" s="375">
        <f t="shared" ca="1" si="141"/>
        <v>0</v>
      </c>
      <c r="AG109" s="376">
        <f ca="1">IF(OFFSET(AG109,ROW(AG$2)-ROW(AG109),0)="TT",SUMIF(INDIRECT(ADDRESS(2,COLUMN($Q109)+1) &amp; ":" &amp; ADDRESS(2,COLUMN(AG109)-1),TRUE),"TBE",INDIRECT(ADDRESS(ROW(AG109), COLUMN($Q109)+1) &amp; ":" &amp; ADDRESS(ROW(AG109),COLUMN(AG109)-1),TRUE)),IF(OFFSET(AG109,ROW(AG$2)-ROW(AG109),0)="TBE",SUMIF(INDIRECT(ADDRESS(2,MATCH(INT(OFFSET(AG109,ROW(AG$2)-ROW(AG109),-2)),$2:$2,0)) &amp; ":" &amp; ADDRESS(2,COLUMN(AG109)-1),TRUE),"T",INDIRECT(ADDRESS(ROW(AG109), MATCH(INT(OFFSET(AG109,ROW(AG$2)-ROW(AG109),-2)),$2:$2,0)) &amp; ":" &amp; ADDRESS(ROW(AG109),COLUMN(AG109)-1),TRUE)),IF(OFFSET(AG109,0,COLUMN($M109)-COLUMN(AG109))="V",OFFSET(AG109,0,-2)*OFFSET(AG109,0,-1),"TOTAL")))</f>
        <v>0</v>
      </c>
      <c r="AH109" s="373"/>
      <c r="AI109" s="374"/>
      <c r="AJ109" s="375">
        <f t="shared" ca="1" si="142"/>
        <v>0</v>
      </c>
      <c r="AK109" s="376">
        <f ca="1">IF(OFFSET(AK109,ROW(AK$2)-ROW(AK109),0)="TT",SUMIF(INDIRECT(ADDRESS(2,COLUMN($Q109)+1) &amp; ":" &amp; ADDRESS(2,COLUMN(AK109)-1),TRUE),"TBE",INDIRECT(ADDRESS(ROW(AK109), COLUMN($Q109)+1) &amp; ":" &amp; ADDRESS(ROW(AK109),COLUMN(AK109)-1),TRUE)),IF(OFFSET(AK109,ROW(AK$2)-ROW(AK109),0)="TBE",SUMIF(INDIRECT(ADDRESS(2,MATCH(INT(OFFSET(AK109,ROW(AK$2)-ROW(AK109),-2)),$2:$2,0)) &amp; ":" &amp; ADDRESS(2,COLUMN(AK109)-1),TRUE),"T",INDIRECT(ADDRESS(ROW(AK109), MATCH(INT(OFFSET(AK109,ROW(AK$2)-ROW(AK109),-2)),$2:$2,0)) &amp; ":" &amp; ADDRESS(ROW(AK109),COLUMN(AK109)-1),TRUE)),IF(OFFSET(AK109,0,COLUMN($M109)-COLUMN(AK109))="V",OFFSET(AK109,0,-2)*OFFSET(AK109,0,-1),"TOTAL")))</f>
        <v>0</v>
      </c>
      <c r="AL109" s="373"/>
      <c r="AM109" s="374"/>
      <c r="AN109" s="375">
        <f t="shared" ca="1" si="143"/>
        <v>0</v>
      </c>
      <c r="AO109" s="376">
        <f ca="1">IF(OFFSET(AO109,ROW(AO$2)-ROW(AO109),0)="TT",SUMIF(INDIRECT(ADDRESS(2,COLUMN($Q109)+1) &amp; ":" &amp; ADDRESS(2,COLUMN(AO109)-1),TRUE),"TBE",INDIRECT(ADDRESS(ROW(AO109), COLUMN($Q109)+1) &amp; ":" &amp; ADDRESS(ROW(AO109),COLUMN(AO109)-1),TRUE)),IF(OFFSET(AO109,ROW(AO$2)-ROW(AO109),0)="TBE",SUMIF(INDIRECT(ADDRESS(2,MATCH(INT(OFFSET(AO109,ROW(AO$2)-ROW(AO109),-2)),$2:$2,0)) &amp; ":" &amp; ADDRESS(2,COLUMN(AO109)-1),TRUE),"T",INDIRECT(ADDRESS(ROW(AO109), MATCH(INT(OFFSET(AO109,ROW(AO$2)-ROW(AO109),-2)),$2:$2,0)) &amp; ":" &amp; ADDRESS(ROW(AO109),COLUMN(AO109)-1),TRUE)),IF(OFFSET(AO109,0,COLUMN($M109)-COLUMN(AO109))="V",OFFSET(AO109,0,-2)*OFFSET(AO109,0,-1),"TOTAL")))</f>
        <v>0</v>
      </c>
      <c r="AP109" s="373"/>
      <c r="AQ109" s="374"/>
      <c r="AR109" s="375">
        <f t="shared" ca="1" si="144"/>
        <v>0</v>
      </c>
      <c r="AS109" s="376">
        <f ca="1">IF(OFFSET(AS109,ROW(AS$2)-ROW(AS109),0)="TT",SUMIF(INDIRECT(ADDRESS(2,COLUMN($Q109)+1) &amp; ":" &amp; ADDRESS(2,COLUMN(AS109)-1),TRUE),"TBE",INDIRECT(ADDRESS(ROW(AS109), COLUMN($Q109)+1) &amp; ":" &amp; ADDRESS(ROW(AS109),COLUMN(AS109)-1),TRUE)),IF(OFFSET(AS109,ROW(AS$2)-ROW(AS109),0)="TBE",SUMIF(INDIRECT(ADDRESS(2,MATCH(INT(OFFSET(AS109,ROW(AS$2)-ROW(AS109),-2)),$2:$2,0)) &amp; ":" &amp; ADDRESS(2,COLUMN(AS109)-1),TRUE),"T",INDIRECT(ADDRESS(ROW(AS109), MATCH(INT(OFFSET(AS109,ROW(AS$2)-ROW(AS109),-2)),$2:$2,0)) &amp; ":" &amp; ADDRESS(ROW(AS109),COLUMN(AS109)-1),TRUE)),IF(OFFSET(AS109,0,COLUMN($M109)-COLUMN(AS109))="V",OFFSET(AS109,0,-2)*OFFSET(AS109,0,-1),"TOTAL")))</f>
        <v>0</v>
      </c>
      <c r="AT109" s="373"/>
      <c r="AU109" s="374"/>
      <c r="AV109" s="375">
        <f t="shared" ca="1" si="145"/>
        <v>0</v>
      </c>
      <c r="AW109" s="376">
        <f ca="1">IF(OFFSET(AW109,ROW(AW$2)-ROW(AW109),0)="TT",SUMIF(INDIRECT(ADDRESS(2,COLUMN($Q109)+1) &amp; ":" &amp; ADDRESS(2,COLUMN(AW109)-1),TRUE),"TBE",INDIRECT(ADDRESS(ROW(AW109), COLUMN($Q109)+1) &amp; ":" &amp; ADDRESS(ROW(AW109),COLUMN(AW109)-1),TRUE)),IF(OFFSET(AW109,ROW(AW$2)-ROW(AW109),0)="TBE",SUMIF(INDIRECT(ADDRESS(2,MATCH(INT(OFFSET(AW109,ROW(AW$2)-ROW(AW109),-2)),$2:$2,0)) &amp; ":" &amp; ADDRESS(2,COLUMN(AW109)-1),TRUE),"T",INDIRECT(ADDRESS(ROW(AW109), MATCH(INT(OFFSET(AW109,ROW(AW$2)-ROW(AW109),-2)),$2:$2,0)) &amp; ":" &amp; ADDRESS(ROW(AW109),COLUMN(AW109)-1),TRUE)),IF(OFFSET(AW109,0,COLUMN($M109)-COLUMN(AW109))="V",OFFSET(AW109,0,-2)*OFFSET(AW109,0,-1),"TOTAL")))</f>
        <v>0</v>
      </c>
      <c r="AX109" s="373"/>
      <c r="AY109" s="374"/>
      <c r="AZ109" s="375">
        <f t="shared" ca="1" si="146"/>
        <v>0</v>
      </c>
      <c r="BA109" s="376">
        <f ca="1">IF(OFFSET(BA109,ROW(BA$2)-ROW(BA109),0)="TT",SUMIF(INDIRECT(ADDRESS(2,COLUMN($Q109)+1) &amp; ":" &amp; ADDRESS(2,COLUMN(BA109)-1),TRUE),"TBE",INDIRECT(ADDRESS(ROW(BA109), COLUMN($Q109)+1) &amp; ":" &amp; ADDRESS(ROW(BA109),COLUMN(BA109)-1),TRUE)),IF(OFFSET(BA109,ROW(BA$2)-ROW(BA109),0)="TBE",SUMIF(INDIRECT(ADDRESS(2,MATCH(INT(OFFSET(BA109,ROW(BA$2)-ROW(BA109),-2)),$2:$2,0)) &amp; ":" &amp; ADDRESS(2,COLUMN(BA109)-1),TRUE),"T",INDIRECT(ADDRESS(ROW(BA109), MATCH(INT(OFFSET(BA109,ROW(BA$2)-ROW(BA109),-2)),$2:$2,0)) &amp; ":" &amp; ADDRESS(ROW(BA109),COLUMN(BA109)-1),TRUE)),IF(OFFSET(BA109,0,COLUMN($M109)-COLUMN(BA109))="V",OFFSET(BA109,0,-2)*OFFSET(BA109,0,-1),"TOTAL")))</f>
        <v>0</v>
      </c>
      <c r="BB109" s="373"/>
      <c r="BC109" s="374"/>
      <c r="BD109" s="375">
        <f t="shared" ca="1" si="147"/>
        <v>0</v>
      </c>
      <c r="BE109" s="376">
        <f ca="1">IF(OFFSET(BE109,ROW(BE$2)-ROW(BE109),0)="TT",SUMIF(INDIRECT(ADDRESS(2,COLUMN($Q109)+1) &amp; ":" &amp; ADDRESS(2,COLUMN(BE109)-1),TRUE),"TBE",INDIRECT(ADDRESS(ROW(BE109), COLUMN($Q109)+1) &amp; ":" &amp; ADDRESS(ROW(BE109),COLUMN(BE109)-1),TRUE)),IF(OFFSET(BE109,ROW(BE$2)-ROW(BE109),0)="TBE",SUMIF(INDIRECT(ADDRESS(2,MATCH(INT(OFFSET(BE109,ROW(BE$2)-ROW(BE109),-2)),$2:$2,0)) &amp; ":" &amp; ADDRESS(2,COLUMN(BE109)-1),TRUE),"T",INDIRECT(ADDRESS(ROW(BE109), MATCH(INT(OFFSET(BE109,ROW(BE$2)-ROW(BE109),-2)),$2:$2,0)) &amp; ":" &amp; ADDRESS(ROW(BE109),COLUMN(BE109)-1),TRUE)),IF(OFFSET(BE109,0,COLUMN($M109)-COLUMN(BE109))="V",OFFSET(BE109,0,-2)*OFFSET(BE109,0,-1),"TOTAL")))</f>
        <v>0</v>
      </c>
      <c r="BF109" s="373"/>
      <c r="BG109" s="374"/>
      <c r="BH109" s="375">
        <f t="shared" ca="1" si="148"/>
        <v>0</v>
      </c>
      <c r="BI109" s="376">
        <f ca="1">IF(OFFSET(BI109,ROW(BI$2)-ROW(BI109),0)="TT",SUMIF(INDIRECT(ADDRESS(2,COLUMN($Q109)+1) &amp; ":" &amp; ADDRESS(2,COLUMN(BI109)-1),TRUE),"TBE",INDIRECT(ADDRESS(ROW(BI109), COLUMN($Q109)+1) &amp; ":" &amp; ADDRESS(ROW(BI109),COLUMN(BI109)-1),TRUE)),IF(OFFSET(BI109,ROW(BI$2)-ROW(BI109),0)="TBE",SUMIF(INDIRECT(ADDRESS(2,MATCH(INT(OFFSET(BI109,ROW(BI$2)-ROW(BI109),-2)),$2:$2,0)) &amp; ":" &amp; ADDRESS(2,COLUMN(BI109)-1),TRUE),"T",INDIRECT(ADDRESS(ROW(BI109), MATCH(INT(OFFSET(BI109,ROW(BI$2)-ROW(BI109),-2)),$2:$2,0)) &amp; ":" &amp; ADDRESS(ROW(BI109),COLUMN(BI109)-1),TRUE)),IF(OFFSET(BI109,0,COLUMN($M109)-COLUMN(BI109))="V",OFFSET(BI109,0,-2)*OFFSET(BI109,0,-1),"TOTAL")))</f>
        <v>0</v>
      </c>
      <c r="BJ109" s="373"/>
      <c r="BK109" s="374"/>
      <c r="BL109" s="375">
        <f t="shared" ca="1" si="149"/>
        <v>0</v>
      </c>
      <c r="BM109" s="376">
        <f ca="1">IF(OFFSET(BM109,ROW(BM$2)-ROW(BM109),0)="TT",SUMIF(INDIRECT(ADDRESS(2,COLUMN($Q109)+1) &amp; ":" &amp; ADDRESS(2,COLUMN(BM109)-1),TRUE),"TBE",INDIRECT(ADDRESS(ROW(BM109), COLUMN($Q109)+1) &amp; ":" &amp; ADDRESS(ROW(BM109),COLUMN(BM109)-1),TRUE)),IF(OFFSET(BM109,ROW(BM$2)-ROW(BM109),0)="TBE",SUMIF(INDIRECT(ADDRESS(2,MATCH(INT(OFFSET(BM109,ROW(BM$2)-ROW(BM109),-2)),$2:$2,0)) &amp; ":" &amp; ADDRESS(2,COLUMN(BM109)-1),TRUE),"T",INDIRECT(ADDRESS(ROW(BM109), MATCH(INT(OFFSET(BM109,ROW(BM$2)-ROW(BM109),-2)),$2:$2,0)) &amp; ":" &amp; ADDRESS(ROW(BM109),COLUMN(BM109)-1),TRUE)),IF(OFFSET(BM109,0,COLUMN($M109)-COLUMN(BM109))="V",OFFSET(BM109,0,-2)*OFFSET(BM109,0,-1),"TOTAL")))</f>
        <v>0</v>
      </c>
      <c r="BN109" s="376">
        <f ca="1">IF(OFFSET(BN109,ROW(BN$2)-ROW(BN109),0)="TT",SUMIF(INDIRECT(ADDRESS(2,COLUMN($Q109)+1) &amp; ":" &amp; ADDRESS(2,COLUMN(BN109)-1),TRUE),"TBE",INDIRECT(ADDRESS(ROW(BN109), COLUMN($Q109)+1) &amp; ":" &amp; ADDRESS(ROW(BN109),COLUMN(BN109)-1),TRUE)),IF(OFFSET(BN109,ROW(BN$2)-ROW(BN109),0)="TBE",SUMIF(INDIRECT(ADDRESS(2,MATCH(INT(OFFSET(BN109,ROW(BN$2)-ROW(BN109),-2)),$2:$2,0)) &amp; ":" &amp; ADDRESS(2,COLUMN(BN109)-1),TRUE),"T",INDIRECT(ADDRESS(ROW(BN109), MATCH(INT(OFFSET(BN109,ROW(BN$2)-ROW(BN109),-2)),$2:$2,0)) &amp; ":" &amp; ADDRESS(ROW(BN109),COLUMN(BN109)-1),TRUE)),IF(OFFSET(BN109,0,COLUMN($M109)-COLUMN(BN109))="V",OFFSET(BN109,0,-2)*OFFSET(BN109,0,-1),"TOTAL")))</f>
        <v>0</v>
      </c>
    </row>
    <row r="110" spans="1:66" ht="13.5" thickTop="1" thickBot="1">
      <c r="A110" s="221" t="s">
        <v>137</v>
      </c>
    </row>
    <row r="111" spans="1:66" ht="13.5" thickTop="1" thickBot="1">
      <c r="A111" s="221" t="str">
        <f ca="1">IF(ISNUMBER(OFFSET(A111,0,13)),"START",IF(AND(OFFSET(A111,0,2)=0,OFFSET(A111,0,4)="GT"),"END",""))&amp;OFFSET(A111,0,1)</f>
        <v>STARTWP004</v>
      </c>
      <c r="B111" s="221" t="str">
        <f ca="1">IF(ISNUMBER(OFFSET(B111,0,12)),"WP" &amp; TEXT(OFFSET(B111,0,12),"000"),OFFSET(B111,-1,0))</f>
        <v>WP004</v>
      </c>
      <c r="N111" s="244">
        <v>4</v>
      </c>
      <c r="O111" s="459" t="str">
        <f ca="1">""&amp;VLOOKUP(OFFSET(N111,1,0),'Work Packages List'!A:B,2,FALSE)</f>
        <v/>
      </c>
      <c r="P111" s="459"/>
      <c r="Q111" s="460"/>
      <c r="R111" s="349"/>
      <c r="S111" s="350"/>
      <c r="T111" s="351"/>
      <c r="U111" s="352"/>
      <c r="V111" s="349"/>
      <c r="W111" s="350"/>
      <c r="X111" s="351"/>
      <c r="Y111" s="352"/>
      <c r="Z111" s="349"/>
      <c r="AA111" s="350"/>
      <c r="AB111" s="351"/>
      <c r="AC111" s="352"/>
      <c r="AD111" s="349"/>
      <c r="AE111" s="350"/>
      <c r="AF111" s="351"/>
      <c r="AG111" s="352"/>
      <c r="AH111" s="349"/>
      <c r="AI111" s="350"/>
      <c r="AJ111" s="351"/>
      <c r="AK111" s="352"/>
      <c r="AL111" s="349"/>
      <c r="AM111" s="350"/>
      <c r="AN111" s="351"/>
      <c r="AO111" s="352"/>
      <c r="AP111" s="349"/>
      <c r="AQ111" s="350"/>
      <c r="AR111" s="351"/>
      <c r="AS111" s="352"/>
      <c r="AT111" s="349"/>
      <c r="AU111" s="350"/>
      <c r="AV111" s="351"/>
      <c r="AW111" s="352"/>
      <c r="AX111" s="349"/>
      <c r="AY111" s="350"/>
      <c r="AZ111" s="351"/>
      <c r="BA111" s="352"/>
      <c r="BB111" s="349"/>
      <c r="BC111" s="350"/>
      <c r="BD111" s="351"/>
      <c r="BE111" s="352"/>
      <c r="BF111" s="349"/>
      <c r="BG111" s="350"/>
      <c r="BH111" s="351"/>
      <c r="BI111" s="352"/>
      <c r="BJ111" s="349"/>
      <c r="BK111" s="350"/>
      <c r="BL111" s="351"/>
      <c r="BM111" s="352"/>
      <c r="BN111" s="352"/>
    </row>
    <row r="112" spans="1:66">
      <c r="A112" s="221" t="str">
        <f t="shared" ref="A112:A143" ca="1" si="186">IF(ISNUMBER(OFFSET(A112,0,12)),"START",IF(AND(OFFSET(A112,0,2)=0,OFFSET(A112,0,4)="GT"),"END",""))&amp;OFFSET(A112,0,1)</f>
        <v>WP004</v>
      </c>
      <c r="B112" s="221" t="str">
        <f t="shared" ref="B112:B143" ca="1" si="187">IF(ISNUMBER(OFFSET(B112,0,11)),"WP" &amp; TEXT(OFFSET(B112,0,11),"000"),OFFSET(B112,-1,0))</f>
        <v>WP004</v>
      </c>
      <c r="C112" s="221">
        <v>4</v>
      </c>
      <c r="D112" s="221" t="s">
        <v>73</v>
      </c>
      <c r="H112" s="221" t="s">
        <v>74</v>
      </c>
      <c r="I112" s="221" t="s">
        <v>75</v>
      </c>
      <c r="M112" s="221" t="s">
        <v>46</v>
      </c>
      <c r="N112" s="461" t="str">
        <f ca="1">"WP " &amp; TEXT(OFFSET(N112,-1,0),"000")</f>
        <v>WP 004</v>
      </c>
      <c r="O112" s="452" t="s">
        <v>37</v>
      </c>
      <c r="P112" s="453"/>
      <c r="Q112" s="463"/>
      <c r="R112" s="353">
        <f ca="1">IF(OFFSET(R112,ROW(R$2)-ROW(R112),0)="TT","TT",IF(OFFSET(R112,0,COLUMN($M112)-COLUMN(R112))="%",ROUND(OFFSET(R112,-2,0)*0.07,0),IF(OFFSET(R112,0,COLUMN($M112)-COLUMN(R112))="V","x",SUMIF(INDIRECT(ADDRESS(MATCH("START"&amp;OFFSET(R112,0,COLUMN($B112)-COLUMN(R112)),$A:$A,0),$C112+COLUMN($E112)+1)&amp;":"&amp;ADDRESS(MATCH("END"&amp;OFFSET(R112,0,COLUMN($B112)-COLUMN(R112)),$A:$A,0),$C112+COLUMN($E112)+1),TRUE),INDIRECT(ADDRESS(ROW(R112),$C112+COLUMN($E112)),TRUE),INDIRECT(ADDRESS(MATCH("START"&amp;OFFSET(R112,0,COLUMN($B112)-COLUMN(R112)),$A:$A,0),COLUMN(R112))&amp;":"&amp;ADDRESS(MATCH("END"&amp;OFFSET(R112,0,COLUMN($B112)-COLUMN(R112)),$A:$A,0),COLUMN(R112)),TRUE)))))</f>
        <v>0</v>
      </c>
      <c r="S112" s="354"/>
      <c r="T112" s="355">
        <f ca="1">IF(OFFSET(T112,ROW(T$2)-ROW(T112),0)="TT","TT",IF(OFFSET(T112,0,COLUMN($M112)-COLUMN(T112))="%",ROUND((OFFSET(T112,-2,0)-OFFSET(T112,-21,0))*0.07,2),IF(OFFSET(T112,0,COLUMN($M112)-COLUMN(T112))="V",ROUND(OFFSET(T112,0,-2)*OFFSET(T112,0,-1),2),SUMIF(INDIRECT(ADDRESS(MATCH("START"&amp;OFFSET(T112,0,COLUMN($B112)-COLUMN(T112)),$A:$A,0),$C112+COLUMN($E112)+1)&amp;":"&amp;ADDRESS(MATCH("END"&amp;OFFSET(T112,0,COLUMN($B112)-COLUMN(T112)),$A:$A,0),$C112+COLUMN($E112)+1),TRUE),INDIRECT(ADDRESS(ROW(T112),$C112+COLUMN($E112)),TRUE),INDIRECT(ADDRESS(MATCH("START"&amp;OFFSET(T112,0,COLUMN($B112)-COLUMN(T112)),$A:$A,0),COLUMN(T112))&amp;":"&amp;ADDRESS(MATCH("END"&amp;OFFSET(T112,0,COLUMN($B112)-COLUMN(T112)),$A:$A,0),COLUMN(T112)),TRUE)))))</f>
        <v>0</v>
      </c>
      <c r="U112" s="356">
        <f t="shared" ref="U112:U139" ca="1" si="188">IF(OFFSET(U112,ROW(U$2)-ROW(U112),0)="TT",SUMIF(INDIRECT(ADDRESS(2,COLUMN($Q112)+1) &amp; ":" &amp; ADDRESS(2,COLUMN(U112)-1),TRUE),"TBE",INDIRECT(ADDRESS(ROW(U112), COLUMN($Q112)+1) &amp; ":" &amp; ADDRESS(ROW(U112),COLUMN(U112)-1),TRUE)),IF(OFFSET(U112,ROW(U$2)-ROW(U112),0)="TBE",SUMIF(INDIRECT(ADDRESS(2,MATCH(INT(OFFSET(U112,ROW(U$2)-ROW(U112),-2)),$2:$2,0)) &amp; ":" &amp; ADDRESS(2,COLUMN(U112)-1),TRUE),"T",INDIRECT(ADDRESS(ROW(U112), MATCH(INT(OFFSET(U112,ROW(U$2)-ROW(U112),-2)),$2:$2,0)) &amp; ":" &amp; ADDRESS(ROW(U112),COLUMN(U112)-1),TRUE)),IF(OFFSET(U112,0,COLUMN($M112)-COLUMN(U112))="V",OFFSET(U112,0,-2)*OFFSET(U112,0,-1),"TOTAL")))</f>
        <v>0</v>
      </c>
      <c r="V112" s="353">
        <f ca="1">IF(OFFSET(V112,ROW(V$2)-ROW(V112),0)="TT","TT",IF(OFFSET(V112,0,COLUMN($M112)-COLUMN(V112))="%",ROUND(OFFSET(V112,-2,0)*0.07,0),IF(OFFSET(V112,0,COLUMN($M112)-COLUMN(V112))="V","x",SUMIF(INDIRECT(ADDRESS(MATCH("START"&amp;OFFSET(V112,0,COLUMN($B112)-COLUMN(V112)),$A:$A,0),$C112+COLUMN($E112)+1)&amp;":"&amp;ADDRESS(MATCH("END"&amp;OFFSET(V112,0,COLUMN($B112)-COLUMN(V112)),$A:$A,0),$C112+COLUMN($E112)+1),TRUE),INDIRECT(ADDRESS(ROW(V112),$C112+COLUMN($E112)),TRUE),INDIRECT(ADDRESS(MATCH("START"&amp;OFFSET(V112,0,COLUMN($B112)-COLUMN(V112)),$A:$A,0),COLUMN(V112))&amp;":"&amp;ADDRESS(MATCH("END"&amp;OFFSET(V112,0,COLUMN($B112)-COLUMN(V112)),$A:$A,0),COLUMN(V112)),TRUE)))))</f>
        <v>0</v>
      </c>
      <c r="W112" s="354"/>
      <c r="X112" s="355">
        <f ca="1">IF(OFFSET(X112,ROW(X$2)-ROW(X112),0)="TT","TT",IF(OFFSET(X112,0,COLUMN($M112)-COLUMN(X112))="%",ROUND((OFFSET(X112,-2,0)-OFFSET(X112,-21,0))*0.07,2),IF(OFFSET(X112,0,COLUMN($M112)-COLUMN(X112))="V",ROUND(OFFSET(X112,0,-2)*OFFSET(X112,0,-1),2),SUMIF(INDIRECT(ADDRESS(MATCH("START"&amp;OFFSET(X112,0,COLUMN($B112)-COLUMN(X112)),$A:$A,0),$C112+COLUMN($E112)+1)&amp;":"&amp;ADDRESS(MATCH("END"&amp;OFFSET(X112,0,COLUMN($B112)-COLUMN(X112)),$A:$A,0),$C112+COLUMN($E112)+1),TRUE),INDIRECT(ADDRESS(ROW(X112),$C112+COLUMN($E112)),TRUE),INDIRECT(ADDRESS(MATCH("START"&amp;OFFSET(X112,0,COLUMN($B112)-COLUMN(X112)),$A:$A,0),COLUMN(X112))&amp;":"&amp;ADDRESS(MATCH("END"&amp;OFFSET(X112,0,COLUMN($B112)-COLUMN(X112)),$A:$A,0),COLUMN(X112)),TRUE)))))</f>
        <v>0</v>
      </c>
      <c r="Y112" s="356">
        <f t="shared" ref="Y112:Y139" ca="1" si="189">IF(OFFSET(Y112,ROW(Y$2)-ROW(Y112),0)="TT",SUMIF(INDIRECT(ADDRESS(2,COLUMN($Q112)+1) &amp; ":" &amp; ADDRESS(2,COLUMN(Y112)-1),TRUE),"TBE",INDIRECT(ADDRESS(ROW(Y112), COLUMN($Q112)+1) &amp; ":" &amp; ADDRESS(ROW(Y112),COLUMN(Y112)-1),TRUE)),IF(OFFSET(Y112,ROW(Y$2)-ROW(Y112),0)="TBE",SUMIF(INDIRECT(ADDRESS(2,MATCH(INT(OFFSET(Y112,ROW(Y$2)-ROW(Y112),-2)),$2:$2,0)) &amp; ":" &amp; ADDRESS(2,COLUMN(Y112)-1),TRUE),"T",INDIRECT(ADDRESS(ROW(Y112), MATCH(INT(OFFSET(Y112,ROW(Y$2)-ROW(Y112),-2)),$2:$2,0)) &amp; ":" &amp; ADDRESS(ROW(Y112),COLUMN(Y112)-1),TRUE)),IF(OFFSET(Y112,0,COLUMN($M112)-COLUMN(Y112))="V",OFFSET(Y112,0,-2)*OFFSET(Y112,0,-1),"TOTAL")))</f>
        <v>0</v>
      </c>
      <c r="Z112" s="353">
        <f ca="1">IF(OFFSET(Z112,ROW(Z$2)-ROW(Z112),0)="TT","TT",IF(OFFSET(Z112,0,COLUMN($M112)-COLUMN(Z112))="%",ROUND(OFFSET(Z112,-2,0)*0.07,0),IF(OFFSET(Z112,0,COLUMN($M112)-COLUMN(Z112))="V","x",SUMIF(INDIRECT(ADDRESS(MATCH("START"&amp;OFFSET(Z112,0,COLUMN($B112)-COLUMN(Z112)),$A:$A,0),$C112+COLUMN($E112)+1)&amp;":"&amp;ADDRESS(MATCH("END"&amp;OFFSET(Z112,0,COLUMN($B112)-COLUMN(Z112)),$A:$A,0),$C112+COLUMN($E112)+1),TRUE),INDIRECT(ADDRESS(ROW(Z112),$C112+COLUMN($E112)),TRUE),INDIRECT(ADDRESS(MATCH("START"&amp;OFFSET(Z112,0,COLUMN($B112)-COLUMN(Z112)),$A:$A,0),COLUMN(Z112))&amp;":"&amp;ADDRESS(MATCH("END"&amp;OFFSET(Z112,0,COLUMN($B112)-COLUMN(Z112)),$A:$A,0),COLUMN(Z112)),TRUE)))))</f>
        <v>0</v>
      </c>
      <c r="AA112" s="354"/>
      <c r="AB112" s="355">
        <f ca="1">IF(OFFSET(AB112,ROW(AB$2)-ROW(AB112),0)="TT","TT",IF(OFFSET(AB112,0,COLUMN($M112)-COLUMN(AB112))="%",ROUND((OFFSET(AB112,-2,0)-OFFSET(AB112,-21,0))*0.07,2),IF(OFFSET(AB112,0,COLUMN($M112)-COLUMN(AB112))="V",ROUND(OFFSET(AB112,0,-2)*OFFSET(AB112,0,-1),2),SUMIF(INDIRECT(ADDRESS(MATCH("START"&amp;OFFSET(AB112,0,COLUMN($B112)-COLUMN(AB112)),$A:$A,0),$C112+COLUMN($E112)+1)&amp;":"&amp;ADDRESS(MATCH("END"&amp;OFFSET(AB112,0,COLUMN($B112)-COLUMN(AB112)),$A:$A,0),$C112+COLUMN($E112)+1),TRUE),INDIRECT(ADDRESS(ROW(AB112),$C112+COLUMN($E112)),TRUE),INDIRECT(ADDRESS(MATCH("START"&amp;OFFSET(AB112,0,COLUMN($B112)-COLUMN(AB112)),$A:$A,0),COLUMN(AB112))&amp;":"&amp;ADDRESS(MATCH("END"&amp;OFFSET(AB112,0,COLUMN($B112)-COLUMN(AB112)),$A:$A,0),COLUMN(AB112)),TRUE)))))</f>
        <v>0</v>
      </c>
      <c r="AC112" s="356">
        <f t="shared" ref="AC112:AC139" ca="1" si="190">IF(OFFSET(AC112,ROW(AC$2)-ROW(AC112),0)="TT",SUMIF(INDIRECT(ADDRESS(2,COLUMN($Q112)+1) &amp; ":" &amp; ADDRESS(2,COLUMN(AC112)-1),TRUE),"TBE",INDIRECT(ADDRESS(ROW(AC112), COLUMN($Q112)+1) &amp; ":" &amp; ADDRESS(ROW(AC112),COLUMN(AC112)-1),TRUE)),IF(OFFSET(AC112,ROW(AC$2)-ROW(AC112),0)="TBE",SUMIF(INDIRECT(ADDRESS(2,MATCH(INT(OFFSET(AC112,ROW(AC$2)-ROW(AC112),-2)),$2:$2,0)) &amp; ":" &amp; ADDRESS(2,COLUMN(AC112)-1),TRUE),"T",INDIRECT(ADDRESS(ROW(AC112), MATCH(INT(OFFSET(AC112,ROW(AC$2)-ROW(AC112),-2)),$2:$2,0)) &amp; ":" &amp; ADDRESS(ROW(AC112),COLUMN(AC112)-1),TRUE)),IF(OFFSET(AC112,0,COLUMN($M112)-COLUMN(AC112))="V",OFFSET(AC112,0,-2)*OFFSET(AC112,0,-1),"TOTAL")))</f>
        <v>0</v>
      </c>
      <c r="AD112" s="353">
        <f ca="1">IF(OFFSET(AD112,ROW(AD$2)-ROW(AD112),0)="TT","TT",IF(OFFSET(AD112,0,COLUMN($M112)-COLUMN(AD112))="%",ROUND(OFFSET(AD112,-2,0)*0.07,0),IF(OFFSET(AD112,0,COLUMN($M112)-COLUMN(AD112))="V","x",SUMIF(INDIRECT(ADDRESS(MATCH("START"&amp;OFFSET(AD112,0,COLUMN($B112)-COLUMN(AD112)),$A:$A,0),$C112+COLUMN($E112)+1)&amp;":"&amp;ADDRESS(MATCH("END"&amp;OFFSET(AD112,0,COLUMN($B112)-COLUMN(AD112)),$A:$A,0),$C112+COLUMN($E112)+1),TRUE),INDIRECT(ADDRESS(ROW(AD112),$C112+COLUMN($E112)),TRUE),INDIRECT(ADDRESS(MATCH("START"&amp;OFFSET(AD112,0,COLUMN($B112)-COLUMN(AD112)),$A:$A,0),COLUMN(AD112))&amp;":"&amp;ADDRESS(MATCH("END"&amp;OFFSET(AD112,0,COLUMN($B112)-COLUMN(AD112)),$A:$A,0),COLUMN(AD112)),TRUE)))))</f>
        <v>0</v>
      </c>
      <c r="AE112" s="354"/>
      <c r="AF112" s="355">
        <f ca="1">IF(OFFSET(AF112,ROW(AF$2)-ROW(AF112),0)="TT","TT",IF(OFFSET(AF112,0,COLUMN($M112)-COLUMN(AF112))="%",ROUND((OFFSET(AF112,-2,0)-OFFSET(AF112,-21,0))*0.07,2),IF(OFFSET(AF112,0,COLUMN($M112)-COLUMN(AF112))="V",ROUND(OFFSET(AF112,0,-2)*OFFSET(AF112,0,-1),2),SUMIF(INDIRECT(ADDRESS(MATCH("START"&amp;OFFSET(AF112,0,COLUMN($B112)-COLUMN(AF112)),$A:$A,0),$C112+COLUMN($E112)+1)&amp;":"&amp;ADDRESS(MATCH("END"&amp;OFFSET(AF112,0,COLUMN($B112)-COLUMN(AF112)),$A:$A,0),$C112+COLUMN($E112)+1),TRUE),INDIRECT(ADDRESS(ROW(AF112),$C112+COLUMN($E112)),TRUE),INDIRECT(ADDRESS(MATCH("START"&amp;OFFSET(AF112,0,COLUMN($B112)-COLUMN(AF112)),$A:$A,0),COLUMN(AF112))&amp;":"&amp;ADDRESS(MATCH("END"&amp;OFFSET(AF112,0,COLUMN($B112)-COLUMN(AF112)),$A:$A,0),COLUMN(AF112)),TRUE)))))</f>
        <v>0</v>
      </c>
      <c r="AG112" s="356">
        <f t="shared" ref="AG112:AG139" ca="1" si="191">IF(OFFSET(AG112,ROW(AG$2)-ROW(AG112),0)="TT",SUMIF(INDIRECT(ADDRESS(2,COLUMN($Q112)+1) &amp; ":" &amp; ADDRESS(2,COLUMN(AG112)-1),TRUE),"TBE",INDIRECT(ADDRESS(ROW(AG112), COLUMN($Q112)+1) &amp; ":" &amp; ADDRESS(ROW(AG112),COLUMN(AG112)-1),TRUE)),IF(OFFSET(AG112,ROW(AG$2)-ROW(AG112),0)="TBE",SUMIF(INDIRECT(ADDRESS(2,MATCH(INT(OFFSET(AG112,ROW(AG$2)-ROW(AG112),-2)),$2:$2,0)) &amp; ":" &amp; ADDRESS(2,COLUMN(AG112)-1),TRUE),"T",INDIRECT(ADDRESS(ROW(AG112), MATCH(INT(OFFSET(AG112,ROW(AG$2)-ROW(AG112),-2)),$2:$2,0)) &amp; ":" &amp; ADDRESS(ROW(AG112),COLUMN(AG112)-1),TRUE)),IF(OFFSET(AG112,0,COLUMN($M112)-COLUMN(AG112))="V",OFFSET(AG112,0,-2)*OFFSET(AG112,0,-1),"TOTAL")))</f>
        <v>0</v>
      </c>
      <c r="AH112" s="353">
        <f ca="1">IF(OFFSET(AH112,ROW(AH$2)-ROW(AH112),0)="TT","TT",IF(OFFSET(AH112,0,COLUMN($M112)-COLUMN(AH112))="%",ROUND(OFFSET(AH112,-2,0)*0.07,0),IF(OFFSET(AH112,0,COLUMN($M112)-COLUMN(AH112))="V","x",SUMIF(INDIRECT(ADDRESS(MATCH("START"&amp;OFFSET(AH112,0,COLUMN($B112)-COLUMN(AH112)),$A:$A,0),$C112+COLUMN($E112)+1)&amp;":"&amp;ADDRESS(MATCH("END"&amp;OFFSET(AH112,0,COLUMN($B112)-COLUMN(AH112)),$A:$A,0),$C112+COLUMN($E112)+1),TRUE),INDIRECT(ADDRESS(ROW(AH112),$C112+COLUMN($E112)),TRUE),INDIRECT(ADDRESS(MATCH("START"&amp;OFFSET(AH112,0,COLUMN($B112)-COLUMN(AH112)),$A:$A,0),COLUMN(AH112))&amp;":"&amp;ADDRESS(MATCH("END"&amp;OFFSET(AH112,0,COLUMN($B112)-COLUMN(AH112)),$A:$A,0),COLUMN(AH112)),TRUE)))))</f>
        <v>0</v>
      </c>
      <c r="AI112" s="354"/>
      <c r="AJ112" s="355">
        <f ca="1">IF(OFFSET(AJ112,ROW(AJ$2)-ROW(AJ112),0)="TT","TT",IF(OFFSET(AJ112,0,COLUMN($M112)-COLUMN(AJ112))="%",ROUND((OFFSET(AJ112,-2,0)-OFFSET(AJ112,-21,0))*0.07,2),IF(OFFSET(AJ112,0,COLUMN($M112)-COLUMN(AJ112))="V",ROUND(OFFSET(AJ112,0,-2)*OFFSET(AJ112,0,-1),2),SUMIF(INDIRECT(ADDRESS(MATCH("START"&amp;OFFSET(AJ112,0,COLUMN($B112)-COLUMN(AJ112)),$A:$A,0),$C112+COLUMN($E112)+1)&amp;":"&amp;ADDRESS(MATCH("END"&amp;OFFSET(AJ112,0,COLUMN($B112)-COLUMN(AJ112)),$A:$A,0),$C112+COLUMN($E112)+1),TRUE),INDIRECT(ADDRESS(ROW(AJ112),$C112+COLUMN($E112)),TRUE),INDIRECT(ADDRESS(MATCH("START"&amp;OFFSET(AJ112,0,COLUMN($B112)-COLUMN(AJ112)),$A:$A,0),COLUMN(AJ112))&amp;":"&amp;ADDRESS(MATCH("END"&amp;OFFSET(AJ112,0,COLUMN($B112)-COLUMN(AJ112)),$A:$A,0),COLUMN(AJ112)),TRUE)))))</f>
        <v>0</v>
      </c>
      <c r="AK112" s="356">
        <f t="shared" ref="AK112:AK139" ca="1" si="192">IF(OFFSET(AK112,ROW(AK$2)-ROW(AK112),0)="TT",SUMIF(INDIRECT(ADDRESS(2,COLUMN($Q112)+1) &amp; ":" &amp; ADDRESS(2,COLUMN(AK112)-1),TRUE),"TBE",INDIRECT(ADDRESS(ROW(AK112), COLUMN($Q112)+1) &amp; ":" &amp; ADDRESS(ROW(AK112),COLUMN(AK112)-1),TRUE)),IF(OFFSET(AK112,ROW(AK$2)-ROW(AK112),0)="TBE",SUMIF(INDIRECT(ADDRESS(2,MATCH(INT(OFFSET(AK112,ROW(AK$2)-ROW(AK112),-2)),$2:$2,0)) &amp; ":" &amp; ADDRESS(2,COLUMN(AK112)-1),TRUE),"T",INDIRECT(ADDRESS(ROW(AK112), MATCH(INT(OFFSET(AK112,ROW(AK$2)-ROW(AK112),-2)),$2:$2,0)) &amp; ":" &amp; ADDRESS(ROW(AK112),COLUMN(AK112)-1),TRUE)),IF(OFFSET(AK112,0,COLUMN($M112)-COLUMN(AK112))="V",OFFSET(AK112,0,-2)*OFFSET(AK112,0,-1),"TOTAL")))</f>
        <v>0</v>
      </c>
      <c r="AL112" s="353">
        <f ca="1">IF(OFFSET(AL112,ROW(AL$2)-ROW(AL112),0)="TT","TT",IF(OFFSET(AL112,0,COLUMN($M112)-COLUMN(AL112))="%",ROUND(OFFSET(AL112,-2,0)*0.07,0),IF(OFFSET(AL112,0,COLUMN($M112)-COLUMN(AL112))="V","x",SUMIF(INDIRECT(ADDRESS(MATCH("START"&amp;OFFSET(AL112,0,COLUMN($B112)-COLUMN(AL112)),$A:$A,0),$C112+COLUMN($E112)+1)&amp;":"&amp;ADDRESS(MATCH("END"&amp;OFFSET(AL112,0,COLUMN($B112)-COLUMN(AL112)),$A:$A,0),$C112+COLUMN($E112)+1),TRUE),INDIRECT(ADDRESS(ROW(AL112),$C112+COLUMN($E112)),TRUE),INDIRECT(ADDRESS(MATCH("START"&amp;OFFSET(AL112,0,COLUMN($B112)-COLUMN(AL112)),$A:$A,0),COLUMN(AL112))&amp;":"&amp;ADDRESS(MATCH("END"&amp;OFFSET(AL112,0,COLUMN($B112)-COLUMN(AL112)),$A:$A,0),COLUMN(AL112)),TRUE)))))</f>
        <v>0</v>
      </c>
      <c r="AM112" s="354"/>
      <c r="AN112" s="355">
        <f ca="1">IF(OFFSET(AN112,ROW(AN$2)-ROW(AN112),0)="TT","TT",IF(OFFSET(AN112,0,COLUMN($M112)-COLUMN(AN112))="%",ROUND((OFFSET(AN112,-2,0)-OFFSET(AN112,-21,0))*0.07,2),IF(OFFSET(AN112,0,COLUMN($M112)-COLUMN(AN112))="V",ROUND(OFFSET(AN112,0,-2)*OFFSET(AN112,0,-1),2),SUMIF(INDIRECT(ADDRESS(MATCH("START"&amp;OFFSET(AN112,0,COLUMN($B112)-COLUMN(AN112)),$A:$A,0),$C112+COLUMN($E112)+1)&amp;":"&amp;ADDRESS(MATCH("END"&amp;OFFSET(AN112,0,COLUMN($B112)-COLUMN(AN112)),$A:$A,0),$C112+COLUMN($E112)+1),TRUE),INDIRECT(ADDRESS(ROW(AN112),$C112+COLUMN($E112)),TRUE),INDIRECT(ADDRESS(MATCH("START"&amp;OFFSET(AN112,0,COLUMN($B112)-COLUMN(AN112)),$A:$A,0),COLUMN(AN112))&amp;":"&amp;ADDRESS(MATCH("END"&amp;OFFSET(AN112,0,COLUMN($B112)-COLUMN(AN112)),$A:$A,0),COLUMN(AN112)),TRUE)))))</f>
        <v>0</v>
      </c>
      <c r="AO112" s="356">
        <f t="shared" ref="AO112:AO139" ca="1" si="193">IF(OFFSET(AO112,ROW(AO$2)-ROW(AO112),0)="TT",SUMIF(INDIRECT(ADDRESS(2,COLUMN($Q112)+1) &amp; ":" &amp; ADDRESS(2,COLUMN(AO112)-1),TRUE),"TBE",INDIRECT(ADDRESS(ROW(AO112), COLUMN($Q112)+1) &amp; ":" &amp; ADDRESS(ROW(AO112),COLUMN(AO112)-1),TRUE)),IF(OFFSET(AO112,ROW(AO$2)-ROW(AO112),0)="TBE",SUMIF(INDIRECT(ADDRESS(2,MATCH(INT(OFFSET(AO112,ROW(AO$2)-ROW(AO112),-2)),$2:$2,0)) &amp; ":" &amp; ADDRESS(2,COLUMN(AO112)-1),TRUE),"T",INDIRECT(ADDRESS(ROW(AO112), MATCH(INT(OFFSET(AO112,ROW(AO$2)-ROW(AO112),-2)),$2:$2,0)) &amp; ":" &amp; ADDRESS(ROW(AO112),COLUMN(AO112)-1),TRUE)),IF(OFFSET(AO112,0,COLUMN($M112)-COLUMN(AO112))="V",OFFSET(AO112,0,-2)*OFFSET(AO112,0,-1),"TOTAL")))</f>
        <v>0</v>
      </c>
      <c r="AP112" s="353">
        <f ca="1">IF(OFFSET(AP112,ROW(AP$2)-ROW(AP112),0)="TT","TT",IF(OFFSET(AP112,0,COLUMN($M112)-COLUMN(AP112))="%",ROUND(OFFSET(AP112,-2,0)*0.07,0),IF(OFFSET(AP112,0,COLUMN($M112)-COLUMN(AP112))="V","x",SUMIF(INDIRECT(ADDRESS(MATCH("START"&amp;OFFSET(AP112,0,COLUMN($B112)-COLUMN(AP112)),$A:$A,0),$C112+COLUMN($E112)+1)&amp;":"&amp;ADDRESS(MATCH("END"&amp;OFFSET(AP112,0,COLUMN($B112)-COLUMN(AP112)),$A:$A,0),$C112+COLUMN($E112)+1),TRUE),INDIRECT(ADDRESS(ROW(AP112),$C112+COLUMN($E112)),TRUE),INDIRECT(ADDRESS(MATCH("START"&amp;OFFSET(AP112,0,COLUMN($B112)-COLUMN(AP112)),$A:$A,0),COLUMN(AP112))&amp;":"&amp;ADDRESS(MATCH("END"&amp;OFFSET(AP112,0,COLUMN($B112)-COLUMN(AP112)),$A:$A,0),COLUMN(AP112)),TRUE)))))</f>
        <v>0</v>
      </c>
      <c r="AQ112" s="354"/>
      <c r="AR112" s="355">
        <f ca="1">IF(OFFSET(AR112,ROW(AR$2)-ROW(AR112),0)="TT","TT",IF(OFFSET(AR112,0,COLUMN($M112)-COLUMN(AR112))="%",ROUND((OFFSET(AR112,-2,0)-OFFSET(AR112,-21,0))*0.07,2),IF(OFFSET(AR112,0,COLUMN($M112)-COLUMN(AR112))="V",ROUND(OFFSET(AR112,0,-2)*OFFSET(AR112,0,-1),2),SUMIF(INDIRECT(ADDRESS(MATCH("START"&amp;OFFSET(AR112,0,COLUMN($B112)-COLUMN(AR112)),$A:$A,0),$C112+COLUMN($E112)+1)&amp;":"&amp;ADDRESS(MATCH("END"&amp;OFFSET(AR112,0,COLUMN($B112)-COLUMN(AR112)),$A:$A,0),$C112+COLUMN($E112)+1),TRUE),INDIRECT(ADDRESS(ROW(AR112),$C112+COLUMN($E112)),TRUE),INDIRECT(ADDRESS(MATCH("START"&amp;OFFSET(AR112,0,COLUMN($B112)-COLUMN(AR112)),$A:$A,0),COLUMN(AR112))&amp;":"&amp;ADDRESS(MATCH("END"&amp;OFFSET(AR112,0,COLUMN($B112)-COLUMN(AR112)),$A:$A,0),COLUMN(AR112)),TRUE)))))</f>
        <v>0</v>
      </c>
      <c r="AS112" s="356">
        <f t="shared" ref="AS112:AS139" ca="1" si="194">IF(OFFSET(AS112,ROW(AS$2)-ROW(AS112),0)="TT",SUMIF(INDIRECT(ADDRESS(2,COLUMN($Q112)+1) &amp; ":" &amp; ADDRESS(2,COLUMN(AS112)-1),TRUE),"TBE",INDIRECT(ADDRESS(ROW(AS112), COLUMN($Q112)+1) &amp; ":" &amp; ADDRESS(ROW(AS112),COLUMN(AS112)-1),TRUE)),IF(OFFSET(AS112,ROW(AS$2)-ROW(AS112),0)="TBE",SUMIF(INDIRECT(ADDRESS(2,MATCH(INT(OFFSET(AS112,ROW(AS$2)-ROW(AS112),-2)),$2:$2,0)) &amp; ":" &amp; ADDRESS(2,COLUMN(AS112)-1),TRUE),"T",INDIRECT(ADDRESS(ROW(AS112), MATCH(INT(OFFSET(AS112,ROW(AS$2)-ROW(AS112),-2)),$2:$2,0)) &amp; ":" &amp; ADDRESS(ROW(AS112),COLUMN(AS112)-1),TRUE)),IF(OFFSET(AS112,0,COLUMN($M112)-COLUMN(AS112))="V",OFFSET(AS112,0,-2)*OFFSET(AS112,0,-1),"TOTAL")))</f>
        <v>0</v>
      </c>
      <c r="AT112" s="353">
        <f ca="1">IF(OFFSET(AT112,ROW(AT$2)-ROW(AT112),0)="TT","TT",IF(OFFSET(AT112,0,COLUMN($M112)-COLUMN(AT112))="%",ROUND(OFFSET(AT112,-2,0)*0.07,0),IF(OFFSET(AT112,0,COLUMN($M112)-COLUMN(AT112))="V","x",SUMIF(INDIRECT(ADDRESS(MATCH("START"&amp;OFFSET(AT112,0,COLUMN($B112)-COLUMN(AT112)),$A:$A,0),$C112+COLUMN($E112)+1)&amp;":"&amp;ADDRESS(MATCH("END"&amp;OFFSET(AT112,0,COLUMN($B112)-COLUMN(AT112)),$A:$A,0),$C112+COLUMN($E112)+1),TRUE),INDIRECT(ADDRESS(ROW(AT112),$C112+COLUMN($E112)),TRUE),INDIRECT(ADDRESS(MATCH("START"&amp;OFFSET(AT112,0,COLUMN($B112)-COLUMN(AT112)),$A:$A,0),COLUMN(AT112))&amp;":"&amp;ADDRESS(MATCH("END"&amp;OFFSET(AT112,0,COLUMN($B112)-COLUMN(AT112)),$A:$A,0),COLUMN(AT112)),TRUE)))))</f>
        <v>0</v>
      </c>
      <c r="AU112" s="354"/>
      <c r="AV112" s="355">
        <f ca="1">IF(OFFSET(AV112,ROW(AV$2)-ROW(AV112),0)="TT","TT",IF(OFFSET(AV112,0,COLUMN($M112)-COLUMN(AV112))="%",ROUND((OFFSET(AV112,-2,0)-OFFSET(AV112,-21,0))*0.07,2),IF(OFFSET(AV112,0,COLUMN($M112)-COLUMN(AV112))="V",ROUND(OFFSET(AV112,0,-2)*OFFSET(AV112,0,-1),2),SUMIF(INDIRECT(ADDRESS(MATCH("START"&amp;OFFSET(AV112,0,COLUMN($B112)-COLUMN(AV112)),$A:$A,0),$C112+COLUMN($E112)+1)&amp;":"&amp;ADDRESS(MATCH("END"&amp;OFFSET(AV112,0,COLUMN($B112)-COLUMN(AV112)),$A:$A,0),$C112+COLUMN($E112)+1),TRUE),INDIRECT(ADDRESS(ROW(AV112),$C112+COLUMN($E112)),TRUE),INDIRECT(ADDRESS(MATCH("START"&amp;OFFSET(AV112,0,COLUMN($B112)-COLUMN(AV112)),$A:$A,0),COLUMN(AV112))&amp;":"&amp;ADDRESS(MATCH("END"&amp;OFFSET(AV112,0,COLUMN($B112)-COLUMN(AV112)),$A:$A,0),COLUMN(AV112)),TRUE)))))</f>
        <v>0</v>
      </c>
      <c r="AW112" s="356">
        <f t="shared" ref="AW112:AW139" ca="1" si="195">IF(OFFSET(AW112,ROW(AW$2)-ROW(AW112),0)="TT",SUMIF(INDIRECT(ADDRESS(2,COLUMN($Q112)+1) &amp; ":" &amp; ADDRESS(2,COLUMN(AW112)-1),TRUE),"TBE",INDIRECT(ADDRESS(ROW(AW112), COLUMN($Q112)+1) &amp; ":" &amp; ADDRESS(ROW(AW112),COLUMN(AW112)-1),TRUE)),IF(OFFSET(AW112,ROW(AW$2)-ROW(AW112),0)="TBE",SUMIF(INDIRECT(ADDRESS(2,MATCH(INT(OFFSET(AW112,ROW(AW$2)-ROW(AW112),-2)),$2:$2,0)) &amp; ":" &amp; ADDRESS(2,COLUMN(AW112)-1),TRUE),"T",INDIRECT(ADDRESS(ROW(AW112), MATCH(INT(OFFSET(AW112,ROW(AW$2)-ROW(AW112),-2)),$2:$2,0)) &amp; ":" &amp; ADDRESS(ROW(AW112),COLUMN(AW112)-1),TRUE)),IF(OFFSET(AW112,0,COLUMN($M112)-COLUMN(AW112))="V",OFFSET(AW112,0,-2)*OFFSET(AW112,0,-1),"TOTAL")))</f>
        <v>0</v>
      </c>
      <c r="AX112" s="353">
        <f ca="1">IF(OFFSET(AX112,ROW(AX$2)-ROW(AX112),0)="TT","TT",IF(OFFSET(AX112,0,COLUMN($M112)-COLUMN(AX112))="%",ROUND(OFFSET(AX112,-2,0)*0.07,0),IF(OFFSET(AX112,0,COLUMN($M112)-COLUMN(AX112))="V","x",SUMIF(INDIRECT(ADDRESS(MATCH("START"&amp;OFFSET(AX112,0,COLUMN($B112)-COLUMN(AX112)),$A:$A,0),$C112+COLUMN($E112)+1)&amp;":"&amp;ADDRESS(MATCH("END"&amp;OFFSET(AX112,0,COLUMN($B112)-COLUMN(AX112)),$A:$A,0),$C112+COLUMN($E112)+1),TRUE),INDIRECT(ADDRESS(ROW(AX112),$C112+COLUMN($E112)),TRUE),INDIRECT(ADDRESS(MATCH("START"&amp;OFFSET(AX112,0,COLUMN($B112)-COLUMN(AX112)),$A:$A,0),COLUMN(AX112))&amp;":"&amp;ADDRESS(MATCH("END"&amp;OFFSET(AX112,0,COLUMN($B112)-COLUMN(AX112)),$A:$A,0),COLUMN(AX112)),TRUE)))))</f>
        <v>0</v>
      </c>
      <c r="AY112" s="354"/>
      <c r="AZ112" s="355">
        <f ca="1">IF(OFFSET(AZ112,ROW(AZ$2)-ROW(AZ112),0)="TT","TT",IF(OFFSET(AZ112,0,COLUMN($M112)-COLUMN(AZ112))="%",ROUND((OFFSET(AZ112,-2,0)-OFFSET(AZ112,-21,0))*0.07,2),IF(OFFSET(AZ112,0,COLUMN($M112)-COLUMN(AZ112))="V",ROUND(OFFSET(AZ112,0,-2)*OFFSET(AZ112,0,-1),2),SUMIF(INDIRECT(ADDRESS(MATCH("START"&amp;OFFSET(AZ112,0,COLUMN($B112)-COLUMN(AZ112)),$A:$A,0),$C112+COLUMN($E112)+1)&amp;":"&amp;ADDRESS(MATCH("END"&amp;OFFSET(AZ112,0,COLUMN($B112)-COLUMN(AZ112)),$A:$A,0),$C112+COLUMN($E112)+1),TRUE),INDIRECT(ADDRESS(ROW(AZ112),$C112+COLUMN($E112)),TRUE),INDIRECT(ADDRESS(MATCH("START"&amp;OFFSET(AZ112,0,COLUMN($B112)-COLUMN(AZ112)),$A:$A,0),COLUMN(AZ112))&amp;":"&amp;ADDRESS(MATCH("END"&amp;OFFSET(AZ112,0,COLUMN($B112)-COLUMN(AZ112)),$A:$A,0),COLUMN(AZ112)),TRUE)))))</f>
        <v>0</v>
      </c>
      <c r="BA112" s="356">
        <f t="shared" ref="BA112:BA139" ca="1" si="196">IF(OFFSET(BA112,ROW(BA$2)-ROW(BA112),0)="TT",SUMIF(INDIRECT(ADDRESS(2,COLUMN($Q112)+1) &amp; ":" &amp; ADDRESS(2,COLUMN(BA112)-1),TRUE),"TBE",INDIRECT(ADDRESS(ROW(BA112), COLUMN($Q112)+1) &amp; ":" &amp; ADDRESS(ROW(BA112),COLUMN(BA112)-1),TRUE)),IF(OFFSET(BA112,ROW(BA$2)-ROW(BA112),0)="TBE",SUMIF(INDIRECT(ADDRESS(2,MATCH(INT(OFFSET(BA112,ROW(BA$2)-ROW(BA112),-2)),$2:$2,0)) &amp; ":" &amp; ADDRESS(2,COLUMN(BA112)-1),TRUE),"T",INDIRECT(ADDRESS(ROW(BA112), MATCH(INT(OFFSET(BA112,ROW(BA$2)-ROW(BA112),-2)),$2:$2,0)) &amp; ":" &amp; ADDRESS(ROW(BA112),COLUMN(BA112)-1),TRUE)),IF(OFFSET(BA112,0,COLUMN($M112)-COLUMN(BA112))="V",OFFSET(BA112,0,-2)*OFFSET(BA112,0,-1),"TOTAL")))</f>
        <v>0</v>
      </c>
      <c r="BB112" s="353">
        <f ca="1">IF(OFFSET(BB112,ROW(BB$2)-ROW(BB112),0)="TT","TT",IF(OFFSET(BB112,0,COLUMN($M112)-COLUMN(BB112))="%",ROUND(OFFSET(BB112,-2,0)*0.07,0),IF(OFFSET(BB112,0,COLUMN($M112)-COLUMN(BB112))="V","x",SUMIF(INDIRECT(ADDRESS(MATCH("START"&amp;OFFSET(BB112,0,COLUMN($B112)-COLUMN(BB112)),$A:$A,0),$C112+COLUMN($E112)+1)&amp;":"&amp;ADDRESS(MATCH("END"&amp;OFFSET(BB112,0,COLUMN($B112)-COLUMN(BB112)),$A:$A,0),$C112+COLUMN($E112)+1),TRUE),INDIRECT(ADDRESS(ROW(BB112),$C112+COLUMN($E112)),TRUE),INDIRECT(ADDRESS(MATCH("START"&amp;OFFSET(BB112,0,COLUMN($B112)-COLUMN(BB112)),$A:$A,0),COLUMN(BB112))&amp;":"&amp;ADDRESS(MATCH("END"&amp;OFFSET(BB112,0,COLUMN($B112)-COLUMN(BB112)),$A:$A,0),COLUMN(BB112)),TRUE)))))</f>
        <v>0</v>
      </c>
      <c r="BC112" s="354"/>
      <c r="BD112" s="355">
        <f ca="1">IF(OFFSET(BD112,ROW(BD$2)-ROW(BD112),0)="TT","TT",IF(OFFSET(BD112,0,COLUMN($M112)-COLUMN(BD112))="%",ROUND((OFFSET(BD112,-2,0)-OFFSET(BD112,-21,0))*0.07,2),IF(OFFSET(BD112,0,COLUMN($M112)-COLUMN(BD112))="V",ROUND(OFFSET(BD112,0,-2)*OFFSET(BD112,0,-1),2),SUMIF(INDIRECT(ADDRESS(MATCH("START"&amp;OFFSET(BD112,0,COLUMN($B112)-COLUMN(BD112)),$A:$A,0),$C112+COLUMN($E112)+1)&amp;":"&amp;ADDRESS(MATCH("END"&amp;OFFSET(BD112,0,COLUMN($B112)-COLUMN(BD112)),$A:$A,0),$C112+COLUMN($E112)+1),TRUE),INDIRECT(ADDRESS(ROW(BD112),$C112+COLUMN($E112)),TRUE),INDIRECT(ADDRESS(MATCH("START"&amp;OFFSET(BD112,0,COLUMN($B112)-COLUMN(BD112)),$A:$A,0),COLUMN(BD112))&amp;":"&amp;ADDRESS(MATCH("END"&amp;OFFSET(BD112,0,COLUMN($B112)-COLUMN(BD112)),$A:$A,0),COLUMN(BD112)),TRUE)))))</f>
        <v>0</v>
      </c>
      <c r="BE112" s="356">
        <f t="shared" ref="BE112:BE139" ca="1" si="197">IF(OFFSET(BE112,ROW(BE$2)-ROW(BE112),0)="TT",SUMIF(INDIRECT(ADDRESS(2,COLUMN($Q112)+1) &amp; ":" &amp; ADDRESS(2,COLUMN(BE112)-1),TRUE),"TBE",INDIRECT(ADDRESS(ROW(BE112), COLUMN($Q112)+1) &amp; ":" &amp; ADDRESS(ROW(BE112),COLUMN(BE112)-1),TRUE)),IF(OFFSET(BE112,ROW(BE$2)-ROW(BE112),0)="TBE",SUMIF(INDIRECT(ADDRESS(2,MATCH(INT(OFFSET(BE112,ROW(BE$2)-ROW(BE112),-2)),$2:$2,0)) &amp; ":" &amp; ADDRESS(2,COLUMN(BE112)-1),TRUE),"T",INDIRECT(ADDRESS(ROW(BE112), MATCH(INT(OFFSET(BE112,ROW(BE$2)-ROW(BE112),-2)),$2:$2,0)) &amp; ":" &amp; ADDRESS(ROW(BE112),COLUMN(BE112)-1),TRUE)),IF(OFFSET(BE112,0,COLUMN($M112)-COLUMN(BE112))="V",OFFSET(BE112,0,-2)*OFFSET(BE112,0,-1),"TOTAL")))</f>
        <v>0</v>
      </c>
      <c r="BF112" s="353">
        <f ca="1">IF(OFFSET(BF112,ROW(BF$2)-ROW(BF112),0)="TT","TT",IF(OFFSET(BF112,0,COLUMN($M112)-COLUMN(BF112))="%",ROUND(OFFSET(BF112,-2,0)*0.07,0),IF(OFFSET(BF112,0,COLUMN($M112)-COLUMN(BF112))="V","x",SUMIF(INDIRECT(ADDRESS(MATCH("START"&amp;OFFSET(BF112,0,COLUMN($B112)-COLUMN(BF112)),$A:$A,0),$C112+COLUMN($E112)+1)&amp;":"&amp;ADDRESS(MATCH("END"&amp;OFFSET(BF112,0,COLUMN($B112)-COLUMN(BF112)),$A:$A,0),$C112+COLUMN($E112)+1),TRUE),INDIRECT(ADDRESS(ROW(BF112),$C112+COLUMN($E112)),TRUE),INDIRECT(ADDRESS(MATCH("START"&amp;OFFSET(BF112,0,COLUMN($B112)-COLUMN(BF112)),$A:$A,0),COLUMN(BF112))&amp;":"&amp;ADDRESS(MATCH("END"&amp;OFFSET(BF112,0,COLUMN($B112)-COLUMN(BF112)),$A:$A,0),COLUMN(BF112)),TRUE)))))</f>
        <v>0</v>
      </c>
      <c r="BG112" s="354"/>
      <c r="BH112" s="355">
        <f ca="1">IF(OFFSET(BH112,ROW(BH$2)-ROW(BH112),0)="TT","TT",IF(OFFSET(BH112,0,COLUMN($M112)-COLUMN(BH112))="%",ROUND((OFFSET(BH112,-2,0)-OFFSET(BH112,-21,0))*0.07,2),IF(OFFSET(BH112,0,COLUMN($M112)-COLUMN(BH112))="V",ROUND(OFFSET(BH112,0,-2)*OFFSET(BH112,0,-1),2),SUMIF(INDIRECT(ADDRESS(MATCH("START"&amp;OFFSET(BH112,0,COLUMN($B112)-COLUMN(BH112)),$A:$A,0),$C112+COLUMN($E112)+1)&amp;":"&amp;ADDRESS(MATCH("END"&amp;OFFSET(BH112,0,COLUMN($B112)-COLUMN(BH112)),$A:$A,0),$C112+COLUMN($E112)+1),TRUE),INDIRECT(ADDRESS(ROW(BH112),$C112+COLUMN($E112)),TRUE),INDIRECT(ADDRESS(MATCH("START"&amp;OFFSET(BH112,0,COLUMN($B112)-COLUMN(BH112)),$A:$A,0),COLUMN(BH112))&amp;":"&amp;ADDRESS(MATCH("END"&amp;OFFSET(BH112,0,COLUMN($B112)-COLUMN(BH112)),$A:$A,0),COLUMN(BH112)),TRUE)))))</f>
        <v>0</v>
      </c>
      <c r="BI112" s="356">
        <f t="shared" ref="BI112:BI139" ca="1" si="198">IF(OFFSET(BI112,ROW(BI$2)-ROW(BI112),0)="TT",SUMIF(INDIRECT(ADDRESS(2,COLUMN($Q112)+1) &amp; ":" &amp; ADDRESS(2,COLUMN(BI112)-1),TRUE),"TBE",INDIRECT(ADDRESS(ROW(BI112), COLUMN($Q112)+1) &amp; ":" &amp; ADDRESS(ROW(BI112),COLUMN(BI112)-1),TRUE)),IF(OFFSET(BI112,ROW(BI$2)-ROW(BI112),0)="TBE",SUMIF(INDIRECT(ADDRESS(2,MATCH(INT(OFFSET(BI112,ROW(BI$2)-ROW(BI112),-2)),$2:$2,0)) &amp; ":" &amp; ADDRESS(2,COLUMN(BI112)-1),TRUE),"T",INDIRECT(ADDRESS(ROW(BI112), MATCH(INT(OFFSET(BI112,ROW(BI$2)-ROW(BI112),-2)),$2:$2,0)) &amp; ":" &amp; ADDRESS(ROW(BI112),COLUMN(BI112)-1),TRUE)),IF(OFFSET(BI112,0,COLUMN($M112)-COLUMN(BI112))="V",OFFSET(BI112,0,-2)*OFFSET(BI112,0,-1),"TOTAL")))</f>
        <v>0</v>
      </c>
      <c r="BJ112" s="353">
        <f ca="1">IF(OFFSET(BJ112,ROW(BJ$2)-ROW(BJ112),0)="TT","TT",IF(OFFSET(BJ112,0,COLUMN($M112)-COLUMN(BJ112))="%",ROUND(OFFSET(BJ112,-2,0)*0.07,0),IF(OFFSET(BJ112,0,COLUMN($M112)-COLUMN(BJ112))="V","x",SUMIF(INDIRECT(ADDRESS(MATCH("START"&amp;OFFSET(BJ112,0,COLUMN($B112)-COLUMN(BJ112)),$A:$A,0),$C112+COLUMN($E112)+1)&amp;":"&amp;ADDRESS(MATCH("END"&amp;OFFSET(BJ112,0,COLUMN($B112)-COLUMN(BJ112)),$A:$A,0),$C112+COLUMN($E112)+1),TRUE),INDIRECT(ADDRESS(ROW(BJ112),$C112+COLUMN($E112)),TRUE),INDIRECT(ADDRESS(MATCH("START"&amp;OFFSET(BJ112,0,COLUMN($B112)-COLUMN(BJ112)),$A:$A,0),COLUMN(BJ112))&amp;":"&amp;ADDRESS(MATCH("END"&amp;OFFSET(BJ112,0,COLUMN($B112)-COLUMN(BJ112)),$A:$A,0),COLUMN(BJ112)),TRUE)))))</f>
        <v>0</v>
      </c>
      <c r="BK112" s="354"/>
      <c r="BL112" s="355">
        <f ca="1">IF(OFFSET(BL112,ROW(BL$2)-ROW(BL112),0)="TT","TT",IF(OFFSET(BL112,0,COLUMN($M112)-COLUMN(BL112))="%",ROUND((OFFSET(BL112,-2,0)-OFFSET(BL112,-21,0))*0.07,2),IF(OFFSET(BL112,0,COLUMN($M112)-COLUMN(BL112))="V",ROUND(OFFSET(BL112,0,-2)*OFFSET(BL112,0,-1),2),SUMIF(INDIRECT(ADDRESS(MATCH("START"&amp;OFFSET(BL112,0,COLUMN($B112)-COLUMN(BL112)),$A:$A,0),$C112+COLUMN($E112)+1)&amp;":"&amp;ADDRESS(MATCH("END"&amp;OFFSET(BL112,0,COLUMN($B112)-COLUMN(BL112)),$A:$A,0),$C112+COLUMN($E112)+1),TRUE),INDIRECT(ADDRESS(ROW(BL112),$C112+COLUMN($E112)),TRUE),INDIRECT(ADDRESS(MATCH("START"&amp;OFFSET(BL112,0,COLUMN($B112)-COLUMN(BL112)),$A:$A,0),COLUMN(BL112))&amp;":"&amp;ADDRESS(MATCH("END"&amp;OFFSET(BL112,0,COLUMN($B112)-COLUMN(BL112)),$A:$A,0),COLUMN(BL112)),TRUE)))))</f>
        <v>0</v>
      </c>
      <c r="BM112" s="356">
        <f t="shared" ref="BM112:BN139" ca="1" si="199">IF(OFFSET(BM112,ROW(BM$2)-ROW(BM112),0)="TT",SUMIF(INDIRECT(ADDRESS(2,COLUMN($Q112)+1) &amp; ":" &amp; ADDRESS(2,COLUMN(BM112)-1),TRUE),"TBE",INDIRECT(ADDRESS(ROW(BM112), COLUMN($Q112)+1) &amp; ":" &amp; ADDRESS(ROW(BM112),COLUMN(BM112)-1),TRUE)),IF(OFFSET(BM112,ROW(BM$2)-ROW(BM112),0)="TBE",SUMIF(INDIRECT(ADDRESS(2,MATCH(INT(OFFSET(BM112,ROW(BM$2)-ROW(BM112),-2)),$2:$2,0)) &amp; ":" &amp; ADDRESS(2,COLUMN(BM112)-1),TRUE),"T",INDIRECT(ADDRESS(ROW(BM112), MATCH(INT(OFFSET(BM112,ROW(BM$2)-ROW(BM112),-2)),$2:$2,0)) &amp; ":" &amp; ADDRESS(ROW(BM112),COLUMN(BM112)-1),TRUE)),IF(OFFSET(BM112,0,COLUMN($M112)-COLUMN(BM112))="V",OFFSET(BM112,0,-2)*OFFSET(BM112,0,-1),"TOTAL")))</f>
        <v>0</v>
      </c>
      <c r="BN112" s="356">
        <f t="shared" ca="1" si="199"/>
        <v>0</v>
      </c>
    </row>
    <row r="113" spans="1:68">
      <c r="A113" s="221" t="str">
        <f t="shared" ca="1" si="186"/>
        <v>WP004</v>
      </c>
      <c r="B113" s="221" t="str">
        <f t="shared" ca="1" si="187"/>
        <v>WP004</v>
      </c>
      <c r="C113" s="221">
        <v>6</v>
      </c>
      <c r="D113" s="221" t="s">
        <v>76</v>
      </c>
      <c r="J113" s="222" t="s">
        <v>75</v>
      </c>
      <c r="K113" s="221" t="s">
        <v>77</v>
      </c>
      <c r="M113" s="221" t="s">
        <v>46</v>
      </c>
      <c r="N113" s="461"/>
      <c r="O113" s="245"/>
      <c r="P113" s="464" t="s">
        <v>78</v>
      </c>
      <c r="Q113" s="465"/>
      <c r="R113" s="357">
        <f ca="1">IF(OFFSET(R113,ROW(R$2)-ROW(R113),0)="TT","TT",IF(OFFSET(R113,0,COLUMN($M113)-COLUMN(R113))="%",ROUND(OFFSET(R113,-2,0)*0.07,0),IF(OFFSET(R113,0,COLUMN($M113)-COLUMN(R113))="V","x",SUMIF(INDIRECT(ADDRESS(MATCH("START"&amp;OFFSET(R113,0,COLUMN($B113)-COLUMN(R113)),$A:$A,0),$C113+COLUMN($E113)+1)&amp;":"&amp;ADDRESS(MATCH("END"&amp;OFFSET(R113,0,COLUMN($B113)-COLUMN(R113)),$A:$A,0),$C113+COLUMN($E113)+1),TRUE),INDIRECT(ADDRESS(ROW(R113),$C113+COLUMN($E113)),TRUE),INDIRECT(ADDRESS(MATCH("START"&amp;OFFSET(R113,0,COLUMN($B113)-COLUMN(R113)),$A:$A,0),COLUMN(R113))&amp;":"&amp;ADDRESS(MATCH("END"&amp;OFFSET(R113,0,COLUMN($B113)-COLUMN(R113)),$A:$A,0),COLUMN(R113)),TRUE)))))</f>
        <v>0</v>
      </c>
      <c r="S113" s="358"/>
      <c r="T113" s="359">
        <f t="shared" ref="T113:T143" ca="1" si="200">IF(OFFSET(T113,ROW(T$2)-ROW(T113),0)="TT","TT",IF(OFFSET(T113,0,COLUMN($M113)-COLUMN(T113))="%",ROUND((OFFSET(T113,-2,0)-OFFSET(T113,-21,0))*0.07,2),IF(OFFSET(T113,0,COLUMN($M113)-COLUMN(T113))="V",ROUND(OFFSET(T113,0,-2)*OFFSET(T113,0,-1),2),SUMIF(INDIRECT(ADDRESS(MATCH("START"&amp;OFFSET(T113,0,COLUMN($B113)-COLUMN(T113)),$A:$A,0),$C113+COLUMN($E113)+1)&amp;":"&amp;ADDRESS(MATCH("END"&amp;OFFSET(T113,0,COLUMN($B113)-COLUMN(T113)),$A:$A,0),$C113+COLUMN($E113)+1),TRUE),INDIRECT(ADDRESS(ROW(T113),$C113+COLUMN($E113)),TRUE),INDIRECT(ADDRESS(MATCH("START"&amp;OFFSET(T113,0,COLUMN($B113)-COLUMN(T113)),$A:$A,0),COLUMN(T113))&amp;":"&amp;ADDRESS(MATCH("END"&amp;OFFSET(T113,0,COLUMN($B113)-COLUMN(T113)),$A:$A,0),COLUMN(T113)),TRUE)))))</f>
        <v>0</v>
      </c>
      <c r="U113" s="360">
        <f t="shared" ca="1" si="188"/>
        <v>0</v>
      </c>
      <c r="V113" s="357">
        <f ca="1">IF(OFFSET(V113,ROW(V$2)-ROW(V113),0)="TT","TT",IF(OFFSET(V113,0,COLUMN($M113)-COLUMN(V113))="%",ROUND(OFFSET(V113,-2,0)*0.07,0),IF(OFFSET(V113,0,COLUMN($M113)-COLUMN(V113))="V","x",SUMIF(INDIRECT(ADDRESS(MATCH("START"&amp;OFFSET(V113,0,COLUMN($B113)-COLUMN(V113)),$A:$A,0),$C113+COLUMN($E113)+1)&amp;":"&amp;ADDRESS(MATCH("END"&amp;OFFSET(V113,0,COLUMN($B113)-COLUMN(V113)),$A:$A,0),$C113+COLUMN($E113)+1),TRUE),INDIRECT(ADDRESS(ROW(V113),$C113+COLUMN($E113)),TRUE),INDIRECT(ADDRESS(MATCH("START"&amp;OFFSET(V113,0,COLUMN($B113)-COLUMN(V113)),$A:$A,0),COLUMN(V113))&amp;":"&amp;ADDRESS(MATCH("END"&amp;OFFSET(V113,0,COLUMN($B113)-COLUMN(V113)),$A:$A,0),COLUMN(V113)),TRUE)))))</f>
        <v>0</v>
      </c>
      <c r="W113" s="358"/>
      <c r="X113" s="359">
        <f t="shared" ref="X113:X143" ca="1" si="201">IF(OFFSET(X113,ROW(X$2)-ROW(X113),0)="TT","TT",IF(OFFSET(X113,0,COLUMN($M113)-COLUMN(X113))="%",ROUND((OFFSET(X113,-2,0)-OFFSET(X113,-21,0))*0.07,2),IF(OFFSET(X113,0,COLUMN($M113)-COLUMN(X113))="V",ROUND(OFFSET(X113,0,-2)*OFFSET(X113,0,-1),2),SUMIF(INDIRECT(ADDRESS(MATCH("START"&amp;OFFSET(X113,0,COLUMN($B113)-COLUMN(X113)),$A:$A,0),$C113+COLUMN($E113)+1)&amp;":"&amp;ADDRESS(MATCH("END"&amp;OFFSET(X113,0,COLUMN($B113)-COLUMN(X113)),$A:$A,0),$C113+COLUMN($E113)+1),TRUE),INDIRECT(ADDRESS(ROW(X113),$C113+COLUMN($E113)),TRUE),INDIRECT(ADDRESS(MATCH("START"&amp;OFFSET(X113,0,COLUMN($B113)-COLUMN(X113)),$A:$A,0),COLUMN(X113))&amp;":"&amp;ADDRESS(MATCH("END"&amp;OFFSET(X113,0,COLUMN($B113)-COLUMN(X113)),$A:$A,0),COLUMN(X113)),TRUE)))))</f>
        <v>0</v>
      </c>
      <c r="Y113" s="360">
        <f t="shared" ca="1" si="189"/>
        <v>0</v>
      </c>
      <c r="Z113" s="357">
        <f ca="1">IF(OFFSET(Z113,ROW(Z$2)-ROW(Z113),0)="TT","TT",IF(OFFSET(Z113,0,COLUMN($M113)-COLUMN(Z113))="%",ROUND(OFFSET(Z113,-2,0)*0.07,0),IF(OFFSET(Z113,0,COLUMN($M113)-COLUMN(Z113))="V","x",SUMIF(INDIRECT(ADDRESS(MATCH("START"&amp;OFFSET(Z113,0,COLUMN($B113)-COLUMN(Z113)),$A:$A,0),$C113+COLUMN($E113)+1)&amp;":"&amp;ADDRESS(MATCH("END"&amp;OFFSET(Z113,0,COLUMN($B113)-COLUMN(Z113)),$A:$A,0),$C113+COLUMN($E113)+1),TRUE),INDIRECT(ADDRESS(ROW(Z113),$C113+COLUMN($E113)),TRUE),INDIRECT(ADDRESS(MATCH("START"&amp;OFFSET(Z113,0,COLUMN($B113)-COLUMN(Z113)),$A:$A,0),COLUMN(Z113))&amp;":"&amp;ADDRESS(MATCH("END"&amp;OFFSET(Z113,0,COLUMN($B113)-COLUMN(Z113)),$A:$A,0),COLUMN(Z113)),TRUE)))))</f>
        <v>0</v>
      </c>
      <c r="AA113" s="358"/>
      <c r="AB113" s="359">
        <f t="shared" ref="AB113:AB143" ca="1" si="202">IF(OFFSET(AB113,ROW(AB$2)-ROW(AB113),0)="TT","TT",IF(OFFSET(AB113,0,COLUMN($M113)-COLUMN(AB113))="%",ROUND((OFFSET(AB113,-2,0)-OFFSET(AB113,-21,0))*0.07,2),IF(OFFSET(AB113,0,COLUMN($M113)-COLUMN(AB113))="V",ROUND(OFFSET(AB113,0,-2)*OFFSET(AB113,0,-1),2),SUMIF(INDIRECT(ADDRESS(MATCH("START"&amp;OFFSET(AB113,0,COLUMN($B113)-COLUMN(AB113)),$A:$A,0),$C113+COLUMN($E113)+1)&amp;":"&amp;ADDRESS(MATCH("END"&amp;OFFSET(AB113,0,COLUMN($B113)-COLUMN(AB113)),$A:$A,0),$C113+COLUMN($E113)+1),TRUE),INDIRECT(ADDRESS(ROW(AB113),$C113+COLUMN($E113)),TRUE),INDIRECT(ADDRESS(MATCH("START"&amp;OFFSET(AB113,0,COLUMN($B113)-COLUMN(AB113)),$A:$A,0),COLUMN(AB113))&amp;":"&amp;ADDRESS(MATCH("END"&amp;OFFSET(AB113,0,COLUMN($B113)-COLUMN(AB113)),$A:$A,0),COLUMN(AB113)),TRUE)))))</f>
        <v>0</v>
      </c>
      <c r="AC113" s="360">
        <f t="shared" ca="1" si="190"/>
        <v>0</v>
      </c>
      <c r="AD113" s="357">
        <f ca="1">IF(OFFSET(AD113,ROW(AD$2)-ROW(AD113),0)="TT","TT",IF(OFFSET(AD113,0,COLUMN($M113)-COLUMN(AD113))="%",ROUND(OFFSET(AD113,-2,0)*0.07,0),IF(OFFSET(AD113,0,COLUMN($M113)-COLUMN(AD113))="V","x",SUMIF(INDIRECT(ADDRESS(MATCH("START"&amp;OFFSET(AD113,0,COLUMN($B113)-COLUMN(AD113)),$A:$A,0),$C113+COLUMN($E113)+1)&amp;":"&amp;ADDRESS(MATCH("END"&amp;OFFSET(AD113,0,COLUMN($B113)-COLUMN(AD113)),$A:$A,0),$C113+COLUMN($E113)+1),TRUE),INDIRECT(ADDRESS(ROW(AD113),$C113+COLUMN($E113)),TRUE),INDIRECT(ADDRESS(MATCH("START"&amp;OFFSET(AD113,0,COLUMN($B113)-COLUMN(AD113)),$A:$A,0),COLUMN(AD113))&amp;":"&amp;ADDRESS(MATCH("END"&amp;OFFSET(AD113,0,COLUMN($B113)-COLUMN(AD113)),$A:$A,0),COLUMN(AD113)),TRUE)))))</f>
        <v>0</v>
      </c>
      <c r="AE113" s="358"/>
      <c r="AF113" s="359">
        <f t="shared" ref="AF113:AF143" ca="1" si="203">IF(OFFSET(AF113,ROW(AF$2)-ROW(AF113),0)="TT","TT",IF(OFFSET(AF113,0,COLUMN($M113)-COLUMN(AF113))="%",ROUND((OFFSET(AF113,-2,0)-OFFSET(AF113,-21,0))*0.07,2),IF(OFFSET(AF113,0,COLUMN($M113)-COLUMN(AF113))="V",ROUND(OFFSET(AF113,0,-2)*OFFSET(AF113,0,-1),2),SUMIF(INDIRECT(ADDRESS(MATCH("START"&amp;OFFSET(AF113,0,COLUMN($B113)-COLUMN(AF113)),$A:$A,0),$C113+COLUMN($E113)+1)&amp;":"&amp;ADDRESS(MATCH("END"&amp;OFFSET(AF113,0,COLUMN($B113)-COLUMN(AF113)),$A:$A,0),$C113+COLUMN($E113)+1),TRUE),INDIRECT(ADDRESS(ROW(AF113),$C113+COLUMN($E113)),TRUE),INDIRECT(ADDRESS(MATCH("START"&amp;OFFSET(AF113,0,COLUMN($B113)-COLUMN(AF113)),$A:$A,0),COLUMN(AF113))&amp;":"&amp;ADDRESS(MATCH("END"&amp;OFFSET(AF113,0,COLUMN($B113)-COLUMN(AF113)),$A:$A,0),COLUMN(AF113)),TRUE)))))</f>
        <v>0</v>
      </c>
      <c r="AG113" s="360">
        <f t="shared" ca="1" si="191"/>
        <v>0</v>
      </c>
      <c r="AH113" s="357">
        <f ca="1">IF(OFFSET(AH113,ROW(AH$2)-ROW(AH113),0)="TT","TT",IF(OFFSET(AH113,0,COLUMN($M113)-COLUMN(AH113))="%",ROUND(OFFSET(AH113,-2,0)*0.07,0),IF(OFFSET(AH113,0,COLUMN($M113)-COLUMN(AH113))="V","x",SUMIF(INDIRECT(ADDRESS(MATCH("START"&amp;OFFSET(AH113,0,COLUMN($B113)-COLUMN(AH113)),$A:$A,0),$C113+COLUMN($E113)+1)&amp;":"&amp;ADDRESS(MATCH("END"&amp;OFFSET(AH113,0,COLUMN($B113)-COLUMN(AH113)),$A:$A,0),$C113+COLUMN($E113)+1),TRUE),INDIRECT(ADDRESS(ROW(AH113),$C113+COLUMN($E113)),TRUE),INDIRECT(ADDRESS(MATCH("START"&amp;OFFSET(AH113,0,COLUMN($B113)-COLUMN(AH113)),$A:$A,0),COLUMN(AH113))&amp;":"&amp;ADDRESS(MATCH("END"&amp;OFFSET(AH113,0,COLUMN($B113)-COLUMN(AH113)),$A:$A,0),COLUMN(AH113)),TRUE)))))</f>
        <v>0</v>
      </c>
      <c r="AI113" s="358"/>
      <c r="AJ113" s="359">
        <f t="shared" ref="AJ113:AJ143" ca="1" si="204">IF(OFFSET(AJ113,ROW(AJ$2)-ROW(AJ113),0)="TT","TT",IF(OFFSET(AJ113,0,COLUMN($M113)-COLUMN(AJ113))="%",ROUND((OFFSET(AJ113,-2,0)-OFFSET(AJ113,-21,0))*0.07,2),IF(OFFSET(AJ113,0,COLUMN($M113)-COLUMN(AJ113))="V",ROUND(OFFSET(AJ113,0,-2)*OFFSET(AJ113,0,-1),2),SUMIF(INDIRECT(ADDRESS(MATCH("START"&amp;OFFSET(AJ113,0,COLUMN($B113)-COLUMN(AJ113)),$A:$A,0),$C113+COLUMN($E113)+1)&amp;":"&amp;ADDRESS(MATCH("END"&amp;OFFSET(AJ113,0,COLUMN($B113)-COLUMN(AJ113)),$A:$A,0),$C113+COLUMN($E113)+1),TRUE),INDIRECT(ADDRESS(ROW(AJ113),$C113+COLUMN($E113)),TRUE),INDIRECT(ADDRESS(MATCH("START"&amp;OFFSET(AJ113,0,COLUMN($B113)-COLUMN(AJ113)),$A:$A,0),COLUMN(AJ113))&amp;":"&amp;ADDRESS(MATCH("END"&amp;OFFSET(AJ113,0,COLUMN($B113)-COLUMN(AJ113)),$A:$A,0),COLUMN(AJ113)),TRUE)))))</f>
        <v>0</v>
      </c>
      <c r="AK113" s="360">
        <f t="shared" ca="1" si="192"/>
        <v>0</v>
      </c>
      <c r="AL113" s="357">
        <f ca="1">IF(OFFSET(AL113,ROW(AL$2)-ROW(AL113),0)="TT","TT",IF(OFFSET(AL113,0,COLUMN($M113)-COLUMN(AL113))="%",ROUND(OFFSET(AL113,-2,0)*0.07,0),IF(OFFSET(AL113,0,COLUMN($M113)-COLUMN(AL113))="V","x",SUMIF(INDIRECT(ADDRESS(MATCH("START"&amp;OFFSET(AL113,0,COLUMN($B113)-COLUMN(AL113)),$A:$A,0),$C113+COLUMN($E113)+1)&amp;":"&amp;ADDRESS(MATCH("END"&amp;OFFSET(AL113,0,COLUMN($B113)-COLUMN(AL113)),$A:$A,0),$C113+COLUMN($E113)+1),TRUE),INDIRECT(ADDRESS(ROW(AL113),$C113+COLUMN($E113)),TRUE),INDIRECT(ADDRESS(MATCH("START"&amp;OFFSET(AL113,0,COLUMN($B113)-COLUMN(AL113)),$A:$A,0),COLUMN(AL113))&amp;":"&amp;ADDRESS(MATCH("END"&amp;OFFSET(AL113,0,COLUMN($B113)-COLUMN(AL113)),$A:$A,0),COLUMN(AL113)),TRUE)))))</f>
        <v>0</v>
      </c>
      <c r="AM113" s="358"/>
      <c r="AN113" s="359">
        <f t="shared" ref="AN113:AN143" ca="1" si="205">IF(OFFSET(AN113,ROW(AN$2)-ROW(AN113),0)="TT","TT",IF(OFFSET(AN113,0,COLUMN($M113)-COLUMN(AN113))="%",ROUND((OFFSET(AN113,-2,0)-OFFSET(AN113,-21,0))*0.07,2),IF(OFFSET(AN113,0,COLUMN($M113)-COLUMN(AN113))="V",ROUND(OFFSET(AN113,0,-2)*OFFSET(AN113,0,-1),2),SUMIF(INDIRECT(ADDRESS(MATCH("START"&amp;OFFSET(AN113,0,COLUMN($B113)-COLUMN(AN113)),$A:$A,0),$C113+COLUMN($E113)+1)&amp;":"&amp;ADDRESS(MATCH("END"&amp;OFFSET(AN113,0,COLUMN($B113)-COLUMN(AN113)),$A:$A,0),$C113+COLUMN($E113)+1),TRUE),INDIRECT(ADDRESS(ROW(AN113),$C113+COLUMN($E113)),TRUE),INDIRECT(ADDRESS(MATCH("START"&amp;OFFSET(AN113,0,COLUMN($B113)-COLUMN(AN113)),$A:$A,0),COLUMN(AN113))&amp;":"&amp;ADDRESS(MATCH("END"&amp;OFFSET(AN113,0,COLUMN($B113)-COLUMN(AN113)),$A:$A,0),COLUMN(AN113)),TRUE)))))</f>
        <v>0</v>
      </c>
      <c r="AO113" s="360">
        <f t="shared" ca="1" si="193"/>
        <v>0</v>
      </c>
      <c r="AP113" s="357">
        <f ca="1">IF(OFFSET(AP113,ROW(AP$2)-ROW(AP113),0)="TT","TT",IF(OFFSET(AP113,0,COLUMN($M113)-COLUMN(AP113))="%",ROUND(OFFSET(AP113,-2,0)*0.07,0),IF(OFFSET(AP113,0,COLUMN($M113)-COLUMN(AP113))="V","x",SUMIF(INDIRECT(ADDRESS(MATCH("START"&amp;OFFSET(AP113,0,COLUMN($B113)-COLUMN(AP113)),$A:$A,0),$C113+COLUMN($E113)+1)&amp;":"&amp;ADDRESS(MATCH("END"&amp;OFFSET(AP113,0,COLUMN($B113)-COLUMN(AP113)),$A:$A,0),$C113+COLUMN($E113)+1),TRUE),INDIRECT(ADDRESS(ROW(AP113),$C113+COLUMN($E113)),TRUE),INDIRECT(ADDRESS(MATCH("START"&amp;OFFSET(AP113,0,COLUMN($B113)-COLUMN(AP113)),$A:$A,0),COLUMN(AP113))&amp;":"&amp;ADDRESS(MATCH("END"&amp;OFFSET(AP113,0,COLUMN($B113)-COLUMN(AP113)),$A:$A,0),COLUMN(AP113)),TRUE)))))</f>
        <v>0</v>
      </c>
      <c r="AQ113" s="358"/>
      <c r="AR113" s="359">
        <f t="shared" ref="AR113:AR143" ca="1" si="206">IF(OFFSET(AR113,ROW(AR$2)-ROW(AR113),0)="TT","TT",IF(OFFSET(AR113,0,COLUMN($M113)-COLUMN(AR113))="%",ROUND((OFFSET(AR113,-2,0)-OFFSET(AR113,-21,0))*0.07,2),IF(OFFSET(AR113,0,COLUMN($M113)-COLUMN(AR113))="V",ROUND(OFFSET(AR113,0,-2)*OFFSET(AR113,0,-1),2),SUMIF(INDIRECT(ADDRESS(MATCH("START"&amp;OFFSET(AR113,0,COLUMN($B113)-COLUMN(AR113)),$A:$A,0),$C113+COLUMN($E113)+1)&amp;":"&amp;ADDRESS(MATCH("END"&amp;OFFSET(AR113,0,COLUMN($B113)-COLUMN(AR113)),$A:$A,0),$C113+COLUMN($E113)+1),TRUE),INDIRECT(ADDRESS(ROW(AR113),$C113+COLUMN($E113)),TRUE),INDIRECT(ADDRESS(MATCH("START"&amp;OFFSET(AR113,0,COLUMN($B113)-COLUMN(AR113)),$A:$A,0),COLUMN(AR113))&amp;":"&amp;ADDRESS(MATCH("END"&amp;OFFSET(AR113,0,COLUMN($B113)-COLUMN(AR113)),$A:$A,0),COLUMN(AR113)),TRUE)))))</f>
        <v>0</v>
      </c>
      <c r="AS113" s="360">
        <f t="shared" ca="1" si="194"/>
        <v>0</v>
      </c>
      <c r="AT113" s="357">
        <f ca="1">IF(OFFSET(AT113,ROW(AT$2)-ROW(AT113),0)="TT","TT",IF(OFFSET(AT113,0,COLUMN($M113)-COLUMN(AT113))="%",ROUND(OFFSET(AT113,-2,0)*0.07,0),IF(OFFSET(AT113,0,COLUMN($M113)-COLUMN(AT113))="V","x",SUMIF(INDIRECT(ADDRESS(MATCH("START"&amp;OFFSET(AT113,0,COLUMN($B113)-COLUMN(AT113)),$A:$A,0),$C113+COLUMN($E113)+1)&amp;":"&amp;ADDRESS(MATCH("END"&amp;OFFSET(AT113,0,COLUMN($B113)-COLUMN(AT113)),$A:$A,0),$C113+COLUMN($E113)+1),TRUE),INDIRECT(ADDRESS(ROW(AT113),$C113+COLUMN($E113)),TRUE),INDIRECT(ADDRESS(MATCH("START"&amp;OFFSET(AT113,0,COLUMN($B113)-COLUMN(AT113)),$A:$A,0),COLUMN(AT113))&amp;":"&amp;ADDRESS(MATCH("END"&amp;OFFSET(AT113,0,COLUMN($B113)-COLUMN(AT113)),$A:$A,0),COLUMN(AT113)),TRUE)))))</f>
        <v>0</v>
      </c>
      <c r="AU113" s="358"/>
      <c r="AV113" s="359">
        <f t="shared" ref="AV113:AV143" ca="1" si="207">IF(OFFSET(AV113,ROW(AV$2)-ROW(AV113),0)="TT","TT",IF(OFFSET(AV113,0,COLUMN($M113)-COLUMN(AV113))="%",ROUND((OFFSET(AV113,-2,0)-OFFSET(AV113,-21,0))*0.07,2),IF(OFFSET(AV113,0,COLUMN($M113)-COLUMN(AV113))="V",ROUND(OFFSET(AV113,0,-2)*OFFSET(AV113,0,-1),2),SUMIF(INDIRECT(ADDRESS(MATCH("START"&amp;OFFSET(AV113,0,COLUMN($B113)-COLUMN(AV113)),$A:$A,0),$C113+COLUMN($E113)+1)&amp;":"&amp;ADDRESS(MATCH("END"&amp;OFFSET(AV113,0,COLUMN($B113)-COLUMN(AV113)),$A:$A,0),$C113+COLUMN($E113)+1),TRUE),INDIRECT(ADDRESS(ROW(AV113),$C113+COLUMN($E113)),TRUE),INDIRECT(ADDRESS(MATCH("START"&amp;OFFSET(AV113,0,COLUMN($B113)-COLUMN(AV113)),$A:$A,0),COLUMN(AV113))&amp;":"&amp;ADDRESS(MATCH("END"&amp;OFFSET(AV113,0,COLUMN($B113)-COLUMN(AV113)),$A:$A,0),COLUMN(AV113)),TRUE)))))</f>
        <v>0</v>
      </c>
      <c r="AW113" s="360">
        <f t="shared" ca="1" si="195"/>
        <v>0</v>
      </c>
      <c r="AX113" s="357">
        <f ca="1">IF(OFFSET(AX113,ROW(AX$2)-ROW(AX113),0)="TT","TT",IF(OFFSET(AX113,0,COLUMN($M113)-COLUMN(AX113))="%",ROUND(OFFSET(AX113,-2,0)*0.07,0),IF(OFFSET(AX113,0,COLUMN($M113)-COLUMN(AX113))="V","x",SUMIF(INDIRECT(ADDRESS(MATCH("START"&amp;OFFSET(AX113,0,COLUMN($B113)-COLUMN(AX113)),$A:$A,0),$C113+COLUMN($E113)+1)&amp;":"&amp;ADDRESS(MATCH("END"&amp;OFFSET(AX113,0,COLUMN($B113)-COLUMN(AX113)),$A:$A,0),$C113+COLUMN($E113)+1),TRUE),INDIRECT(ADDRESS(ROW(AX113),$C113+COLUMN($E113)),TRUE),INDIRECT(ADDRESS(MATCH("START"&amp;OFFSET(AX113,0,COLUMN($B113)-COLUMN(AX113)),$A:$A,0),COLUMN(AX113))&amp;":"&amp;ADDRESS(MATCH("END"&amp;OFFSET(AX113,0,COLUMN($B113)-COLUMN(AX113)),$A:$A,0),COLUMN(AX113)),TRUE)))))</f>
        <v>0</v>
      </c>
      <c r="AY113" s="358"/>
      <c r="AZ113" s="359">
        <f t="shared" ref="AZ113:AZ143" ca="1" si="208">IF(OFFSET(AZ113,ROW(AZ$2)-ROW(AZ113),0)="TT","TT",IF(OFFSET(AZ113,0,COLUMN($M113)-COLUMN(AZ113))="%",ROUND((OFFSET(AZ113,-2,0)-OFFSET(AZ113,-21,0))*0.07,2),IF(OFFSET(AZ113,0,COLUMN($M113)-COLUMN(AZ113))="V",ROUND(OFFSET(AZ113,0,-2)*OFFSET(AZ113,0,-1),2),SUMIF(INDIRECT(ADDRESS(MATCH("START"&amp;OFFSET(AZ113,0,COLUMN($B113)-COLUMN(AZ113)),$A:$A,0),$C113+COLUMN($E113)+1)&amp;":"&amp;ADDRESS(MATCH("END"&amp;OFFSET(AZ113,0,COLUMN($B113)-COLUMN(AZ113)),$A:$A,0),$C113+COLUMN($E113)+1),TRUE),INDIRECT(ADDRESS(ROW(AZ113),$C113+COLUMN($E113)),TRUE),INDIRECT(ADDRESS(MATCH("START"&amp;OFFSET(AZ113,0,COLUMN($B113)-COLUMN(AZ113)),$A:$A,0),COLUMN(AZ113))&amp;":"&amp;ADDRESS(MATCH("END"&amp;OFFSET(AZ113,0,COLUMN($B113)-COLUMN(AZ113)),$A:$A,0),COLUMN(AZ113)),TRUE)))))</f>
        <v>0</v>
      </c>
      <c r="BA113" s="360">
        <f t="shared" ca="1" si="196"/>
        <v>0</v>
      </c>
      <c r="BB113" s="357">
        <f ca="1">IF(OFFSET(BB113,ROW(BB$2)-ROW(BB113),0)="TT","TT",IF(OFFSET(BB113,0,COLUMN($M113)-COLUMN(BB113))="%",ROUND(OFFSET(BB113,-2,0)*0.07,0),IF(OFFSET(BB113,0,COLUMN($M113)-COLUMN(BB113))="V","x",SUMIF(INDIRECT(ADDRESS(MATCH("START"&amp;OFFSET(BB113,0,COLUMN($B113)-COLUMN(BB113)),$A:$A,0),$C113+COLUMN($E113)+1)&amp;":"&amp;ADDRESS(MATCH("END"&amp;OFFSET(BB113,0,COLUMN($B113)-COLUMN(BB113)),$A:$A,0),$C113+COLUMN($E113)+1),TRUE),INDIRECT(ADDRESS(ROW(BB113),$C113+COLUMN($E113)),TRUE),INDIRECT(ADDRESS(MATCH("START"&amp;OFFSET(BB113,0,COLUMN($B113)-COLUMN(BB113)),$A:$A,0),COLUMN(BB113))&amp;":"&amp;ADDRESS(MATCH("END"&amp;OFFSET(BB113,0,COLUMN($B113)-COLUMN(BB113)),$A:$A,0),COLUMN(BB113)),TRUE)))))</f>
        <v>0</v>
      </c>
      <c r="BC113" s="358"/>
      <c r="BD113" s="359">
        <f t="shared" ref="BD113:BD143" ca="1" si="209">IF(OFFSET(BD113,ROW(BD$2)-ROW(BD113),0)="TT","TT",IF(OFFSET(BD113,0,COLUMN($M113)-COLUMN(BD113))="%",ROUND((OFFSET(BD113,-2,0)-OFFSET(BD113,-21,0))*0.07,2),IF(OFFSET(BD113,0,COLUMN($M113)-COLUMN(BD113))="V",ROUND(OFFSET(BD113,0,-2)*OFFSET(BD113,0,-1),2),SUMIF(INDIRECT(ADDRESS(MATCH("START"&amp;OFFSET(BD113,0,COLUMN($B113)-COLUMN(BD113)),$A:$A,0),$C113+COLUMN($E113)+1)&amp;":"&amp;ADDRESS(MATCH("END"&amp;OFFSET(BD113,0,COLUMN($B113)-COLUMN(BD113)),$A:$A,0),$C113+COLUMN($E113)+1),TRUE),INDIRECT(ADDRESS(ROW(BD113),$C113+COLUMN($E113)),TRUE),INDIRECT(ADDRESS(MATCH("START"&amp;OFFSET(BD113,0,COLUMN($B113)-COLUMN(BD113)),$A:$A,0),COLUMN(BD113))&amp;":"&amp;ADDRESS(MATCH("END"&amp;OFFSET(BD113,0,COLUMN($B113)-COLUMN(BD113)),$A:$A,0),COLUMN(BD113)),TRUE)))))</f>
        <v>0</v>
      </c>
      <c r="BE113" s="360">
        <f t="shared" ca="1" si="197"/>
        <v>0</v>
      </c>
      <c r="BF113" s="357">
        <f ca="1">IF(OFFSET(BF113,ROW(BF$2)-ROW(BF113),0)="TT","TT",IF(OFFSET(BF113,0,COLUMN($M113)-COLUMN(BF113))="%",ROUND(OFFSET(BF113,-2,0)*0.07,0),IF(OFFSET(BF113,0,COLUMN($M113)-COLUMN(BF113))="V","x",SUMIF(INDIRECT(ADDRESS(MATCH("START"&amp;OFFSET(BF113,0,COLUMN($B113)-COLUMN(BF113)),$A:$A,0),$C113+COLUMN($E113)+1)&amp;":"&amp;ADDRESS(MATCH("END"&amp;OFFSET(BF113,0,COLUMN($B113)-COLUMN(BF113)),$A:$A,0),$C113+COLUMN($E113)+1),TRUE),INDIRECT(ADDRESS(ROW(BF113),$C113+COLUMN($E113)),TRUE),INDIRECT(ADDRESS(MATCH("START"&amp;OFFSET(BF113,0,COLUMN($B113)-COLUMN(BF113)),$A:$A,0),COLUMN(BF113))&amp;":"&amp;ADDRESS(MATCH("END"&amp;OFFSET(BF113,0,COLUMN($B113)-COLUMN(BF113)),$A:$A,0),COLUMN(BF113)),TRUE)))))</f>
        <v>0</v>
      </c>
      <c r="BG113" s="358"/>
      <c r="BH113" s="359">
        <f t="shared" ref="BH113:BH143" ca="1" si="210">IF(OFFSET(BH113,ROW(BH$2)-ROW(BH113),0)="TT","TT",IF(OFFSET(BH113,0,COLUMN($M113)-COLUMN(BH113))="%",ROUND((OFFSET(BH113,-2,0)-OFFSET(BH113,-21,0))*0.07,2),IF(OFFSET(BH113,0,COLUMN($M113)-COLUMN(BH113))="V",ROUND(OFFSET(BH113,0,-2)*OFFSET(BH113,0,-1),2),SUMIF(INDIRECT(ADDRESS(MATCH("START"&amp;OFFSET(BH113,0,COLUMN($B113)-COLUMN(BH113)),$A:$A,0),$C113+COLUMN($E113)+1)&amp;":"&amp;ADDRESS(MATCH("END"&amp;OFFSET(BH113,0,COLUMN($B113)-COLUMN(BH113)),$A:$A,0),$C113+COLUMN($E113)+1),TRUE),INDIRECT(ADDRESS(ROW(BH113),$C113+COLUMN($E113)),TRUE),INDIRECT(ADDRESS(MATCH("START"&amp;OFFSET(BH113,0,COLUMN($B113)-COLUMN(BH113)),$A:$A,0),COLUMN(BH113))&amp;":"&amp;ADDRESS(MATCH("END"&amp;OFFSET(BH113,0,COLUMN($B113)-COLUMN(BH113)),$A:$A,0),COLUMN(BH113)),TRUE)))))</f>
        <v>0</v>
      </c>
      <c r="BI113" s="360">
        <f t="shared" ca="1" si="198"/>
        <v>0</v>
      </c>
      <c r="BJ113" s="357">
        <f ca="1">IF(OFFSET(BJ113,ROW(BJ$2)-ROW(BJ113),0)="TT","TT",IF(OFFSET(BJ113,0,COLUMN($M113)-COLUMN(BJ113))="%",ROUND(OFFSET(BJ113,-2,0)*0.07,0),IF(OFFSET(BJ113,0,COLUMN($M113)-COLUMN(BJ113))="V","x",SUMIF(INDIRECT(ADDRESS(MATCH("START"&amp;OFFSET(BJ113,0,COLUMN($B113)-COLUMN(BJ113)),$A:$A,0),$C113+COLUMN($E113)+1)&amp;":"&amp;ADDRESS(MATCH("END"&amp;OFFSET(BJ113,0,COLUMN($B113)-COLUMN(BJ113)),$A:$A,0),$C113+COLUMN($E113)+1),TRUE),INDIRECT(ADDRESS(ROW(BJ113),$C113+COLUMN($E113)),TRUE),INDIRECT(ADDRESS(MATCH("START"&amp;OFFSET(BJ113,0,COLUMN($B113)-COLUMN(BJ113)),$A:$A,0),COLUMN(BJ113))&amp;":"&amp;ADDRESS(MATCH("END"&amp;OFFSET(BJ113,0,COLUMN($B113)-COLUMN(BJ113)),$A:$A,0),COLUMN(BJ113)),TRUE)))))</f>
        <v>0</v>
      </c>
      <c r="BK113" s="358"/>
      <c r="BL113" s="359">
        <f t="shared" ref="BL113:BL143" ca="1" si="211">IF(OFFSET(BL113,ROW(BL$2)-ROW(BL113),0)="TT","TT",IF(OFFSET(BL113,0,COLUMN($M113)-COLUMN(BL113))="%",ROUND((OFFSET(BL113,-2,0)-OFFSET(BL113,-21,0))*0.07,2),IF(OFFSET(BL113,0,COLUMN($M113)-COLUMN(BL113))="V",ROUND(OFFSET(BL113,0,-2)*OFFSET(BL113,0,-1),2),SUMIF(INDIRECT(ADDRESS(MATCH("START"&amp;OFFSET(BL113,0,COLUMN($B113)-COLUMN(BL113)),$A:$A,0),$C113+COLUMN($E113)+1)&amp;":"&amp;ADDRESS(MATCH("END"&amp;OFFSET(BL113,0,COLUMN($B113)-COLUMN(BL113)),$A:$A,0),$C113+COLUMN($E113)+1),TRUE),INDIRECT(ADDRESS(ROW(BL113),$C113+COLUMN($E113)),TRUE),INDIRECT(ADDRESS(MATCH("START"&amp;OFFSET(BL113,0,COLUMN($B113)-COLUMN(BL113)),$A:$A,0),COLUMN(BL113))&amp;":"&amp;ADDRESS(MATCH("END"&amp;OFFSET(BL113,0,COLUMN($B113)-COLUMN(BL113)),$A:$A,0),COLUMN(BL113)),TRUE)))))</f>
        <v>0</v>
      </c>
      <c r="BM113" s="360">
        <f t="shared" ca="1" si="199"/>
        <v>0</v>
      </c>
      <c r="BN113" s="360">
        <f t="shared" ca="1" si="199"/>
        <v>0</v>
      </c>
      <c r="BP113" s="246"/>
    </row>
    <row r="114" spans="1:68">
      <c r="A114" s="221" t="str">
        <f t="shared" ca="1" si="186"/>
        <v>WP004</v>
      </c>
      <c r="B114" s="221" t="str">
        <f t="shared" ca="1" si="187"/>
        <v>WP004</v>
      </c>
      <c r="C114" s="221">
        <v>7</v>
      </c>
      <c r="D114" s="221" t="s">
        <v>79</v>
      </c>
      <c r="L114" s="221" t="s">
        <v>77</v>
      </c>
      <c r="M114" s="221" t="s">
        <v>80</v>
      </c>
      <c r="N114" s="461"/>
      <c r="O114" s="247"/>
      <c r="P114" s="248"/>
      <c r="Q114" s="249" t="str">
        <f>EMP_TYPE1</f>
        <v>Type 1</v>
      </c>
      <c r="R114" s="361">
        <f t="shared" ref="R114:S123" ca="1" si="212">INDIRECT("'"&amp; MID(OFFSET(R114,ROW(R$3)-ROW(R114),IF(OFFSET(R114,ROW(R$2)-ROW(R114),2)="T",0,IF(OFFSET(R114,ROW(R$2)-ROW(R114),1)="T",-1,-2))),1,6) &amp; "'!" &amp; ADDRESS(ROW(R114),MATCH(INDIRECT(ADDRESS(2,COLUMN(R114)+IF(OFFSET(R114,ROW(R$2)-ROW(R114),2)="T",1,IF(OFFSET(R114,ROW(R$2)-ROW(R114),1)="T",0,-1))),TRUE),INDIRECT("'"&amp; MID(OFFSET(R114,ROW(R$3)-ROW(R114),IF(OFFSET(R114,ROW(R$2)-ROW(R114),2)="T",0,IF(OFFSET(R114,ROW(R$2)-ROW(R114),1)="T",-1,-2))),1,6) &amp; "'!2:2",TRUE),0)-IF(OFFSET(R114,ROW(R$2)-ROW(R114),2)="T",1,IF(OFFSET(R114,ROW(R$2)-ROW(R114),1)="T",0,-1))),TRUE)</f>
        <v>0</v>
      </c>
      <c r="S114" s="362">
        <f t="shared" ca="1" si="212"/>
        <v>0</v>
      </c>
      <c r="T114" s="363">
        <f t="shared" ca="1" si="200"/>
        <v>0</v>
      </c>
      <c r="U114" s="360">
        <f t="shared" ca="1" si="188"/>
        <v>0</v>
      </c>
      <c r="V114" s="361">
        <f t="shared" ref="V114:W123" ca="1" si="213">INDIRECT("'"&amp; MID(OFFSET(V114,ROW(V$3)-ROW(V114),IF(OFFSET(V114,ROW(V$2)-ROW(V114),2)="T",0,IF(OFFSET(V114,ROW(V$2)-ROW(V114),1)="T",-1,-2))),1,6) &amp; "'!" &amp; ADDRESS(ROW(V114),MATCH(INDIRECT(ADDRESS(2,COLUMN(V114)+IF(OFFSET(V114,ROW(V$2)-ROW(V114),2)="T",1,IF(OFFSET(V114,ROW(V$2)-ROW(V114),1)="T",0,-1))),TRUE),INDIRECT("'"&amp; MID(OFFSET(V114,ROW(V$3)-ROW(V114),IF(OFFSET(V114,ROW(V$2)-ROW(V114),2)="T",0,IF(OFFSET(V114,ROW(V$2)-ROW(V114),1)="T",-1,-2))),1,6) &amp; "'!2:2",TRUE),0)-IF(OFFSET(V114,ROW(V$2)-ROW(V114),2)="T",1,IF(OFFSET(V114,ROW(V$2)-ROW(V114),1)="T",0,-1))),TRUE)</f>
        <v>0</v>
      </c>
      <c r="W114" s="362">
        <f t="shared" ca="1" si="213"/>
        <v>0</v>
      </c>
      <c r="X114" s="363">
        <f t="shared" ca="1" si="201"/>
        <v>0</v>
      </c>
      <c r="Y114" s="360">
        <f t="shared" ca="1" si="189"/>
        <v>0</v>
      </c>
      <c r="Z114" s="361">
        <f t="shared" ref="Z114:AA123" ca="1" si="214">INDIRECT("'"&amp; MID(OFFSET(Z114,ROW(Z$3)-ROW(Z114),IF(OFFSET(Z114,ROW(Z$2)-ROW(Z114),2)="T",0,IF(OFFSET(Z114,ROW(Z$2)-ROW(Z114),1)="T",-1,-2))),1,6) &amp; "'!" &amp; ADDRESS(ROW(Z114),MATCH(INDIRECT(ADDRESS(2,COLUMN(Z114)+IF(OFFSET(Z114,ROW(Z$2)-ROW(Z114),2)="T",1,IF(OFFSET(Z114,ROW(Z$2)-ROW(Z114),1)="T",0,-1))),TRUE),INDIRECT("'"&amp; MID(OFFSET(Z114,ROW(Z$3)-ROW(Z114),IF(OFFSET(Z114,ROW(Z$2)-ROW(Z114),2)="T",0,IF(OFFSET(Z114,ROW(Z$2)-ROW(Z114),1)="T",-1,-2))),1,6) &amp; "'!2:2",TRUE),0)-IF(OFFSET(Z114,ROW(Z$2)-ROW(Z114),2)="T",1,IF(OFFSET(Z114,ROW(Z$2)-ROW(Z114),1)="T",0,-1))),TRUE)</f>
        <v>0</v>
      </c>
      <c r="AA114" s="362">
        <f t="shared" ca="1" si="214"/>
        <v>0</v>
      </c>
      <c r="AB114" s="363">
        <f t="shared" ca="1" si="202"/>
        <v>0</v>
      </c>
      <c r="AC114" s="360">
        <f t="shared" ca="1" si="190"/>
        <v>0</v>
      </c>
      <c r="AD114" s="361">
        <f t="shared" ref="AD114:AE123" ca="1" si="215">INDIRECT("'"&amp; MID(OFFSET(AD114,ROW(AD$3)-ROW(AD114),IF(OFFSET(AD114,ROW(AD$2)-ROW(AD114),2)="T",0,IF(OFFSET(AD114,ROW(AD$2)-ROW(AD114),1)="T",-1,-2))),1,6) &amp; "'!" &amp; ADDRESS(ROW(AD114),MATCH(INDIRECT(ADDRESS(2,COLUMN(AD114)+IF(OFFSET(AD114,ROW(AD$2)-ROW(AD114),2)="T",1,IF(OFFSET(AD114,ROW(AD$2)-ROW(AD114),1)="T",0,-1))),TRUE),INDIRECT("'"&amp; MID(OFFSET(AD114,ROW(AD$3)-ROW(AD114),IF(OFFSET(AD114,ROW(AD$2)-ROW(AD114),2)="T",0,IF(OFFSET(AD114,ROW(AD$2)-ROW(AD114),1)="T",-1,-2))),1,6) &amp; "'!2:2",TRUE),0)-IF(OFFSET(AD114,ROW(AD$2)-ROW(AD114),2)="T",1,IF(OFFSET(AD114,ROW(AD$2)-ROW(AD114),1)="T",0,-1))),TRUE)</f>
        <v>0</v>
      </c>
      <c r="AE114" s="362">
        <f t="shared" ca="1" si="215"/>
        <v>0</v>
      </c>
      <c r="AF114" s="363">
        <f t="shared" ca="1" si="203"/>
        <v>0</v>
      </c>
      <c r="AG114" s="360">
        <f t="shared" ca="1" si="191"/>
        <v>0</v>
      </c>
      <c r="AH114" s="361">
        <f t="shared" ref="AH114:AI123" ca="1" si="216">INDIRECT("'"&amp; MID(OFFSET(AH114,ROW(AH$3)-ROW(AH114),IF(OFFSET(AH114,ROW(AH$2)-ROW(AH114),2)="T",0,IF(OFFSET(AH114,ROW(AH$2)-ROW(AH114),1)="T",-1,-2))),1,6) &amp; "'!" &amp; ADDRESS(ROW(AH114),MATCH(INDIRECT(ADDRESS(2,COLUMN(AH114)+IF(OFFSET(AH114,ROW(AH$2)-ROW(AH114),2)="T",1,IF(OFFSET(AH114,ROW(AH$2)-ROW(AH114),1)="T",0,-1))),TRUE),INDIRECT("'"&amp; MID(OFFSET(AH114,ROW(AH$3)-ROW(AH114),IF(OFFSET(AH114,ROW(AH$2)-ROW(AH114),2)="T",0,IF(OFFSET(AH114,ROW(AH$2)-ROW(AH114),1)="T",-1,-2))),1,6) &amp; "'!2:2",TRUE),0)-IF(OFFSET(AH114,ROW(AH$2)-ROW(AH114),2)="T",1,IF(OFFSET(AH114,ROW(AH$2)-ROW(AH114),1)="T",0,-1))),TRUE)</f>
        <v>0</v>
      </c>
      <c r="AI114" s="362">
        <f t="shared" ca="1" si="216"/>
        <v>0</v>
      </c>
      <c r="AJ114" s="363">
        <f t="shared" ca="1" si="204"/>
        <v>0</v>
      </c>
      <c r="AK114" s="360">
        <f t="shared" ca="1" si="192"/>
        <v>0</v>
      </c>
      <c r="AL114" s="361">
        <f t="shared" ref="AL114:AM123" ca="1" si="217">INDIRECT("'"&amp; MID(OFFSET(AL114,ROW(AL$3)-ROW(AL114),IF(OFFSET(AL114,ROW(AL$2)-ROW(AL114),2)="T",0,IF(OFFSET(AL114,ROW(AL$2)-ROW(AL114),1)="T",-1,-2))),1,6) &amp; "'!" &amp; ADDRESS(ROW(AL114),MATCH(INDIRECT(ADDRESS(2,COLUMN(AL114)+IF(OFFSET(AL114,ROW(AL$2)-ROW(AL114),2)="T",1,IF(OFFSET(AL114,ROW(AL$2)-ROW(AL114),1)="T",0,-1))),TRUE),INDIRECT("'"&amp; MID(OFFSET(AL114,ROW(AL$3)-ROW(AL114),IF(OFFSET(AL114,ROW(AL$2)-ROW(AL114),2)="T",0,IF(OFFSET(AL114,ROW(AL$2)-ROW(AL114),1)="T",-1,-2))),1,6) &amp; "'!2:2",TRUE),0)-IF(OFFSET(AL114,ROW(AL$2)-ROW(AL114),2)="T",1,IF(OFFSET(AL114,ROW(AL$2)-ROW(AL114),1)="T",0,-1))),TRUE)</f>
        <v>0</v>
      </c>
      <c r="AM114" s="362">
        <f t="shared" ca="1" si="217"/>
        <v>0</v>
      </c>
      <c r="AN114" s="363">
        <f t="shared" ca="1" si="205"/>
        <v>0</v>
      </c>
      <c r="AO114" s="360">
        <f t="shared" ca="1" si="193"/>
        <v>0</v>
      </c>
      <c r="AP114" s="361">
        <f t="shared" ref="AP114:AQ123" ca="1" si="218">INDIRECT("'"&amp; MID(OFFSET(AP114,ROW(AP$3)-ROW(AP114),IF(OFFSET(AP114,ROW(AP$2)-ROW(AP114),2)="T",0,IF(OFFSET(AP114,ROW(AP$2)-ROW(AP114),1)="T",-1,-2))),1,6) &amp; "'!" &amp; ADDRESS(ROW(AP114),MATCH(INDIRECT(ADDRESS(2,COLUMN(AP114)+IF(OFFSET(AP114,ROW(AP$2)-ROW(AP114),2)="T",1,IF(OFFSET(AP114,ROW(AP$2)-ROW(AP114),1)="T",0,-1))),TRUE),INDIRECT("'"&amp; MID(OFFSET(AP114,ROW(AP$3)-ROW(AP114),IF(OFFSET(AP114,ROW(AP$2)-ROW(AP114),2)="T",0,IF(OFFSET(AP114,ROW(AP$2)-ROW(AP114),1)="T",-1,-2))),1,6) &amp; "'!2:2",TRUE),0)-IF(OFFSET(AP114,ROW(AP$2)-ROW(AP114),2)="T",1,IF(OFFSET(AP114,ROW(AP$2)-ROW(AP114),1)="T",0,-1))),TRUE)</f>
        <v>0</v>
      </c>
      <c r="AQ114" s="362">
        <f t="shared" ca="1" si="218"/>
        <v>0</v>
      </c>
      <c r="AR114" s="363">
        <f t="shared" ca="1" si="206"/>
        <v>0</v>
      </c>
      <c r="AS114" s="360">
        <f t="shared" ca="1" si="194"/>
        <v>0</v>
      </c>
      <c r="AT114" s="361">
        <f t="shared" ref="AT114:AU123" ca="1" si="219">INDIRECT("'"&amp; MID(OFFSET(AT114,ROW(AT$3)-ROW(AT114),IF(OFFSET(AT114,ROW(AT$2)-ROW(AT114),2)="T",0,IF(OFFSET(AT114,ROW(AT$2)-ROW(AT114),1)="T",-1,-2))),1,6) &amp; "'!" &amp; ADDRESS(ROW(AT114),MATCH(INDIRECT(ADDRESS(2,COLUMN(AT114)+IF(OFFSET(AT114,ROW(AT$2)-ROW(AT114),2)="T",1,IF(OFFSET(AT114,ROW(AT$2)-ROW(AT114),1)="T",0,-1))),TRUE),INDIRECT("'"&amp; MID(OFFSET(AT114,ROW(AT$3)-ROW(AT114),IF(OFFSET(AT114,ROW(AT$2)-ROW(AT114),2)="T",0,IF(OFFSET(AT114,ROW(AT$2)-ROW(AT114),1)="T",-1,-2))),1,6) &amp; "'!2:2",TRUE),0)-IF(OFFSET(AT114,ROW(AT$2)-ROW(AT114),2)="T",1,IF(OFFSET(AT114,ROW(AT$2)-ROW(AT114),1)="T",0,-1))),TRUE)</f>
        <v>0</v>
      </c>
      <c r="AU114" s="362">
        <f t="shared" ca="1" si="219"/>
        <v>0</v>
      </c>
      <c r="AV114" s="363">
        <f t="shared" ca="1" si="207"/>
        <v>0</v>
      </c>
      <c r="AW114" s="360">
        <f t="shared" ca="1" si="195"/>
        <v>0</v>
      </c>
      <c r="AX114" s="361">
        <f t="shared" ref="AX114:AY123" ca="1" si="220">INDIRECT("'"&amp; MID(OFFSET(AX114,ROW(AX$3)-ROW(AX114),IF(OFFSET(AX114,ROW(AX$2)-ROW(AX114),2)="T",0,IF(OFFSET(AX114,ROW(AX$2)-ROW(AX114),1)="T",-1,-2))),1,6) &amp; "'!" &amp; ADDRESS(ROW(AX114),MATCH(INDIRECT(ADDRESS(2,COLUMN(AX114)+IF(OFFSET(AX114,ROW(AX$2)-ROW(AX114),2)="T",1,IF(OFFSET(AX114,ROW(AX$2)-ROW(AX114),1)="T",0,-1))),TRUE),INDIRECT("'"&amp; MID(OFFSET(AX114,ROW(AX$3)-ROW(AX114),IF(OFFSET(AX114,ROW(AX$2)-ROW(AX114),2)="T",0,IF(OFFSET(AX114,ROW(AX$2)-ROW(AX114),1)="T",-1,-2))),1,6) &amp; "'!2:2",TRUE),0)-IF(OFFSET(AX114,ROW(AX$2)-ROW(AX114),2)="T",1,IF(OFFSET(AX114,ROW(AX$2)-ROW(AX114),1)="T",0,-1))),TRUE)</f>
        <v>0</v>
      </c>
      <c r="AY114" s="362">
        <f t="shared" ca="1" si="220"/>
        <v>0</v>
      </c>
      <c r="AZ114" s="363">
        <f t="shared" ca="1" si="208"/>
        <v>0</v>
      </c>
      <c r="BA114" s="360">
        <f t="shared" ca="1" si="196"/>
        <v>0</v>
      </c>
      <c r="BB114" s="361">
        <f t="shared" ref="BB114:BC123" ca="1" si="221">INDIRECT("'"&amp; MID(OFFSET(BB114,ROW(BB$3)-ROW(BB114),IF(OFFSET(BB114,ROW(BB$2)-ROW(BB114),2)="T",0,IF(OFFSET(BB114,ROW(BB$2)-ROW(BB114),1)="T",-1,-2))),1,6) &amp; "'!" &amp; ADDRESS(ROW(BB114),MATCH(INDIRECT(ADDRESS(2,COLUMN(BB114)+IF(OFFSET(BB114,ROW(BB$2)-ROW(BB114),2)="T",1,IF(OFFSET(BB114,ROW(BB$2)-ROW(BB114),1)="T",0,-1))),TRUE),INDIRECT("'"&amp; MID(OFFSET(BB114,ROW(BB$3)-ROW(BB114),IF(OFFSET(BB114,ROW(BB$2)-ROW(BB114),2)="T",0,IF(OFFSET(BB114,ROW(BB$2)-ROW(BB114),1)="T",-1,-2))),1,6) &amp; "'!2:2",TRUE),0)-IF(OFFSET(BB114,ROW(BB$2)-ROW(BB114),2)="T",1,IF(OFFSET(BB114,ROW(BB$2)-ROW(BB114),1)="T",0,-1))),TRUE)</f>
        <v>0</v>
      </c>
      <c r="BC114" s="362">
        <f t="shared" ca="1" si="221"/>
        <v>0</v>
      </c>
      <c r="BD114" s="363">
        <f t="shared" ca="1" si="209"/>
        <v>0</v>
      </c>
      <c r="BE114" s="360">
        <f t="shared" ca="1" si="197"/>
        <v>0</v>
      </c>
      <c r="BF114" s="361">
        <f t="shared" ref="BF114:BG123" ca="1" si="222">INDIRECT("'"&amp; MID(OFFSET(BF114,ROW(BF$3)-ROW(BF114),IF(OFFSET(BF114,ROW(BF$2)-ROW(BF114),2)="T",0,IF(OFFSET(BF114,ROW(BF$2)-ROW(BF114),1)="T",-1,-2))),1,6) &amp; "'!" &amp; ADDRESS(ROW(BF114),MATCH(INDIRECT(ADDRESS(2,COLUMN(BF114)+IF(OFFSET(BF114,ROW(BF$2)-ROW(BF114),2)="T",1,IF(OFFSET(BF114,ROW(BF$2)-ROW(BF114),1)="T",0,-1))),TRUE),INDIRECT("'"&amp; MID(OFFSET(BF114,ROW(BF$3)-ROW(BF114),IF(OFFSET(BF114,ROW(BF$2)-ROW(BF114),2)="T",0,IF(OFFSET(BF114,ROW(BF$2)-ROW(BF114),1)="T",-1,-2))),1,6) &amp; "'!2:2",TRUE),0)-IF(OFFSET(BF114,ROW(BF$2)-ROW(BF114),2)="T",1,IF(OFFSET(BF114,ROW(BF$2)-ROW(BF114),1)="T",0,-1))),TRUE)</f>
        <v>0</v>
      </c>
      <c r="BG114" s="362">
        <f t="shared" ca="1" si="222"/>
        <v>0</v>
      </c>
      <c r="BH114" s="363">
        <f t="shared" ca="1" si="210"/>
        <v>0</v>
      </c>
      <c r="BI114" s="360">
        <f t="shared" ca="1" si="198"/>
        <v>0</v>
      </c>
      <c r="BJ114" s="361">
        <f t="shared" ref="BJ114:BK123" ca="1" si="223">INDIRECT("'"&amp; MID(OFFSET(BJ114,ROW(BJ$3)-ROW(BJ114),IF(OFFSET(BJ114,ROW(BJ$2)-ROW(BJ114),2)="T",0,IF(OFFSET(BJ114,ROW(BJ$2)-ROW(BJ114),1)="T",-1,-2))),1,6) &amp; "'!" &amp; ADDRESS(ROW(BJ114),MATCH(INDIRECT(ADDRESS(2,COLUMN(BJ114)+IF(OFFSET(BJ114,ROW(BJ$2)-ROW(BJ114),2)="T",1,IF(OFFSET(BJ114,ROW(BJ$2)-ROW(BJ114),1)="T",0,-1))),TRUE),INDIRECT("'"&amp; MID(OFFSET(BJ114,ROW(BJ$3)-ROW(BJ114),IF(OFFSET(BJ114,ROW(BJ$2)-ROW(BJ114),2)="T",0,IF(OFFSET(BJ114,ROW(BJ$2)-ROW(BJ114),1)="T",-1,-2))),1,6) &amp; "'!2:2",TRUE),0)-IF(OFFSET(BJ114,ROW(BJ$2)-ROW(BJ114),2)="T",1,IF(OFFSET(BJ114,ROW(BJ$2)-ROW(BJ114),1)="T",0,-1))),TRUE)</f>
        <v>0</v>
      </c>
      <c r="BK114" s="362">
        <f t="shared" ca="1" si="223"/>
        <v>0</v>
      </c>
      <c r="BL114" s="363">
        <f t="shared" ca="1" si="211"/>
        <v>0</v>
      </c>
      <c r="BM114" s="360">
        <f t="shared" ca="1" si="199"/>
        <v>0</v>
      </c>
      <c r="BN114" s="360">
        <f t="shared" ca="1" si="199"/>
        <v>0</v>
      </c>
      <c r="BP114" s="246"/>
    </row>
    <row r="115" spans="1:68">
      <c r="A115" s="221" t="str">
        <f t="shared" ca="1" si="186"/>
        <v>WP004</v>
      </c>
      <c r="B115" s="221" t="str">
        <f t="shared" ca="1" si="187"/>
        <v>WP004</v>
      </c>
      <c r="C115" s="221">
        <v>7</v>
      </c>
      <c r="D115" s="221" t="s">
        <v>81</v>
      </c>
      <c r="L115" s="221" t="s">
        <v>77</v>
      </c>
      <c r="M115" s="221" t="s">
        <v>80</v>
      </c>
      <c r="N115" s="461"/>
      <c r="O115" s="247"/>
      <c r="P115" s="248"/>
      <c r="Q115" s="249" t="str">
        <f>EMP_TYPE2</f>
        <v>Type 2</v>
      </c>
      <c r="R115" s="361">
        <f t="shared" ca="1" si="212"/>
        <v>0</v>
      </c>
      <c r="S115" s="362">
        <f t="shared" ca="1" si="212"/>
        <v>0</v>
      </c>
      <c r="T115" s="363">
        <f t="shared" ca="1" si="200"/>
        <v>0</v>
      </c>
      <c r="U115" s="360">
        <f t="shared" ca="1" si="188"/>
        <v>0</v>
      </c>
      <c r="V115" s="361">
        <f t="shared" ca="1" si="213"/>
        <v>0</v>
      </c>
      <c r="W115" s="362">
        <f t="shared" ca="1" si="213"/>
        <v>0</v>
      </c>
      <c r="X115" s="363">
        <f t="shared" ca="1" si="201"/>
        <v>0</v>
      </c>
      <c r="Y115" s="360">
        <f t="shared" ca="1" si="189"/>
        <v>0</v>
      </c>
      <c r="Z115" s="361">
        <f t="shared" ca="1" si="214"/>
        <v>0</v>
      </c>
      <c r="AA115" s="362">
        <f t="shared" ca="1" si="214"/>
        <v>0</v>
      </c>
      <c r="AB115" s="363">
        <f t="shared" ca="1" si="202"/>
        <v>0</v>
      </c>
      <c r="AC115" s="360">
        <f t="shared" ca="1" si="190"/>
        <v>0</v>
      </c>
      <c r="AD115" s="361">
        <f t="shared" ca="1" si="215"/>
        <v>0</v>
      </c>
      <c r="AE115" s="362">
        <f t="shared" ca="1" si="215"/>
        <v>0</v>
      </c>
      <c r="AF115" s="363">
        <f t="shared" ca="1" si="203"/>
        <v>0</v>
      </c>
      <c r="AG115" s="360">
        <f t="shared" ca="1" si="191"/>
        <v>0</v>
      </c>
      <c r="AH115" s="361">
        <f t="shared" ca="1" si="216"/>
        <v>0</v>
      </c>
      <c r="AI115" s="362">
        <f t="shared" ca="1" si="216"/>
        <v>0</v>
      </c>
      <c r="AJ115" s="363">
        <f t="shared" ca="1" si="204"/>
        <v>0</v>
      </c>
      <c r="AK115" s="360">
        <f t="shared" ca="1" si="192"/>
        <v>0</v>
      </c>
      <c r="AL115" s="361">
        <f t="shared" ca="1" si="217"/>
        <v>0</v>
      </c>
      <c r="AM115" s="362">
        <f t="shared" ca="1" si="217"/>
        <v>0</v>
      </c>
      <c r="AN115" s="363">
        <f t="shared" ca="1" si="205"/>
        <v>0</v>
      </c>
      <c r="AO115" s="360">
        <f t="shared" ca="1" si="193"/>
        <v>0</v>
      </c>
      <c r="AP115" s="361">
        <f t="shared" ca="1" si="218"/>
        <v>0</v>
      </c>
      <c r="AQ115" s="362">
        <f t="shared" ca="1" si="218"/>
        <v>0</v>
      </c>
      <c r="AR115" s="363">
        <f t="shared" ca="1" si="206"/>
        <v>0</v>
      </c>
      <c r="AS115" s="360">
        <f t="shared" ca="1" si="194"/>
        <v>0</v>
      </c>
      <c r="AT115" s="361">
        <f t="shared" ca="1" si="219"/>
        <v>0</v>
      </c>
      <c r="AU115" s="362">
        <f t="shared" ca="1" si="219"/>
        <v>0</v>
      </c>
      <c r="AV115" s="363">
        <f t="shared" ca="1" si="207"/>
        <v>0</v>
      </c>
      <c r="AW115" s="360">
        <f t="shared" ca="1" si="195"/>
        <v>0</v>
      </c>
      <c r="AX115" s="361">
        <f t="shared" ca="1" si="220"/>
        <v>0</v>
      </c>
      <c r="AY115" s="362">
        <f t="shared" ca="1" si="220"/>
        <v>0</v>
      </c>
      <c r="AZ115" s="363">
        <f t="shared" ca="1" si="208"/>
        <v>0</v>
      </c>
      <c r="BA115" s="360">
        <f t="shared" ca="1" si="196"/>
        <v>0</v>
      </c>
      <c r="BB115" s="361">
        <f t="shared" ca="1" si="221"/>
        <v>0</v>
      </c>
      <c r="BC115" s="362">
        <f t="shared" ca="1" si="221"/>
        <v>0</v>
      </c>
      <c r="BD115" s="363">
        <f t="shared" ca="1" si="209"/>
        <v>0</v>
      </c>
      <c r="BE115" s="360">
        <f t="shared" ca="1" si="197"/>
        <v>0</v>
      </c>
      <c r="BF115" s="361">
        <f t="shared" ca="1" si="222"/>
        <v>0</v>
      </c>
      <c r="BG115" s="362">
        <f t="shared" ca="1" si="222"/>
        <v>0</v>
      </c>
      <c r="BH115" s="363">
        <f t="shared" ca="1" si="210"/>
        <v>0</v>
      </c>
      <c r="BI115" s="360">
        <f t="shared" ca="1" si="198"/>
        <v>0</v>
      </c>
      <c r="BJ115" s="361">
        <f t="shared" ca="1" si="223"/>
        <v>0</v>
      </c>
      <c r="BK115" s="362">
        <f t="shared" ca="1" si="223"/>
        <v>0</v>
      </c>
      <c r="BL115" s="363">
        <f t="shared" ca="1" si="211"/>
        <v>0</v>
      </c>
      <c r="BM115" s="360">
        <f t="shared" ca="1" si="199"/>
        <v>0</v>
      </c>
      <c r="BN115" s="360">
        <f t="shared" ca="1" si="199"/>
        <v>0</v>
      </c>
      <c r="BP115" s="246"/>
    </row>
    <row r="116" spans="1:68">
      <c r="A116" s="221" t="str">
        <f t="shared" ca="1" si="186"/>
        <v>WP004</v>
      </c>
      <c r="B116" s="221" t="str">
        <f t="shared" ca="1" si="187"/>
        <v>WP004</v>
      </c>
      <c r="C116" s="221">
        <v>7</v>
      </c>
      <c r="D116" s="221" t="s">
        <v>82</v>
      </c>
      <c r="L116" s="221" t="s">
        <v>77</v>
      </c>
      <c r="M116" s="221" t="s">
        <v>80</v>
      </c>
      <c r="N116" s="461"/>
      <c r="O116" s="247"/>
      <c r="P116" s="248"/>
      <c r="Q116" s="249" t="str">
        <f>EMP_TYPE3</f>
        <v>Type 3</v>
      </c>
      <c r="R116" s="361">
        <f t="shared" ca="1" si="212"/>
        <v>0</v>
      </c>
      <c r="S116" s="362">
        <f t="shared" ca="1" si="212"/>
        <v>0</v>
      </c>
      <c r="T116" s="363">
        <f t="shared" ca="1" si="200"/>
        <v>0</v>
      </c>
      <c r="U116" s="360">
        <f t="shared" ca="1" si="188"/>
        <v>0</v>
      </c>
      <c r="V116" s="361">
        <f t="shared" ca="1" si="213"/>
        <v>0</v>
      </c>
      <c r="W116" s="362">
        <f t="shared" ca="1" si="213"/>
        <v>0</v>
      </c>
      <c r="X116" s="363">
        <f t="shared" ca="1" si="201"/>
        <v>0</v>
      </c>
      <c r="Y116" s="360">
        <f t="shared" ca="1" si="189"/>
        <v>0</v>
      </c>
      <c r="Z116" s="361">
        <f t="shared" ca="1" si="214"/>
        <v>0</v>
      </c>
      <c r="AA116" s="362">
        <f t="shared" ca="1" si="214"/>
        <v>0</v>
      </c>
      <c r="AB116" s="363">
        <f t="shared" ca="1" si="202"/>
        <v>0</v>
      </c>
      <c r="AC116" s="360">
        <f t="shared" ca="1" si="190"/>
        <v>0</v>
      </c>
      <c r="AD116" s="361">
        <f t="shared" ca="1" si="215"/>
        <v>0</v>
      </c>
      <c r="AE116" s="362">
        <f t="shared" ca="1" si="215"/>
        <v>0</v>
      </c>
      <c r="AF116" s="363">
        <f t="shared" ca="1" si="203"/>
        <v>0</v>
      </c>
      <c r="AG116" s="360">
        <f t="shared" ca="1" si="191"/>
        <v>0</v>
      </c>
      <c r="AH116" s="361">
        <f t="shared" ca="1" si="216"/>
        <v>0</v>
      </c>
      <c r="AI116" s="362">
        <f t="shared" ca="1" si="216"/>
        <v>0</v>
      </c>
      <c r="AJ116" s="363">
        <f t="shared" ca="1" si="204"/>
        <v>0</v>
      </c>
      <c r="AK116" s="360">
        <f t="shared" ca="1" si="192"/>
        <v>0</v>
      </c>
      <c r="AL116" s="361">
        <f t="shared" ca="1" si="217"/>
        <v>0</v>
      </c>
      <c r="AM116" s="362">
        <f t="shared" ca="1" si="217"/>
        <v>0</v>
      </c>
      <c r="AN116" s="363">
        <f t="shared" ca="1" si="205"/>
        <v>0</v>
      </c>
      <c r="AO116" s="360">
        <f t="shared" ca="1" si="193"/>
        <v>0</v>
      </c>
      <c r="AP116" s="361">
        <f t="shared" ca="1" si="218"/>
        <v>0</v>
      </c>
      <c r="AQ116" s="362">
        <f t="shared" ca="1" si="218"/>
        <v>0</v>
      </c>
      <c r="AR116" s="363">
        <f t="shared" ca="1" si="206"/>
        <v>0</v>
      </c>
      <c r="AS116" s="360">
        <f t="shared" ca="1" si="194"/>
        <v>0</v>
      </c>
      <c r="AT116" s="361">
        <f t="shared" ca="1" si="219"/>
        <v>0</v>
      </c>
      <c r="AU116" s="362">
        <f t="shared" ca="1" si="219"/>
        <v>0</v>
      </c>
      <c r="AV116" s="363">
        <f t="shared" ca="1" si="207"/>
        <v>0</v>
      </c>
      <c r="AW116" s="360">
        <f t="shared" ca="1" si="195"/>
        <v>0</v>
      </c>
      <c r="AX116" s="361">
        <f t="shared" ca="1" si="220"/>
        <v>0</v>
      </c>
      <c r="AY116" s="362">
        <f t="shared" ca="1" si="220"/>
        <v>0</v>
      </c>
      <c r="AZ116" s="363">
        <f t="shared" ca="1" si="208"/>
        <v>0</v>
      </c>
      <c r="BA116" s="360">
        <f t="shared" ca="1" si="196"/>
        <v>0</v>
      </c>
      <c r="BB116" s="361">
        <f t="shared" ca="1" si="221"/>
        <v>0</v>
      </c>
      <c r="BC116" s="362">
        <f t="shared" ca="1" si="221"/>
        <v>0</v>
      </c>
      <c r="BD116" s="363">
        <f t="shared" ca="1" si="209"/>
        <v>0</v>
      </c>
      <c r="BE116" s="360">
        <f t="shared" ca="1" si="197"/>
        <v>0</v>
      </c>
      <c r="BF116" s="361">
        <f t="shared" ca="1" si="222"/>
        <v>0</v>
      </c>
      <c r="BG116" s="362">
        <f t="shared" ca="1" si="222"/>
        <v>0</v>
      </c>
      <c r="BH116" s="363">
        <f t="shared" ca="1" si="210"/>
        <v>0</v>
      </c>
      <c r="BI116" s="360">
        <f t="shared" ca="1" si="198"/>
        <v>0</v>
      </c>
      <c r="BJ116" s="361">
        <f t="shared" ca="1" si="223"/>
        <v>0</v>
      </c>
      <c r="BK116" s="362">
        <f t="shared" ca="1" si="223"/>
        <v>0</v>
      </c>
      <c r="BL116" s="363">
        <f t="shared" ca="1" si="211"/>
        <v>0</v>
      </c>
      <c r="BM116" s="360">
        <f t="shared" ca="1" si="199"/>
        <v>0</v>
      </c>
      <c r="BN116" s="360">
        <f t="shared" ca="1" si="199"/>
        <v>0</v>
      </c>
      <c r="BP116" s="246"/>
    </row>
    <row r="117" spans="1:68">
      <c r="A117" s="221" t="str">
        <f t="shared" ca="1" si="186"/>
        <v>WP004</v>
      </c>
      <c r="B117" s="221" t="str">
        <f t="shared" ca="1" si="187"/>
        <v>WP004</v>
      </c>
      <c r="C117" s="221">
        <v>7</v>
      </c>
      <c r="D117" s="221" t="s">
        <v>83</v>
      </c>
      <c r="L117" s="221" t="s">
        <v>77</v>
      </c>
      <c r="M117" s="221" t="s">
        <v>80</v>
      </c>
      <c r="N117" s="461"/>
      <c r="O117" s="247"/>
      <c r="P117" s="248"/>
      <c r="Q117" s="249" t="str">
        <f>EMP_TYPE4</f>
        <v>Type 4</v>
      </c>
      <c r="R117" s="361">
        <f t="shared" ca="1" si="212"/>
        <v>0</v>
      </c>
      <c r="S117" s="362">
        <f t="shared" ca="1" si="212"/>
        <v>0</v>
      </c>
      <c r="T117" s="363">
        <f t="shared" ca="1" si="200"/>
        <v>0</v>
      </c>
      <c r="U117" s="360">
        <f t="shared" ca="1" si="188"/>
        <v>0</v>
      </c>
      <c r="V117" s="361">
        <f t="shared" ca="1" si="213"/>
        <v>0</v>
      </c>
      <c r="W117" s="362">
        <f t="shared" ca="1" si="213"/>
        <v>0</v>
      </c>
      <c r="X117" s="363">
        <f t="shared" ca="1" si="201"/>
        <v>0</v>
      </c>
      <c r="Y117" s="360">
        <f t="shared" ca="1" si="189"/>
        <v>0</v>
      </c>
      <c r="Z117" s="361">
        <f t="shared" ca="1" si="214"/>
        <v>0</v>
      </c>
      <c r="AA117" s="362">
        <f t="shared" ca="1" si="214"/>
        <v>0</v>
      </c>
      <c r="AB117" s="363">
        <f t="shared" ca="1" si="202"/>
        <v>0</v>
      </c>
      <c r="AC117" s="360">
        <f t="shared" ca="1" si="190"/>
        <v>0</v>
      </c>
      <c r="AD117" s="361">
        <f t="shared" ca="1" si="215"/>
        <v>0</v>
      </c>
      <c r="AE117" s="362">
        <f t="shared" ca="1" si="215"/>
        <v>0</v>
      </c>
      <c r="AF117" s="363">
        <f t="shared" ca="1" si="203"/>
        <v>0</v>
      </c>
      <c r="AG117" s="360">
        <f t="shared" ca="1" si="191"/>
        <v>0</v>
      </c>
      <c r="AH117" s="361">
        <f t="shared" ca="1" si="216"/>
        <v>0</v>
      </c>
      <c r="AI117" s="362">
        <f t="shared" ca="1" si="216"/>
        <v>0</v>
      </c>
      <c r="AJ117" s="363">
        <f t="shared" ca="1" si="204"/>
        <v>0</v>
      </c>
      <c r="AK117" s="360">
        <f t="shared" ca="1" si="192"/>
        <v>0</v>
      </c>
      <c r="AL117" s="361">
        <f t="shared" ca="1" si="217"/>
        <v>0</v>
      </c>
      <c r="AM117" s="362">
        <f t="shared" ca="1" si="217"/>
        <v>0</v>
      </c>
      <c r="AN117" s="363">
        <f t="shared" ca="1" si="205"/>
        <v>0</v>
      </c>
      <c r="AO117" s="360">
        <f t="shared" ca="1" si="193"/>
        <v>0</v>
      </c>
      <c r="AP117" s="361">
        <f t="shared" ca="1" si="218"/>
        <v>0</v>
      </c>
      <c r="AQ117" s="362">
        <f t="shared" ca="1" si="218"/>
        <v>0</v>
      </c>
      <c r="AR117" s="363">
        <f t="shared" ca="1" si="206"/>
        <v>0</v>
      </c>
      <c r="AS117" s="360">
        <f t="shared" ca="1" si="194"/>
        <v>0</v>
      </c>
      <c r="AT117" s="361">
        <f t="shared" ca="1" si="219"/>
        <v>0</v>
      </c>
      <c r="AU117" s="362">
        <f t="shared" ca="1" si="219"/>
        <v>0</v>
      </c>
      <c r="AV117" s="363">
        <f t="shared" ca="1" si="207"/>
        <v>0</v>
      </c>
      <c r="AW117" s="360">
        <f t="shared" ca="1" si="195"/>
        <v>0</v>
      </c>
      <c r="AX117" s="361">
        <f t="shared" ca="1" si="220"/>
        <v>0</v>
      </c>
      <c r="AY117" s="362">
        <f t="shared" ca="1" si="220"/>
        <v>0</v>
      </c>
      <c r="AZ117" s="363">
        <f t="shared" ca="1" si="208"/>
        <v>0</v>
      </c>
      <c r="BA117" s="360">
        <f t="shared" ca="1" si="196"/>
        <v>0</v>
      </c>
      <c r="BB117" s="361">
        <f t="shared" ca="1" si="221"/>
        <v>0</v>
      </c>
      <c r="BC117" s="362">
        <f t="shared" ca="1" si="221"/>
        <v>0</v>
      </c>
      <c r="BD117" s="363">
        <f t="shared" ca="1" si="209"/>
        <v>0</v>
      </c>
      <c r="BE117" s="360">
        <f t="shared" ca="1" si="197"/>
        <v>0</v>
      </c>
      <c r="BF117" s="361">
        <f t="shared" ca="1" si="222"/>
        <v>0</v>
      </c>
      <c r="BG117" s="362">
        <f t="shared" ca="1" si="222"/>
        <v>0</v>
      </c>
      <c r="BH117" s="363">
        <f t="shared" ca="1" si="210"/>
        <v>0</v>
      </c>
      <c r="BI117" s="360">
        <f t="shared" ca="1" si="198"/>
        <v>0</v>
      </c>
      <c r="BJ117" s="361">
        <f t="shared" ca="1" si="223"/>
        <v>0</v>
      </c>
      <c r="BK117" s="362">
        <f t="shared" ca="1" si="223"/>
        <v>0</v>
      </c>
      <c r="BL117" s="363">
        <f t="shared" ca="1" si="211"/>
        <v>0</v>
      </c>
      <c r="BM117" s="360">
        <f t="shared" ca="1" si="199"/>
        <v>0</v>
      </c>
      <c r="BN117" s="360">
        <f t="shared" ca="1" si="199"/>
        <v>0</v>
      </c>
      <c r="BP117" s="246"/>
    </row>
    <row r="118" spans="1:68">
      <c r="A118" s="221" t="str">
        <f t="shared" ca="1" si="186"/>
        <v>WP004</v>
      </c>
      <c r="B118" s="221" t="str">
        <f t="shared" ca="1" si="187"/>
        <v>WP004</v>
      </c>
      <c r="C118" s="221">
        <v>7</v>
      </c>
      <c r="D118" s="221" t="s">
        <v>84</v>
      </c>
      <c r="L118" s="221" t="s">
        <v>77</v>
      </c>
      <c r="M118" s="221" t="s">
        <v>80</v>
      </c>
      <c r="N118" s="461"/>
      <c r="O118" s="247"/>
      <c r="P118" s="248"/>
      <c r="Q118" s="249" t="str">
        <f>EMP_OTHER</f>
        <v>Type 5</v>
      </c>
      <c r="R118" s="361">
        <f t="shared" ca="1" si="212"/>
        <v>0</v>
      </c>
      <c r="S118" s="362">
        <f t="shared" ca="1" si="212"/>
        <v>0</v>
      </c>
      <c r="T118" s="363">
        <f t="shared" ca="1" si="200"/>
        <v>0</v>
      </c>
      <c r="U118" s="360">
        <f t="shared" ca="1" si="188"/>
        <v>0</v>
      </c>
      <c r="V118" s="361">
        <f t="shared" ca="1" si="213"/>
        <v>0</v>
      </c>
      <c r="W118" s="362">
        <f t="shared" ca="1" si="213"/>
        <v>0</v>
      </c>
      <c r="X118" s="363">
        <f t="shared" ca="1" si="201"/>
        <v>0</v>
      </c>
      <c r="Y118" s="360">
        <f t="shared" ca="1" si="189"/>
        <v>0</v>
      </c>
      <c r="Z118" s="361">
        <f t="shared" ca="1" si="214"/>
        <v>0</v>
      </c>
      <c r="AA118" s="362">
        <f t="shared" ca="1" si="214"/>
        <v>0</v>
      </c>
      <c r="AB118" s="363">
        <f t="shared" ca="1" si="202"/>
        <v>0</v>
      </c>
      <c r="AC118" s="360">
        <f t="shared" ca="1" si="190"/>
        <v>0</v>
      </c>
      <c r="AD118" s="361">
        <f t="shared" ca="1" si="215"/>
        <v>0</v>
      </c>
      <c r="AE118" s="362">
        <f t="shared" ca="1" si="215"/>
        <v>0</v>
      </c>
      <c r="AF118" s="363">
        <f t="shared" ca="1" si="203"/>
        <v>0</v>
      </c>
      <c r="AG118" s="360">
        <f t="shared" ca="1" si="191"/>
        <v>0</v>
      </c>
      <c r="AH118" s="361">
        <f t="shared" ca="1" si="216"/>
        <v>0</v>
      </c>
      <c r="AI118" s="362">
        <f t="shared" ca="1" si="216"/>
        <v>0</v>
      </c>
      <c r="AJ118" s="363">
        <f t="shared" ca="1" si="204"/>
        <v>0</v>
      </c>
      <c r="AK118" s="360">
        <f t="shared" ca="1" si="192"/>
        <v>0</v>
      </c>
      <c r="AL118" s="361">
        <f t="shared" ca="1" si="217"/>
        <v>0</v>
      </c>
      <c r="AM118" s="362">
        <f t="shared" ca="1" si="217"/>
        <v>0</v>
      </c>
      <c r="AN118" s="363">
        <f t="shared" ca="1" si="205"/>
        <v>0</v>
      </c>
      <c r="AO118" s="360">
        <f t="shared" ca="1" si="193"/>
        <v>0</v>
      </c>
      <c r="AP118" s="361">
        <f t="shared" ca="1" si="218"/>
        <v>0</v>
      </c>
      <c r="AQ118" s="362">
        <f t="shared" ca="1" si="218"/>
        <v>0</v>
      </c>
      <c r="AR118" s="363">
        <f t="shared" ca="1" si="206"/>
        <v>0</v>
      </c>
      <c r="AS118" s="360">
        <f t="shared" ca="1" si="194"/>
        <v>0</v>
      </c>
      <c r="AT118" s="361">
        <f t="shared" ca="1" si="219"/>
        <v>0</v>
      </c>
      <c r="AU118" s="362">
        <f t="shared" ca="1" si="219"/>
        <v>0</v>
      </c>
      <c r="AV118" s="363">
        <f t="shared" ca="1" si="207"/>
        <v>0</v>
      </c>
      <c r="AW118" s="360">
        <f t="shared" ca="1" si="195"/>
        <v>0</v>
      </c>
      <c r="AX118" s="361">
        <f t="shared" ca="1" si="220"/>
        <v>0</v>
      </c>
      <c r="AY118" s="362">
        <f t="shared" ca="1" si="220"/>
        <v>0</v>
      </c>
      <c r="AZ118" s="363">
        <f t="shared" ca="1" si="208"/>
        <v>0</v>
      </c>
      <c r="BA118" s="360">
        <f t="shared" ca="1" si="196"/>
        <v>0</v>
      </c>
      <c r="BB118" s="361">
        <f t="shared" ca="1" si="221"/>
        <v>0</v>
      </c>
      <c r="BC118" s="362">
        <f t="shared" ca="1" si="221"/>
        <v>0</v>
      </c>
      <c r="BD118" s="363">
        <f t="shared" ca="1" si="209"/>
        <v>0</v>
      </c>
      <c r="BE118" s="360">
        <f t="shared" ca="1" si="197"/>
        <v>0</v>
      </c>
      <c r="BF118" s="361">
        <f t="shared" ca="1" si="222"/>
        <v>0</v>
      </c>
      <c r="BG118" s="362">
        <f t="shared" ca="1" si="222"/>
        <v>0</v>
      </c>
      <c r="BH118" s="363">
        <f t="shared" ca="1" si="210"/>
        <v>0</v>
      </c>
      <c r="BI118" s="360">
        <f t="shared" ca="1" si="198"/>
        <v>0</v>
      </c>
      <c r="BJ118" s="361">
        <f t="shared" ca="1" si="223"/>
        <v>0</v>
      </c>
      <c r="BK118" s="362">
        <f t="shared" ca="1" si="223"/>
        <v>0</v>
      </c>
      <c r="BL118" s="363">
        <f t="shared" ca="1" si="211"/>
        <v>0</v>
      </c>
      <c r="BM118" s="360">
        <f t="shared" ca="1" si="199"/>
        <v>0</v>
      </c>
      <c r="BN118" s="360">
        <f t="shared" ca="1" si="199"/>
        <v>0</v>
      </c>
      <c r="BP118" s="246"/>
    </row>
    <row r="119" spans="1:68">
      <c r="A119" s="221" t="str">
        <f t="shared" ca="1" si="186"/>
        <v>WP004</v>
      </c>
      <c r="B119" s="221" t="str">
        <f t="shared" ca="1" si="187"/>
        <v>WP004</v>
      </c>
      <c r="C119" s="221">
        <v>6</v>
      </c>
      <c r="D119" s="221" t="s">
        <v>85</v>
      </c>
      <c r="J119" s="222" t="s">
        <v>75</v>
      </c>
      <c r="M119" s="221" t="s">
        <v>80</v>
      </c>
      <c r="N119" s="461"/>
      <c r="O119" s="250"/>
      <c r="P119" s="458" t="s">
        <v>86</v>
      </c>
      <c r="Q119" s="456"/>
      <c r="R119" s="364">
        <f t="shared" ca="1" si="212"/>
        <v>0</v>
      </c>
      <c r="S119" s="358">
        <f t="shared" ca="1" si="212"/>
        <v>0</v>
      </c>
      <c r="T119" s="359">
        <f t="shared" ca="1" si="200"/>
        <v>0</v>
      </c>
      <c r="U119" s="360">
        <f t="shared" ca="1" si="188"/>
        <v>0</v>
      </c>
      <c r="V119" s="364">
        <f t="shared" ca="1" si="213"/>
        <v>0</v>
      </c>
      <c r="W119" s="358">
        <f t="shared" ca="1" si="213"/>
        <v>0</v>
      </c>
      <c r="X119" s="359">
        <f t="shared" ca="1" si="201"/>
        <v>0</v>
      </c>
      <c r="Y119" s="360">
        <f t="shared" ca="1" si="189"/>
        <v>0</v>
      </c>
      <c r="Z119" s="364">
        <f t="shared" ca="1" si="214"/>
        <v>0</v>
      </c>
      <c r="AA119" s="358">
        <f t="shared" ca="1" si="214"/>
        <v>0</v>
      </c>
      <c r="AB119" s="359">
        <f t="shared" ca="1" si="202"/>
        <v>0</v>
      </c>
      <c r="AC119" s="360">
        <f t="shared" ca="1" si="190"/>
        <v>0</v>
      </c>
      <c r="AD119" s="364">
        <f t="shared" ca="1" si="215"/>
        <v>0</v>
      </c>
      <c r="AE119" s="358">
        <f t="shared" ca="1" si="215"/>
        <v>0</v>
      </c>
      <c r="AF119" s="359">
        <f t="shared" ca="1" si="203"/>
        <v>0</v>
      </c>
      <c r="AG119" s="360">
        <f t="shared" ca="1" si="191"/>
        <v>0</v>
      </c>
      <c r="AH119" s="364">
        <f t="shared" ca="1" si="216"/>
        <v>0</v>
      </c>
      <c r="AI119" s="358">
        <f t="shared" ca="1" si="216"/>
        <v>0</v>
      </c>
      <c r="AJ119" s="359">
        <f t="shared" ca="1" si="204"/>
        <v>0</v>
      </c>
      <c r="AK119" s="360">
        <f t="shared" ca="1" si="192"/>
        <v>0</v>
      </c>
      <c r="AL119" s="364">
        <f t="shared" ca="1" si="217"/>
        <v>0</v>
      </c>
      <c r="AM119" s="358">
        <f t="shared" ca="1" si="217"/>
        <v>0</v>
      </c>
      <c r="AN119" s="359">
        <f t="shared" ca="1" si="205"/>
        <v>0</v>
      </c>
      <c r="AO119" s="360">
        <f t="shared" ca="1" si="193"/>
        <v>0</v>
      </c>
      <c r="AP119" s="364">
        <f t="shared" ca="1" si="218"/>
        <v>0</v>
      </c>
      <c r="AQ119" s="358">
        <f t="shared" ca="1" si="218"/>
        <v>0</v>
      </c>
      <c r="AR119" s="359">
        <f t="shared" ca="1" si="206"/>
        <v>0</v>
      </c>
      <c r="AS119" s="360">
        <f t="shared" ca="1" si="194"/>
        <v>0</v>
      </c>
      <c r="AT119" s="364">
        <f t="shared" ca="1" si="219"/>
        <v>0</v>
      </c>
      <c r="AU119" s="358">
        <f t="shared" ca="1" si="219"/>
        <v>0</v>
      </c>
      <c r="AV119" s="359">
        <f t="shared" ca="1" si="207"/>
        <v>0</v>
      </c>
      <c r="AW119" s="360">
        <f t="shared" ca="1" si="195"/>
        <v>0</v>
      </c>
      <c r="AX119" s="364">
        <f t="shared" ca="1" si="220"/>
        <v>0</v>
      </c>
      <c r="AY119" s="358">
        <f t="shared" ca="1" si="220"/>
        <v>0</v>
      </c>
      <c r="AZ119" s="359">
        <f t="shared" ca="1" si="208"/>
        <v>0</v>
      </c>
      <c r="BA119" s="360">
        <f t="shared" ca="1" si="196"/>
        <v>0</v>
      </c>
      <c r="BB119" s="364">
        <f t="shared" ca="1" si="221"/>
        <v>0</v>
      </c>
      <c r="BC119" s="358">
        <f t="shared" ca="1" si="221"/>
        <v>0</v>
      </c>
      <c r="BD119" s="359">
        <f t="shared" ca="1" si="209"/>
        <v>0</v>
      </c>
      <c r="BE119" s="360">
        <f t="shared" ca="1" si="197"/>
        <v>0</v>
      </c>
      <c r="BF119" s="364">
        <f t="shared" ca="1" si="222"/>
        <v>0</v>
      </c>
      <c r="BG119" s="358">
        <f t="shared" ca="1" si="222"/>
        <v>0</v>
      </c>
      <c r="BH119" s="359">
        <f t="shared" ca="1" si="210"/>
        <v>0</v>
      </c>
      <c r="BI119" s="360">
        <f t="shared" ca="1" si="198"/>
        <v>0</v>
      </c>
      <c r="BJ119" s="364">
        <f t="shared" ca="1" si="223"/>
        <v>0</v>
      </c>
      <c r="BK119" s="358">
        <f t="shared" ca="1" si="223"/>
        <v>0</v>
      </c>
      <c r="BL119" s="359">
        <f t="shared" ca="1" si="211"/>
        <v>0</v>
      </c>
      <c r="BM119" s="360">
        <f t="shared" ca="1" si="199"/>
        <v>0</v>
      </c>
      <c r="BN119" s="360">
        <f t="shared" ca="1" si="199"/>
        <v>0</v>
      </c>
      <c r="BP119" s="246"/>
    </row>
    <row r="120" spans="1:68">
      <c r="A120" s="221" t="str">
        <f t="shared" ca="1" si="186"/>
        <v>WP004</v>
      </c>
      <c r="B120" s="221" t="str">
        <f t="shared" ca="1" si="187"/>
        <v>WP004</v>
      </c>
      <c r="C120" s="221">
        <v>6</v>
      </c>
      <c r="D120" s="221" t="s">
        <v>87</v>
      </c>
      <c r="J120" s="222" t="s">
        <v>75</v>
      </c>
      <c r="M120" s="221" t="s">
        <v>80</v>
      </c>
      <c r="N120" s="461"/>
      <c r="O120" s="250"/>
      <c r="P120" s="458" t="s">
        <v>88</v>
      </c>
      <c r="Q120" s="456"/>
      <c r="R120" s="364">
        <f t="shared" ca="1" si="212"/>
        <v>0</v>
      </c>
      <c r="S120" s="358">
        <f t="shared" ca="1" si="212"/>
        <v>0</v>
      </c>
      <c r="T120" s="359">
        <f t="shared" ca="1" si="200"/>
        <v>0</v>
      </c>
      <c r="U120" s="360">
        <f t="shared" ca="1" si="188"/>
        <v>0</v>
      </c>
      <c r="V120" s="364">
        <f t="shared" ca="1" si="213"/>
        <v>0</v>
      </c>
      <c r="W120" s="358">
        <f t="shared" ca="1" si="213"/>
        <v>0</v>
      </c>
      <c r="X120" s="359">
        <f t="shared" ca="1" si="201"/>
        <v>0</v>
      </c>
      <c r="Y120" s="360">
        <f t="shared" ca="1" si="189"/>
        <v>0</v>
      </c>
      <c r="Z120" s="364">
        <f t="shared" ca="1" si="214"/>
        <v>0</v>
      </c>
      <c r="AA120" s="358">
        <f t="shared" ca="1" si="214"/>
        <v>0</v>
      </c>
      <c r="AB120" s="359">
        <f t="shared" ca="1" si="202"/>
        <v>0</v>
      </c>
      <c r="AC120" s="360">
        <f t="shared" ca="1" si="190"/>
        <v>0</v>
      </c>
      <c r="AD120" s="364">
        <f t="shared" ca="1" si="215"/>
        <v>0</v>
      </c>
      <c r="AE120" s="358">
        <f t="shared" ca="1" si="215"/>
        <v>0</v>
      </c>
      <c r="AF120" s="359">
        <f t="shared" ca="1" si="203"/>
        <v>0</v>
      </c>
      <c r="AG120" s="360">
        <f t="shared" ca="1" si="191"/>
        <v>0</v>
      </c>
      <c r="AH120" s="364">
        <f t="shared" ca="1" si="216"/>
        <v>0</v>
      </c>
      <c r="AI120" s="358">
        <f t="shared" ca="1" si="216"/>
        <v>0</v>
      </c>
      <c r="AJ120" s="359">
        <f t="shared" ca="1" si="204"/>
        <v>0</v>
      </c>
      <c r="AK120" s="360">
        <f t="shared" ca="1" si="192"/>
        <v>0</v>
      </c>
      <c r="AL120" s="364">
        <f t="shared" ca="1" si="217"/>
        <v>0</v>
      </c>
      <c r="AM120" s="358">
        <f t="shared" ca="1" si="217"/>
        <v>0</v>
      </c>
      <c r="AN120" s="359">
        <f t="shared" ca="1" si="205"/>
        <v>0</v>
      </c>
      <c r="AO120" s="360">
        <f t="shared" ca="1" si="193"/>
        <v>0</v>
      </c>
      <c r="AP120" s="364">
        <f t="shared" ca="1" si="218"/>
        <v>0</v>
      </c>
      <c r="AQ120" s="358">
        <f t="shared" ca="1" si="218"/>
        <v>0</v>
      </c>
      <c r="AR120" s="359">
        <f t="shared" ca="1" si="206"/>
        <v>0</v>
      </c>
      <c r="AS120" s="360">
        <f t="shared" ca="1" si="194"/>
        <v>0</v>
      </c>
      <c r="AT120" s="364">
        <f t="shared" ca="1" si="219"/>
        <v>0</v>
      </c>
      <c r="AU120" s="358">
        <f t="shared" ca="1" si="219"/>
        <v>0</v>
      </c>
      <c r="AV120" s="359">
        <f t="shared" ca="1" si="207"/>
        <v>0</v>
      </c>
      <c r="AW120" s="360">
        <f t="shared" ca="1" si="195"/>
        <v>0</v>
      </c>
      <c r="AX120" s="364">
        <f t="shared" ca="1" si="220"/>
        <v>0</v>
      </c>
      <c r="AY120" s="358">
        <f t="shared" ca="1" si="220"/>
        <v>0</v>
      </c>
      <c r="AZ120" s="359">
        <f t="shared" ca="1" si="208"/>
        <v>0</v>
      </c>
      <c r="BA120" s="360">
        <f t="shared" ca="1" si="196"/>
        <v>0</v>
      </c>
      <c r="BB120" s="364">
        <f t="shared" ca="1" si="221"/>
        <v>0</v>
      </c>
      <c r="BC120" s="358">
        <f t="shared" ca="1" si="221"/>
        <v>0</v>
      </c>
      <c r="BD120" s="359">
        <f t="shared" ca="1" si="209"/>
        <v>0</v>
      </c>
      <c r="BE120" s="360">
        <f t="shared" ca="1" si="197"/>
        <v>0</v>
      </c>
      <c r="BF120" s="364">
        <f t="shared" ca="1" si="222"/>
        <v>0</v>
      </c>
      <c r="BG120" s="358">
        <f t="shared" ca="1" si="222"/>
        <v>0</v>
      </c>
      <c r="BH120" s="359">
        <f t="shared" ca="1" si="210"/>
        <v>0</v>
      </c>
      <c r="BI120" s="360">
        <f t="shared" ca="1" si="198"/>
        <v>0</v>
      </c>
      <c r="BJ120" s="364">
        <f t="shared" ca="1" si="223"/>
        <v>0</v>
      </c>
      <c r="BK120" s="358">
        <f t="shared" ca="1" si="223"/>
        <v>0</v>
      </c>
      <c r="BL120" s="359">
        <f t="shared" ca="1" si="211"/>
        <v>0</v>
      </c>
      <c r="BM120" s="360">
        <f t="shared" ca="1" si="199"/>
        <v>0</v>
      </c>
      <c r="BN120" s="360">
        <f t="shared" ca="1" si="199"/>
        <v>0</v>
      </c>
      <c r="BP120" s="246"/>
    </row>
    <row r="121" spans="1:68">
      <c r="A121" s="221" t="str">
        <f t="shared" ca="1" si="186"/>
        <v>WP004</v>
      </c>
      <c r="B121" s="221" t="str">
        <f t="shared" ca="1" si="187"/>
        <v>WP004</v>
      </c>
      <c r="C121" s="221">
        <v>6</v>
      </c>
      <c r="D121" s="221" t="s">
        <v>89</v>
      </c>
      <c r="J121" s="222" t="s">
        <v>75</v>
      </c>
      <c r="M121" s="221" t="s">
        <v>80</v>
      </c>
      <c r="N121" s="461"/>
      <c r="O121" s="250"/>
      <c r="P121" s="458" t="s">
        <v>90</v>
      </c>
      <c r="Q121" s="456"/>
      <c r="R121" s="364">
        <f t="shared" ca="1" si="212"/>
        <v>0</v>
      </c>
      <c r="S121" s="358">
        <f t="shared" ca="1" si="212"/>
        <v>0</v>
      </c>
      <c r="T121" s="359">
        <f t="shared" ca="1" si="200"/>
        <v>0</v>
      </c>
      <c r="U121" s="360">
        <f t="shared" ca="1" si="188"/>
        <v>0</v>
      </c>
      <c r="V121" s="364">
        <f t="shared" ca="1" si="213"/>
        <v>0</v>
      </c>
      <c r="W121" s="358">
        <f t="shared" ca="1" si="213"/>
        <v>0</v>
      </c>
      <c r="X121" s="359">
        <f t="shared" ca="1" si="201"/>
        <v>0</v>
      </c>
      <c r="Y121" s="360">
        <f t="shared" ca="1" si="189"/>
        <v>0</v>
      </c>
      <c r="Z121" s="364">
        <f t="shared" ca="1" si="214"/>
        <v>0</v>
      </c>
      <c r="AA121" s="358">
        <f t="shared" ca="1" si="214"/>
        <v>0</v>
      </c>
      <c r="AB121" s="359">
        <f t="shared" ca="1" si="202"/>
        <v>0</v>
      </c>
      <c r="AC121" s="360">
        <f t="shared" ca="1" si="190"/>
        <v>0</v>
      </c>
      <c r="AD121" s="364">
        <f t="shared" ca="1" si="215"/>
        <v>0</v>
      </c>
      <c r="AE121" s="358">
        <f t="shared" ca="1" si="215"/>
        <v>0</v>
      </c>
      <c r="AF121" s="359">
        <f t="shared" ca="1" si="203"/>
        <v>0</v>
      </c>
      <c r="AG121" s="360">
        <f t="shared" ca="1" si="191"/>
        <v>0</v>
      </c>
      <c r="AH121" s="364">
        <f t="shared" ca="1" si="216"/>
        <v>0</v>
      </c>
      <c r="AI121" s="358">
        <f t="shared" ca="1" si="216"/>
        <v>0</v>
      </c>
      <c r="AJ121" s="359">
        <f t="shared" ca="1" si="204"/>
        <v>0</v>
      </c>
      <c r="AK121" s="360">
        <f t="shared" ca="1" si="192"/>
        <v>0</v>
      </c>
      <c r="AL121" s="364">
        <f t="shared" ca="1" si="217"/>
        <v>0</v>
      </c>
      <c r="AM121" s="358">
        <f t="shared" ca="1" si="217"/>
        <v>0</v>
      </c>
      <c r="AN121" s="359">
        <f t="shared" ca="1" si="205"/>
        <v>0</v>
      </c>
      <c r="AO121" s="360">
        <f t="shared" ca="1" si="193"/>
        <v>0</v>
      </c>
      <c r="AP121" s="364">
        <f t="shared" ca="1" si="218"/>
        <v>0</v>
      </c>
      <c r="AQ121" s="358">
        <f t="shared" ca="1" si="218"/>
        <v>0</v>
      </c>
      <c r="AR121" s="359">
        <f t="shared" ca="1" si="206"/>
        <v>0</v>
      </c>
      <c r="AS121" s="360">
        <f t="shared" ca="1" si="194"/>
        <v>0</v>
      </c>
      <c r="AT121" s="364">
        <f t="shared" ca="1" si="219"/>
        <v>0</v>
      </c>
      <c r="AU121" s="358">
        <f t="shared" ca="1" si="219"/>
        <v>0</v>
      </c>
      <c r="AV121" s="359">
        <f t="shared" ca="1" si="207"/>
        <v>0</v>
      </c>
      <c r="AW121" s="360">
        <f t="shared" ca="1" si="195"/>
        <v>0</v>
      </c>
      <c r="AX121" s="364">
        <f t="shared" ca="1" si="220"/>
        <v>0</v>
      </c>
      <c r="AY121" s="358">
        <f t="shared" ca="1" si="220"/>
        <v>0</v>
      </c>
      <c r="AZ121" s="359">
        <f t="shared" ca="1" si="208"/>
        <v>0</v>
      </c>
      <c r="BA121" s="360">
        <f t="shared" ca="1" si="196"/>
        <v>0</v>
      </c>
      <c r="BB121" s="364">
        <f t="shared" ca="1" si="221"/>
        <v>0</v>
      </c>
      <c r="BC121" s="358">
        <f t="shared" ca="1" si="221"/>
        <v>0</v>
      </c>
      <c r="BD121" s="359">
        <f t="shared" ca="1" si="209"/>
        <v>0</v>
      </c>
      <c r="BE121" s="360">
        <f t="shared" ca="1" si="197"/>
        <v>0</v>
      </c>
      <c r="BF121" s="364">
        <f t="shared" ca="1" si="222"/>
        <v>0</v>
      </c>
      <c r="BG121" s="358">
        <f t="shared" ca="1" si="222"/>
        <v>0</v>
      </c>
      <c r="BH121" s="359">
        <f t="shared" ca="1" si="210"/>
        <v>0</v>
      </c>
      <c r="BI121" s="360">
        <f t="shared" ca="1" si="198"/>
        <v>0</v>
      </c>
      <c r="BJ121" s="364">
        <f t="shared" ca="1" si="223"/>
        <v>0</v>
      </c>
      <c r="BK121" s="358">
        <f t="shared" ca="1" si="223"/>
        <v>0</v>
      </c>
      <c r="BL121" s="359">
        <f t="shared" ca="1" si="211"/>
        <v>0</v>
      </c>
      <c r="BM121" s="360">
        <f t="shared" ca="1" si="199"/>
        <v>0</v>
      </c>
      <c r="BN121" s="360">
        <f t="shared" ca="1" si="199"/>
        <v>0</v>
      </c>
      <c r="BP121" s="246"/>
    </row>
    <row r="122" spans="1:68">
      <c r="A122" s="221" t="str">
        <f t="shared" ca="1" si="186"/>
        <v>WP004</v>
      </c>
      <c r="B122" s="221" t="str">
        <f t="shared" ca="1" si="187"/>
        <v>WP004</v>
      </c>
      <c r="C122" s="221">
        <v>6</v>
      </c>
      <c r="D122" s="221" t="s">
        <v>91</v>
      </c>
      <c r="J122" s="222" t="s">
        <v>75</v>
      </c>
      <c r="M122" s="221" t="s">
        <v>80</v>
      </c>
      <c r="N122" s="461"/>
      <c r="O122" s="250"/>
      <c r="P122" s="458" t="s">
        <v>92</v>
      </c>
      <c r="Q122" s="456"/>
      <c r="R122" s="364">
        <f t="shared" ca="1" si="212"/>
        <v>0</v>
      </c>
      <c r="S122" s="358">
        <f t="shared" ca="1" si="212"/>
        <v>0</v>
      </c>
      <c r="T122" s="359">
        <f t="shared" ca="1" si="200"/>
        <v>0</v>
      </c>
      <c r="U122" s="360">
        <f t="shared" ca="1" si="188"/>
        <v>0</v>
      </c>
      <c r="V122" s="364">
        <f t="shared" ca="1" si="213"/>
        <v>0</v>
      </c>
      <c r="W122" s="358">
        <f t="shared" ca="1" si="213"/>
        <v>0</v>
      </c>
      <c r="X122" s="359">
        <f t="shared" ca="1" si="201"/>
        <v>0</v>
      </c>
      <c r="Y122" s="360">
        <f t="shared" ca="1" si="189"/>
        <v>0</v>
      </c>
      <c r="Z122" s="364">
        <f t="shared" ca="1" si="214"/>
        <v>0</v>
      </c>
      <c r="AA122" s="358">
        <f t="shared" ca="1" si="214"/>
        <v>0</v>
      </c>
      <c r="AB122" s="359">
        <f t="shared" ca="1" si="202"/>
        <v>0</v>
      </c>
      <c r="AC122" s="360">
        <f t="shared" ca="1" si="190"/>
        <v>0</v>
      </c>
      <c r="AD122" s="364">
        <f t="shared" ca="1" si="215"/>
        <v>0</v>
      </c>
      <c r="AE122" s="358">
        <f t="shared" ca="1" si="215"/>
        <v>0</v>
      </c>
      <c r="AF122" s="359">
        <f t="shared" ca="1" si="203"/>
        <v>0</v>
      </c>
      <c r="AG122" s="360">
        <f t="shared" ca="1" si="191"/>
        <v>0</v>
      </c>
      <c r="AH122" s="364">
        <f t="shared" ca="1" si="216"/>
        <v>0</v>
      </c>
      <c r="AI122" s="358">
        <f t="shared" ca="1" si="216"/>
        <v>0</v>
      </c>
      <c r="AJ122" s="359">
        <f t="shared" ca="1" si="204"/>
        <v>0</v>
      </c>
      <c r="AK122" s="360">
        <f t="shared" ca="1" si="192"/>
        <v>0</v>
      </c>
      <c r="AL122" s="364">
        <f t="shared" ca="1" si="217"/>
        <v>0</v>
      </c>
      <c r="AM122" s="358">
        <f t="shared" ca="1" si="217"/>
        <v>0</v>
      </c>
      <c r="AN122" s="359">
        <f t="shared" ca="1" si="205"/>
        <v>0</v>
      </c>
      <c r="AO122" s="360">
        <f t="shared" ca="1" si="193"/>
        <v>0</v>
      </c>
      <c r="AP122" s="364">
        <f t="shared" ca="1" si="218"/>
        <v>0</v>
      </c>
      <c r="AQ122" s="358">
        <f t="shared" ca="1" si="218"/>
        <v>0</v>
      </c>
      <c r="AR122" s="359">
        <f t="shared" ca="1" si="206"/>
        <v>0</v>
      </c>
      <c r="AS122" s="360">
        <f t="shared" ca="1" si="194"/>
        <v>0</v>
      </c>
      <c r="AT122" s="364">
        <f t="shared" ca="1" si="219"/>
        <v>0</v>
      </c>
      <c r="AU122" s="358">
        <f t="shared" ca="1" si="219"/>
        <v>0</v>
      </c>
      <c r="AV122" s="359">
        <f t="shared" ca="1" si="207"/>
        <v>0</v>
      </c>
      <c r="AW122" s="360">
        <f t="shared" ca="1" si="195"/>
        <v>0</v>
      </c>
      <c r="AX122" s="364">
        <f t="shared" ca="1" si="220"/>
        <v>0</v>
      </c>
      <c r="AY122" s="358">
        <f t="shared" ca="1" si="220"/>
        <v>0</v>
      </c>
      <c r="AZ122" s="359">
        <f t="shared" ca="1" si="208"/>
        <v>0</v>
      </c>
      <c r="BA122" s="360">
        <f t="shared" ca="1" si="196"/>
        <v>0</v>
      </c>
      <c r="BB122" s="364">
        <f t="shared" ca="1" si="221"/>
        <v>0</v>
      </c>
      <c r="BC122" s="358">
        <f t="shared" ca="1" si="221"/>
        <v>0</v>
      </c>
      <c r="BD122" s="359">
        <f t="shared" ca="1" si="209"/>
        <v>0</v>
      </c>
      <c r="BE122" s="360">
        <f t="shared" ca="1" si="197"/>
        <v>0</v>
      </c>
      <c r="BF122" s="364">
        <f t="shared" ca="1" si="222"/>
        <v>0</v>
      </c>
      <c r="BG122" s="358">
        <f t="shared" ca="1" si="222"/>
        <v>0</v>
      </c>
      <c r="BH122" s="359">
        <f t="shared" ca="1" si="210"/>
        <v>0</v>
      </c>
      <c r="BI122" s="360">
        <f t="shared" ca="1" si="198"/>
        <v>0</v>
      </c>
      <c r="BJ122" s="364">
        <f t="shared" ca="1" si="223"/>
        <v>0</v>
      </c>
      <c r="BK122" s="358">
        <f t="shared" ca="1" si="223"/>
        <v>0</v>
      </c>
      <c r="BL122" s="359">
        <f t="shared" ca="1" si="211"/>
        <v>0</v>
      </c>
      <c r="BM122" s="360">
        <f t="shared" ca="1" si="199"/>
        <v>0</v>
      </c>
      <c r="BN122" s="360">
        <f t="shared" ca="1" si="199"/>
        <v>0</v>
      </c>
    </row>
    <row r="123" spans="1:68">
      <c r="A123" s="221" t="str">
        <f t="shared" ca="1" si="186"/>
        <v>WP004</v>
      </c>
      <c r="B123" s="221" t="str">
        <f t="shared" ca="1" si="187"/>
        <v>WP004</v>
      </c>
      <c r="C123" s="221">
        <v>4</v>
      </c>
      <c r="D123" s="221" t="s">
        <v>93</v>
      </c>
      <c r="H123" s="221" t="s">
        <v>74</v>
      </c>
      <c r="I123" s="221" t="s">
        <v>94</v>
      </c>
      <c r="M123" s="221" t="s">
        <v>80</v>
      </c>
      <c r="N123" s="461"/>
      <c r="O123" s="452" t="s">
        <v>65</v>
      </c>
      <c r="P123" s="453"/>
      <c r="Q123" s="453"/>
      <c r="R123" s="365">
        <f t="shared" ca="1" si="212"/>
        <v>0</v>
      </c>
      <c r="S123" s="354">
        <f t="shared" ca="1" si="212"/>
        <v>0</v>
      </c>
      <c r="T123" s="355">
        <f t="shared" ca="1" si="200"/>
        <v>0</v>
      </c>
      <c r="U123" s="356">
        <f t="shared" ca="1" si="188"/>
        <v>0</v>
      </c>
      <c r="V123" s="365">
        <f t="shared" ca="1" si="213"/>
        <v>0</v>
      </c>
      <c r="W123" s="354">
        <f t="shared" ca="1" si="213"/>
        <v>0</v>
      </c>
      <c r="X123" s="355">
        <f t="shared" ca="1" si="201"/>
        <v>0</v>
      </c>
      <c r="Y123" s="356">
        <f t="shared" ca="1" si="189"/>
        <v>0</v>
      </c>
      <c r="Z123" s="365">
        <f t="shared" ca="1" si="214"/>
        <v>0</v>
      </c>
      <c r="AA123" s="354">
        <f t="shared" ca="1" si="214"/>
        <v>0</v>
      </c>
      <c r="AB123" s="355">
        <f t="shared" ca="1" si="202"/>
        <v>0</v>
      </c>
      <c r="AC123" s="356">
        <f t="shared" ca="1" si="190"/>
        <v>0</v>
      </c>
      <c r="AD123" s="365">
        <f t="shared" ca="1" si="215"/>
        <v>0</v>
      </c>
      <c r="AE123" s="354">
        <f t="shared" ca="1" si="215"/>
        <v>0</v>
      </c>
      <c r="AF123" s="355">
        <f t="shared" ca="1" si="203"/>
        <v>0</v>
      </c>
      <c r="AG123" s="356">
        <f t="shared" ca="1" si="191"/>
        <v>0</v>
      </c>
      <c r="AH123" s="365">
        <f t="shared" ca="1" si="216"/>
        <v>0</v>
      </c>
      <c r="AI123" s="354">
        <f t="shared" ca="1" si="216"/>
        <v>0</v>
      </c>
      <c r="AJ123" s="355">
        <f t="shared" ca="1" si="204"/>
        <v>0</v>
      </c>
      <c r="AK123" s="356">
        <f t="shared" ca="1" si="192"/>
        <v>0</v>
      </c>
      <c r="AL123" s="365">
        <f t="shared" ca="1" si="217"/>
        <v>0</v>
      </c>
      <c r="AM123" s="354">
        <f t="shared" ca="1" si="217"/>
        <v>0</v>
      </c>
      <c r="AN123" s="355">
        <f t="shared" ca="1" si="205"/>
        <v>0</v>
      </c>
      <c r="AO123" s="356">
        <f t="shared" ca="1" si="193"/>
        <v>0</v>
      </c>
      <c r="AP123" s="365">
        <f t="shared" ca="1" si="218"/>
        <v>0</v>
      </c>
      <c r="AQ123" s="354">
        <f t="shared" ca="1" si="218"/>
        <v>0</v>
      </c>
      <c r="AR123" s="355">
        <f t="shared" ca="1" si="206"/>
        <v>0</v>
      </c>
      <c r="AS123" s="356">
        <f t="shared" ca="1" si="194"/>
        <v>0</v>
      </c>
      <c r="AT123" s="365">
        <f t="shared" ca="1" si="219"/>
        <v>0</v>
      </c>
      <c r="AU123" s="354">
        <f t="shared" ca="1" si="219"/>
        <v>0</v>
      </c>
      <c r="AV123" s="355">
        <f t="shared" ca="1" si="207"/>
        <v>0</v>
      </c>
      <c r="AW123" s="356">
        <f t="shared" ca="1" si="195"/>
        <v>0</v>
      </c>
      <c r="AX123" s="365">
        <f t="shared" ca="1" si="220"/>
        <v>0</v>
      </c>
      <c r="AY123" s="354">
        <f t="shared" ca="1" si="220"/>
        <v>0</v>
      </c>
      <c r="AZ123" s="355">
        <f t="shared" ca="1" si="208"/>
        <v>0</v>
      </c>
      <c r="BA123" s="356">
        <f t="shared" ca="1" si="196"/>
        <v>0</v>
      </c>
      <c r="BB123" s="365">
        <f t="shared" ca="1" si="221"/>
        <v>0</v>
      </c>
      <c r="BC123" s="354">
        <f t="shared" ca="1" si="221"/>
        <v>0</v>
      </c>
      <c r="BD123" s="355">
        <f t="shared" ca="1" si="209"/>
        <v>0</v>
      </c>
      <c r="BE123" s="356">
        <f t="shared" ca="1" si="197"/>
        <v>0</v>
      </c>
      <c r="BF123" s="365">
        <f t="shared" ca="1" si="222"/>
        <v>0</v>
      </c>
      <c r="BG123" s="354">
        <f t="shared" ca="1" si="222"/>
        <v>0</v>
      </c>
      <c r="BH123" s="355">
        <f t="shared" ca="1" si="210"/>
        <v>0</v>
      </c>
      <c r="BI123" s="356">
        <f t="shared" ca="1" si="198"/>
        <v>0</v>
      </c>
      <c r="BJ123" s="365">
        <f t="shared" ca="1" si="223"/>
        <v>0</v>
      </c>
      <c r="BK123" s="354">
        <f t="shared" ca="1" si="223"/>
        <v>0</v>
      </c>
      <c r="BL123" s="355">
        <f t="shared" ca="1" si="211"/>
        <v>0</v>
      </c>
      <c r="BM123" s="356">
        <f t="shared" ca="1" si="199"/>
        <v>0</v>
      </c>
      <c r="BN123" s="356">
        <f t="shared" ca="1" si="199"/>
        <v>0</v>
      </c>
    </row>
    <row r="124" spans="1:68">
      <c r="A124" s="221" t="str">
        <f t="shared" ca="1" si="186"/>
        <v>WP004</v>
      </c>
      <c r="B124" s="221" t="str">
        <f t="shared" ca="1" si="187"/>
        <v>WP004</v>
      </c>
      <c r="C124" s="221">
        <v>4</v>
      </c>
      <c r="D124" s="221" t="s">
        <v>95</v>
      </c>
      <c r="H124" s="221" t="s">
        <v>74</v>
      </c>
      <c r="I124" s="221" t="s">
        <v>96</v>
      </c>
      <c r="M124" s="221" t="s">
        <v>46</v>
      </c>
      <c r="N124" s="461"/>
      <c r="O124" s="452" t="s">
        <v>97</v>
      </c>
      <c r="P124" s="453"/>
      <c r="Q124" s="453"/>
      <c r="R124" s="353"/>
      <c r="S124" s="354"/>
      <c r="T124" s="355">
        <f t="shared" ca="1" si="200"/>
        <v>0</v>
      </c>
      <c r="U124" s="356">
        <f t="shared" ca="1" si="188"/>
        <v>0</v>
      </c>
      <c r="V124" s="353"/>
      <c r="W124" s="354"/>
      <c r="X124" s="355">
        <f t="shared" ca="1" si="201"/>
        <v>0</v>
      </c>
      <c r="Y124" s="356">
        <f t="shared" ca="1" si="189"/>
        <v>0</v>
      </c>
      <c r="Z124" s="353"/>
      <c r="AA124" s="354"/>
      <c r="AB124" s="355">
        <f t="shared" ca="1" si="202"/>
        <v>0</v>
      </c>
      <c r="AC124" s="356">
        <f t="shared" ca="1" si="190"/>
        <v>0</v>
      </c>
      <c r="AD124" s="353"/>
      <c r="AE124" s="354"/>
      <c r="AF124" s="355">
        <f t="shared" ca="1" si="203"/>
        <v>0</v>
      </c>
      <c r="AG124" s="356">
        <f t="shared" ca="1" si="191"/>
        <v>0</v>
      </c>
      <c r="AH124" s="353"/>
      <c r="AI124" s="354"/>
      <c r="AJ124" s="355">
        <f t="shared" ca="1" si="204"/>
        <v>0</v>
      </c>
      <c r="AK124" s="356">
        <f t="shared" ca="1" si="192"/>
        <v>0</v>
      </c>
      <c r="AL124" s="353"/>
      <c r="AM124" s="354"/>
      <c r="AN124" s="355">
        <f t="shared" ca="1" si="205"/>
        <v>0</v>
      </c>
      <c r="AO124" s="356">
        <f t="shared" ca="1" si="193"/>
        <v>0</v>
      </c>
      <c r="AP124" s="353"/>
      <c r="AQ124" s="354"/>
      <c r="AR124" s="355">
        <f t="shared" ca="1" si="206"/>
        <v>0</v>
      </c>
      <c r="AS124" s="356">
        <f t="shared" ca="1" si="194"/>
        <v>0</v>
      </c>
      <c r="AT124" s="353"/>
      <c r="AU124" s="354"/>
      <c r="AV124" s="355">
        <f t="shared" ca="1" si="207"/>
        <v>0</v>
      </c>
      <c r="AW124" s="356">
        <f t="shared" ca="1" si="195"/>
        <v>0</v>
      </c>
      <c r="AX124" s="353"/>
      <c r="AY124" s="354"/>
      <c r="AZ124" s="355">
        <f t="shared" ca="1" si="208"/>
        <v>0</v>
      </c>
      <c r="BA124" s="356">
        <f t="shared" ca="1" si="196"/>
        <v>0</v>
      </c>
      <c r="BB124" s="353"/>
      <c r="BC124" s="354"/>
      <c r="BD124" s="355">
        <f t="shared" ca="1" si="209"/>
        <v>0</v>
      </c>
      <c r="BE124" s="356">
        <f t="shared" ca="1" si="197"/>
        <v>0</v>
      </c>
      <c r="BF124" s="353"/>
      <c r="BG124" s="354"/>
      <c r="BH124" s="355">
        <f t="shared" ca="1" si="210"/>
        <v>0</v>
      </c>
      <c r="BI124" s="356">
        <f t="shared" ca="1" si="198"/>
        <v>0</v>
      </c>
      <c r="BJ124" s="353"/>
      <c r="BK124" s="354"/>
      <c r="BL124" s="355">
        <f t="shared" ca="1" si="211"/>
        <v>0</v>
      </c>
      <c r="BM124" s="356">
        <f t="shared" ca="1" si="199"/>
        <v>0</v>
      </c>
      <c r="BN124" s="356">
        <f t="shared" ca="1" si="199"/>
        <v>0</v>
      </c>
    </row>
    <row r="125" spans="1:68">
      <c r="A125" s="221" t="str">
        <f t="shared" ca="1" si="186"/>
        <v>WP004</v>
      </c>
      <c r="B125" s="221" t="str">
        <f t="shared" ca="1" si="187"/>
        <v>WP004</v>
      </c>
      <c r="C125" s="221">
        <v>6</v>
      </c>
      <c r="D125" s="221" t="s">
        <v>98</v>
      </c>
      <c r="J125" s="222" t="s">
        <v>96</v>
      </c>
      <c r="K125" s="221" t="s">
        <v>99</v>
      </c>
      <c r="M125" s="221" t="s">
        <v>46</v>
      </c>
      <c r="N125" s="461"/>
      <c r="O125" s="251"/>
      <c r="P125" s="456" t="s">
        <v>100</v>
      </c>
      <c r="Q125" s="456"/>
      <c r="R125" s="357"/>
      <c r="S125" s="358"/>
      <c r="T125" s="359">
        <f t="shared" ca="1" si="200"/>
        <v>0</v>
      </c>
      <c r="U125" s="360">
        <f t="shared" ca="1" si="188"/>
        <v>0</v>
      </c>
      <c r="V125" s="357"/>
      <c r="W125" s="358"/>
      <c r="X125" s="359">
        <f t="shared" ca="1" si="201"/>
        <v>0</v>
      </c>
      <c r="Y125" s="360">
        <f t="shared" ca="1" si="189"/>
        <v>0</v>
      </c>
      <c r="Z125" s="357"/>
      <c r="AA125" s="358"/>
      <c r="AB125" s="359">
        <f t="shared" ca="1" si="202"/>
        <v>0</v>
      </c>
      <c r="AC125" s="360">
        <f t="shared" ca="1" si="190"/>
        <v>0</v>
      </c>
      <c r="AD125" s="357"/>
      <c r="AE125" s="358"/>
      <c r="AF125" s="359">
        <f t="shared" ca="1" si="203"/>
        <v>0</v>
      </c>
      <c r="AG125" s="360">
        <f t="shared" ca="1" si="191"/>
        <v>0</v>
      </c>
      <c r="AH125" s="357"/>
      <c r="AI125" s="358"/>
      <c r="AJ125" s="359">
        <f t="shared" ca="1" si="204"/>
        <v>0</v>
      </c>
      <c r="AK125" s="360">
        <f t="shared" ca="1" si="192"/>
        <v>0</v>
      </c>
      <c r="AL125" s="357"/>
      <c r="AM125" s="358"/>
      <c r="AN125" s="359">
        <f t="shared" ca="1" si="205"/>
        <v>0</v>
      </c>
      <c r="AO125" s="360">
        <f t="shared" ca="1" si="193"/>
        <v>0</v>
      </c>
      <c r="AP125" s="357"/>
      <c r="AQ125" s="358"/>
      <c r="AR125" s="359">
        <f t="shared" ca="1" si="206"/>
        <v>0</v>
      </c>
      <c r="AS125" s="360">
        <f t="shared" ca="1" si="194"/>
        <v>0</v>
      </c>
      <c r="AT125" s="357"/>
      <c r="AU125" s="358"/>
      <c r="AV125" s="359">
        <f t="shared" ca="1" si="207"/>
        <v>0</v>
      </c>
      <c r="AW125" s="360">
        <f t="shared" ca="1" si="195"/>
        <v>0</v>
      </c>
      <c r="AX125" s="357"/>
      <c r="AY125" s="358"/>
      <c r="AZ125" s="359">
        <f t="shared" ca="1" si="208"/>
        <v>0</v>
      </c>
      <c r="BA125" s="360">
        <f t="shared" ca="1" si="196"/>
        <v>0</v>
      </c>
      <c r="BB125" s="357"/>
      <c r="BC125" s="358"/>
      <c r="BD125" s="359">
        <f t="shared" ca="1" si="209"/>
        <v>0</v>
      </c>
      <c r="BE125" s="360">
        <f t="shared" ca="1" si="197"/>
        <v>0</v>
      </c>
      <c r="BF125" s="357"/>
      <c r="BG125" s="358"/>
      <c r="BH125" s="359">
        <f t="shared" ca="1" si="210"/>
        <v>0</v>
      </c>
      <c r="BI125" s="360">
        <f t="shared" ca="1" si="198"/>
        <v>0</v>
      </c>
      <c r="BJ125" s="357"/>
      <c r="BK125" s="358"/>
      <c r="BL125" s="359">
        <f t="shared" ca="1" si="211"/>
        <v>0</v>
      </c>
      <c r="BM125" s="360">
        <f t="shared" ca="1" si="199"/>
        <v>0</v>
      </c>
      <c r="BN125" s="360">
        <f t="shared" ca="1" si="199"/>
        <v>0</v>
      </c>
    </row>
    <row r="126" spans="1:68">
      <c r="A126" s="221" t="str">
        <f t="shared" ca="1" si="186"/>
        <v>WP004</v>
      </c>
      <c r="B126" s="221" t="str">
        <f t="shared" ca="1" si="187"/>
        <v>WP004</v>
      </c>
      <c r="C126" s="221">
        <v>7</v>
      </c>
      <c r="D126" s="221" t="s">
        <v>101</v>
      </c>
      <c r="L126" s="221" t="s">
        <v>99</v>
      </c>
      <c r="M126" s="221" t="s">
        <v>80</v>
      </c>
      <c r="N126" s="461"/>
      <c r="O126" s="252"/>
      <c r="P126" s="253"/>
      <c r="Q126" s="254" t="s">
        <v>102</v>
      </c>
      <c r="R126" s="361">
        <f t="shared" ref="R126:S129" ca="1" si="224">INDIRECT("'"&amp; MID(OFFSET(R126,ROW(R$3)-ROW(R126),IF(OFFSET(R126,ROW(R$2)-ROW(R126),2)="T",0,IF(OFFSET(R126,ROW(R$2)-ROW(R126),1)="T",-1,-2))),1,6) &amp; "'!" &amp; ADDRESS(ROW(R126),MATCH(INDIRECT(ADDRESS(2,COLUMN(R126)+IF(OFFSET(R126,ROW(R$2)-ROW(R126),2)="T",1,IF(OFFSET(R126,ROW(R$2)-ROW(R126),1)="T",0,-1))),TRUE),INDIRECT("'"&amp; MID(OFFSET(R126,ROW(R$3)-ROW(R126),IF(OFFSET(R126,ROW(R$2)-ROW(R126),2)="T",0,IF(OFFSET(R126,ROW(R$2)-ROW(R126),1)="T",-1,-2))),1,6) &amp; "'!2:2",TRUE),0)-IF(OFFSET(R126,ROW(R$2)-ROW(R126),2)="T",1,IF(OFFSET(R126,ROW(R$2)-ROW(R126),1)="T",0,-1))),TRUE)</f>
        <v>0</v>
      </c>
      <c r="S126" s="362">
        <f t="shared" ca="1" si="224"/>
        <v>0</v>
      </c>
      <c r="T126" s="363">
        <f t="shared" ca="1" si="200"/>
        <v>0</v>
      </c>
      <c r="U126" s="360">
        <f t="shared" ca="1" si="188"/>
        <v>0</v>
      </c>
      <c r="V126" s="361">
        <f t="shared" ref="V126:W129" ca="1" si="225">INDIRECT("'"&amp; MID(OFFSET(V126,ROW(V$3)-ROW(V126),IF(OFFSET(V126,ROW(V$2)-ROW(V126),2)="T",0,IF(OFFSET(V126,ROW(V$2)-ROW(V126),1)="T",-1,-2))),1,6) &amp; "'!" &amp; ADDRESS(ROW(V126),MATCH(INDIRECT(ADDRESS(2,COLUMN(V126)+IF(OFFSET(V126,ROW(V$2)-ROW(V126),2)="T",1,IF(OFFSET(V126,ROW(V$2)-ROW(V126),1)="T",0,-1))),TRUE),INDIRECT("'"&amp; MID(OFFSET(V126,ROW(V$3)-ROW(V126),IF(OFFSET(V126,ROW(V$2)-ROW(V126),2)="T",0,IF(OFFSET(V126,ROW(V$2)-ROW(V126),1)="T",-1,-2))),1,6) &amp; "'!2:2",TRUE),0)-IF(OFFSET(V126,ROW(V$2)-ROW(V126),2)="T",1,IF(OFFSET(V126,ROW(V$2)-ROW(V126),1)="T",0,-1))),TRUE)</f>
        <v>0</v>
      </c>
      <c r="W126" s="362">
        <f t="shared" ca="1" si="225"/>
        <v>0</v>
      </c>
      <c r="X126" s="363">
        <f t="shared" ca="1" si="201"/>
        <v>0</v>
      </c>
      <c r="Y126" s="360">
        <f t="shared" ca="1" si="189"/>
        <v>0</v>
      </c>
      <c r="Z126" s="361">
        <f t="shared" ref="Z126:AA129" ca="1" si="226">INDIRECT("'"&amp; MID(OFFSET(Z126,ROW(Z$3)-ROW(Z126),IF(OFFSET(Z126,ROW(Z$2)-ROW(Z126),2)="T",0,IF(OFFSET(Z126,ROW(Z$2)-ROW(Z126),1)="T",-1,-2))),1,6) &amp; "'!" &amp; ADDRESS(ROW(Z126),MATCH(INDIRECT(ADDRESS(2,COLUMN(Z126)+IF(OFFSET(Z126,ROW(Z$2)-ROW(Z126),2)="T",1,IF(OFFSET(Z126,ROW(Z$2)-ROW(Z126),1)="T",0,-1))),TRUE),INDIRECT("'"&amp; MID(OFFSET(Z126,ROW(Z$3)-ROW(Z126),IF(OFFSET(Z126,ROW(Z$2)-ROW(Z126),2)="T",0,IF(OFFSET(Z126,ROW(Z$2)-ROW(Z126),1)="T",-1,-2))),1,6) &amp; "'!2:2",TRUE),0)-IF(OFFSET(Z126,ROW(Z$2)-ROW(Z126),2)="T",1,IF(OFFSET(Z126,ROW(Z$2)-ROW(Z126),1)="T",0,-1))),TRUE)</f>
        <v>0</v>
      </c>
      <c r="AA126" s="362">
        <f t="shared" ca="1" si="226"/>
        <v>0</v>
      </c>
      <c r="AB126" s="363">
        <f t="shared" ca="1" si="202"/>
        <v>0</v>
      </c>
      <c r="AC126" s="360">
        <f t="shared" ca="1" si="190"/>
        <v>0</v>
      </c>
      <c r="AD126" s="361">
        <f t="shared" ref="AD126:AE129" ca="1" si="227">INDIRECT("'"&amp; MID(OFFSET(AD126,ROW(AD$3)-ROW(AD126),IF(OFFSET(AD126,ROW(AD$2)-ROW(AD126),2)="T",0,IF(OFFSET(AD126,ROW(AD$2)-ROW(AD126),1)="T",-1,-2))),1,6) &amp; "'!" &amp; ADDRESS(ROW(AD126),MATCH(INDIRECT(ADDRESS(2,COLUMN(AD126)+IF(OFFSET(AD126,ROW(AD$2)-ROW(AD126),2)="T",1,IF(OFFSET(AD126,ROW(AD$2)-ROW(AD126),1)="T",0,-1))),TRUE),INDIRECT("'"&amp; MID(OFFSET(AD126,ROW(AD$3)-ROW(AD126),IF(OFFSET(AD126,ROW(AD$2)-ROW(AD126),2)="T",0,IF(OFFSET(AD126,ROW(AD$2)-ROW(AD126),1)="T",-1,-2))),1,6) &amp; "'!2:2",TRUE),0)-IF(OFFSET(AD126,ROW(AD$2)-ROW(AD126),2)="T",1,IF(OFFSET(AD126,ROW(AD$2)-ROW(AD126),1)="T",0,-1))),TRUE)</f>
        <v>0</v>
      </c>
      <c r="AE126" s="362">
        <f t="shared" ca="1" si="227"/>
        <v>0</v>
      </c>
      <c r="AF126" s="363">
        <f t="shared" ca="1" si="203"/>
        <v>0</v>
      </c>
      <c r="AG126" s="360">
        <f t="shared" ca="1" si="191"/>
        <v>0</v>
      </c>
      <c r="AH126" s="361">
        <f t="shared" ref="AH126:AI129" ca="1" si="228">INDIRECT("'"&amp; MID(OFFSET(AH126,ROW(AH$3)-ROW(AH126),IF(OFFSET(AH126,ROW(AH$2)-ROW(AH126),2)="T",0,IF(OFFSET(AH126,ROW(AH$2)-ROW(AH126),1)="T",-1,-2))),1,6) &amp; "'!" &amp; ADDRESS(ROW(AH126),MATCH(INDIRECT(ADDRESS(2,COLUMN(AH126)+IF(OFFSET(AH126,ROW(AH$2)-ROW(AH126),2)="T",1,IF(OFFSET(AH126,ROW(AH$2)-ROW(AH126),1)="T",0,-1))),TRUE),INDIRECT("'"&amp; MID(OFFSET(AH126,ROW(AH$3)-ROW(AH126),IF(OFFSET(AH126,ROW(AH$2)-ROW(AH126),2)="T",0,IF(OFFSET(AH126,ROW(AH$2)-ROW(AH126),1)="T",-1,-2))),1,6) &amp; "'!2:2",TRUE),0)-IF(OFFSET(AH126,ROW(AH$2)-ROW(AH126),2)="T",1,IF(OFFSET(AH126,ROW(AH$2)-ROW(AH126),1)="T",0,-1))),TRUE)</f>
        <v>0</v>
      </c>
      <c r="AI126" s="362">
        <f t="shared" ca="1" si="228"/>
        <v>0</v>
      </c>
      <c r="AJ126" s="363">
        <f t="shared" ca="1" si="204"/>
        <v>0</v>
      </c>
      <c r="AK126" s="360">
        <f t="shared" ca="1" si="192"/>
        <v>0</v>
      </c>
      <c r="AL126" s="361">
        <f t="shared" ref="AL126:AM129" ca="1" si="229">INDIRECT("'"&amp; MID(OFFSET(AL126,ROW(AL$3)-ROW(AL126),IF(OFFSET(AL126,ROW(AL$2)-ROW(AL126),2)="T",0,IF(OFFSET(AL126,ROW(AL$2)-ROW(AL126),1)="T",-1,-2))),1,6) &amp; "'!" &amp; ADDRESS(ROW(AL126),MATCH(INDIRECT(ADDRESS(2,COLUMN(AL126)+IF(OFFSET(AL126,ROW(AL$2)-ROW(AL126),2)="T",1,IF(OFFSET(AL126,ROW(AL$2)-ROW(AL126),1)="T",0,-1))),TRUE),INDIRECT("'"&amp; MID(OFFSET(AL126,ROW(AL$3)-ROW(AL126),IF(OFFSET(AL126,ROW(AL$2)-ROW(AL126),2)="T",0,IF(OFFSET(AL126,ROW(AL$2)-ROW(AL126),1)="T",-1,-2))),1,6) &amp; "'!2:2",TRUE),0)-IF(OFFSET(AL126,ROW(AL$2)-ROW(AL126),2)="T",1,IF(OFFSET(AL126,ROW(AL$2)-ROW(AL126),1)="T",0,-1))),TRUE)</f>
        <v>0</v>
      </c>
      <c r="AM126" s="362">
        <f t="shared" ca="1" si="229"/>
        <v>0</v>
      </c>
      <c r="AN126" s="363">
        <f t="shared" ca="1" si="205"/>
        <v>0</v>
      </c>
      <c r="AO126" s="360">
        <f t="shared" ca="1" si="193"/>
        <v>0</v>
      </c>
      <c r="AP126" s="361">
        <f t="shared" ref="AP126:AQ129" ca="1" si="230">INDIRECT("'"&amp; MID(OFFSET(AP126,ROW(AP$3)-ROW(AP126),IF(OFFSET(AP126,ROW(AP$2)-ROW(AP126),2)="T",0,IF(OFFSET(AP126,ROW(AP$2)-ROW(AP126),1)="T",-1,-2))),1,6) &amp; "'!" &amp; ADDRESS(ROW(AP126),MATCH(INDIRECT(ADDRESS(2,COLUMN(AP126)+IF(OFFSET(AP126,ROW(AP$2)-ROW(AP126),2)="T",1,IF(OFFSET(AP126,ROW(AP$2)-ROW(AP126),1)="T",0,-1))),TRUE),INDIRECT("'"&amp; MID(OFFSET(AP126,ROW(AP$3)-ROW(AP126),IF(OFFSET(AP126,ROW(AP$2)-ROW(AP126),2)="T",0,IF(OFFSET(AP126,ROW(AP$2)-ROW(AP126),1)="T",-1,-2))),1,6) &amp; "'!2:2",TRUE),0)-IF(OFFSET(AP126,ROW(AP$2)-ROW(AP126),2)="T",1,IF(OFFSET(AP126,ROW(AP$2)-ROW(AP126),1)="T",0,-1))),TRUE)</f>
        <v>0</v>
      </c>
      <c r="AQ126" s="362">
        <f t="shared" ca="1" si="230"/>
        <v>0</v>
      </c>
      <c r="AR126" s="363">
        <f t="shared" ca="1" si="206"/>
        <v>0</v>
      </c>
      <c r="AS126" s="360">
        <f t="shared" ca="1" si="194"/>
        <v>0</v>
      </c>
      <c r="AT126" s="361">
        <f t="shared" ref="AT126:AU129" ca="1" si="231">INDIRECT("'"&amp; MID(OFFSET(AT126,ROW(AT$3)-ROW(AT126),IF(OFFSET(AT126,ROW(AT$2)-ROW(AT126),2)="T",0,IF(OFFSET(AT126,ROW(AT$2)-ROW(AT126),1)="T",-1,-2))),1,6) &amp; "'!" &amp; ADDRESS(ROW(AT126),MATCH(INDIRECT(ADDRESS(2,COLUMN(AT126)+IF(OFFSET(AT126,ROW(AT$2)-ROW(AT126),2)="T",1,IF(OFFSET(AT126,ROW(AT$2)-ROW(AT126),1)="T",0,-1))),TRUE),INDIRECT("'"&amp; MID(OFFSET(AT126,ROW(AT$3)-ROW(AT126),IF(OFFSET(AT126,ROW(AT$2)-ROW(AT126),2)="T",0,IF(OFFSET(AT126,ROW(AT$2)-ROW(AT126),1)="T",-1,-2))),1,6) &amp; "'!2:2",TRUE),0)-IF(OFFSET(AT126,ROW(AT$2)-ROW(AT126),2)="T",1,IF(OFFSET(AT126,ROW(AT$2)-ROW(AT126),1)="T",0,-1))),TRUE)</f>
        <v>0</v>
      </c>
      <c r="AU126" s="362">
        <f t="shared" ca="1" si="231"/>
        <v>0</v>
      </c>
      <c r="AV126" s="363">
        <f t="shared" ca="1" si="207"/>
        <v>0</v>
      </c>
      <c r="AW126" s="360">
        <f t="shared" ca="1" si="195"/>
        <v>0</v>
      </c>
      <c r="AX126" s="361">
        <f t="shared" ref="AX126:AY129" ca="1" si="232">INDIRECT("'"&amp; MID(OFFSET(AX126,ROW(AX$3)-ROW(AX126),IF(OFFSET(AX126,ROW(AX$2)-ROW(AX126),2)="T",0,IF(OFFSET(AX126,ROW(AX$2)-ROW(AX126),1)="T",-1,-2))),1,6) &amp; "'!" &amp; ADDRESS(ROW(AX126),MATCH(INDIRECT(ADDRESS(2,COLUMN(AX126)+IF(OFFSET(AX126,ROW(AX$2)-ROW(AX126),2)="T",1,IF(OFFSET(AX126,ROW(AX$2)-ROW(AX126),1)="T",0,-1))),TRUE),INDIRECT("'"&amp; MID(OFFSET(AX126,ROW(AX$3)-ROW(AX126),IF(OFFSET(AX126,ROW(AX$2)-ROW(AX126),2)="T",0,IF(OFFSET(AX126,ROW(AX$2)-ROW(AX126),1)="T",-1,-2))),1,6) &amp; "'!2:2",TRUE),0)-IF(OFFSET(AX126,ROW(AX$2)-ROW(AX126),2)="T",1,IF(OFFSET(AX126,ROW(AX$2)-ROW(AX126),1)="T",0,-1))),TRUE)</f>
        <v>0</v>
      </c>
      <c r="AY126" s="362">
        <f t="shared" ca="1" si="232"/>
        <v>0</v>
      </c>
      <c r="AZ126" s="363">
        <f t="shared" ca="1" si="208"/>
        <v>0</v>
      </c>
      <c r="BA126" s="360">
        <f t="shared" ca="1" si="196"/>
        <v>0</v>
      </c>
      <c r="BB126" s="361">
        <f t="shared" ref="BB126:BC129" ca="1" si="233">INDIRECT("'"&amp; MID(OFFSET(BB126,ROW(BB$3)-ROW(BB126),IF(OFFSET(BB126,ROW(BB$2)-ROW(BB126),2)="T",0,IF(OFFSET(BB126,ROW(BB$2)-ROW(BB126),1)="T",-1,-2))),1,6) &amp; "'!" &amp; ADDRESS(ROW(BB126),MATCH(INDIRECT(ADDRESS(2,COLUMN(BB126)+IF(OFFSET(BB126,ROW(BB$2)-ROW(BB126),2)="T",1,IF(OFFSET(BB126,ROW(BB$2)-ROW(BB126),1)="T",0,-1))),TRUE),INDIRECT("'"&amp; MID(OFFSET(BB126,ROW(BB$3)-ROW(BB126),IF(OFFSET(BB126,ROW(BB$2)-ROW(BB126),2)="T",0,IF(OFFSET(BB126,ROW(BB$2)-ROW(BB126),1)="T",-1,-2))),1,6) &amp; "'!2:2",TRUE),0)-IF(OFFSET(BB126,ROW(BB$2)-ROW(BB126),2)="T",1,IF(OFFSET(BB126,ROW(BB$2)-ROW(BB126),1)="T",0,-1))),TRUE)</f>
        <v>0</v>
      </c>
      <c r="BC126" s="362">
        <f t="shared" ca="1" si="233"/>
        <v>0</v>
      </c>
      <c r="BD126" s="363">
        <f t="shared" ca="1" si="209"/>
        <v>0</v>
      </c>
      <c r="BE126" s="360">
        <f t="shared" ca="1" si="197"/>
        <v>0</v>
      </c>
      <c r="BF126" s="361">
        <f t="shared" ref="BF126:BG129" ca="1" si="234">INDIRECT("'"&amp; MID(OFFSET(BF126,ROW(BF$3)-ROW(BF126),IF(OFFSET(BF126,ROW(BF$2)-ROW(BF126),2)="T",0,IF(OFFSET(BF126,ROW(BF$2)-ROW(BF126),1)="T",-1,-2))),1,6) &amp; "'!" &amp; ADDRESS(ROW(BF126),MATCH(INDIRECT(ADDRESS(2,COLUMN(BF126)+IF(OFFSET(BF126,ROW(BF$2)-ROW(BF126),2)="T",1,IF(OFFSET(BF126,ROW(BF$2)-ROW(BF126),1)="T",0,-1))),TRUE),INDIRECT("'"&amp; MID(OFFSET(BF126,ROW(BF$3)-ROW(BF126),IF(OFFSET(BF126,ROW(BF$2)-ROW(BF126),2)="T",0,IF(OFFSET(BF126,ROW(BF$2)-ROW(BF126),1)="T",-1,-2))),1,6) &amp; "'!2:2",TRUE),0)-IF(OFFSET(BF126,ROW(BF$2)-ROW(BF126),2)="T",1,IF(OFFSET(BF126,ROW(BF$2)-ROW(BF126),1)="T",0,-1))),TRUE)</f>
        <v>0</v>
      </c>
      <c r="BG126" s="362">
        <f t="shared" ca="1" si="234"/>
        <v>0</v>
      </c>
      <c r="BH126" s="363">
        <f t="shared" ca="1" si="210"/>
        <v>0</v>
      </c>
      <c r="BI126" s="360">
        <f t="shared" ca="1" si="198"/>
        <v>0</v>
      </c>
      <c r="BJ126" s="361">
        <f t="shared" ref="BJ126:BK129" ca="1" si="235">INDIRECT("'"&amp; MID(OFFSET(BJ126,ROW(BJ$3)-ROW(BJ126),IF(OFFSET(BJ126,ROW(BJ$2)-ROW(BJ126),2)="T",0,IF(OFFSET(BJ126,ROW(BJ$2)-ROW(BJ126),1)="T",-1,-2))),1,6) &amp; "'!" &amp; ADDRESS(ROW(BJ126),MATCH(INDIRECT(ADDRESS(2,COLUMN(BJ126)+IF(OFFSET(BJ126,ROW(BJ$2)-ROW(BJ126),2)="T",1,IF(OFFSET(BJ126,ROW(BJ$2)-ROW(BJ126),1)="T",0,-1))),TRUE),INDIRECT("'"&amp; MID(OFFSET(BJ126,ROW(BJ$3)-ROW(BJ126),IF(OFFSET(BJ126,ROW(BJ$2)-ROW(BJ126),2)="T",0,IF(OFFSET(BJ126,ROW(BJ$2)-ROW(BJ126),1)="T",-1,-2))),1,6) &amp; "'!2:2",TRUE),0)-IF(OFFSET(BJ126,ROW(BJ$2)-ROW(BJ126),2)="T",1,IF(OFFSET(BJ126,ROW(BJ$2)-ROW(BJ126),1)="T",0,-1))),TRUE)</f>
        <v>0</v>
      </c>
      <c r="BK126" s="362">
        <f t="shared" ca="1" si="235"/>
        <v>0</v>
      </c>
      <c r="BL126" s="363">
        <f t="shared" ca="1" si="211"/>
        <v>0</v>
      </c>
      <c r="BM126" s="360">
        <f t="shared" ca="1" si="199"/>
        <v>0</v>
      </c>
      <c r="BN126" s="360">
        <f t="shared" ca="1" si="199"/>
        <v>0</v>
      </c>
    </row>
    <row r="127" spans="1:68">
      <c r="A127" s="221" t="str">
        <f t="shared" ca="1" si="186"/>
        <v>WP004</v>
      </c>
      <c r="B127" s="221" t="str">
        <f t="shared" ca="1" si="187"/>
        <v>WP004</v>
      </c>
      <c r="C127" s="221">
        <v>7</v>
      </c>
      <c r="D127" s="221" t="s">
        <v>103</v>
      </c>
      <c r="L127" s="221" t="s">
        <v>99</v>
      </c>
      <c r="M127" s="221" t="s">
        <v>80</v>
      </c>
      <c r="N127" s="461"/>
      <c r="O127" s="252"/>
      <c r="P127" s="253"/>
      <c r="Q127" s="254" t="s">
        <v>104</v>
      </c>
      <c r="R127" s="361">
        <f t="shared" ca="1" si="224"/>
        <v>0</v>
      </c>
      <c r="S127" s="362">
        <f t="shared" ca="1" si="224"/>
        <v>0</v>
      </c>
      <c r="T127" s="363">
        <f t="shared" ca="1" si="200"/>
        <v>0</v>
      </c>
      <c r="U127" s="360">
        <f t="shared" ca="1" si="188"/>
        <v>0</v>
      </c>
      <c r="V127" s="361">
        <f t="shared" ca="1" si="225"/>
        <v>0</v>
      </c>
      <c r="W127" s="362">
        <f t="shared" ca="1" si="225"/>
        <v>0</v>
      </c>
      <c r="X127" s="363">
        <f t="shared" ca="1" si="201"/>
        <v>0</v>
      </c>
      <c r="Y127" s="360">
        <f t="shared" ca="1" si="189"/>
        <v>0</v>
      </c>
      <c r="Z127" s="361">
        <f t="shared" ca="1" si="226"/>
        <v>0</v>
      </c>
      <c r="AA127" s="362">
        <f t="shared" ca="1" si="226"/>
        <v>0</v>
      </c>
      <c r="AB127" s="363">
        <f t="shared" ca="1" si="202"/>
        <v>0</v>
      </c>
      <c r="AC127" s="360">
        <f t="shared" ca="1" si="190"/>
        <v>0</v>
      </c>
      <c r="AD127" s="361">
        <f t="shared" ca="1" si="227"/>
        <v>0</v>
      </c>
      <c r="AE127" s="362">
        <f t="shared" ca="1" si="227"/>
        <v>0</v>
      </c>
      <c r="AF127" s="363">
        <f t="shared" ca="1" si="203"/>
        <v>0</v>
      </c>
      <c r="AG127" s="360">
        <f t="shared" ca="1" si="191"/>
        <v>0</v>
      </c>
      <c r="AH127" s="361">
        <f t="shared" ca="1" si="228"/>
        <v>0</v>
      </c>
      <c r="AI127" s="362">
        <f t="shared" ca="1" si="228"/>
        <v>0</v>
      </c>
      <c r="AJ127" s="363">
        <f t="shared" ca="1" si="204"/>
        <v>0</v>
      </c>
      <c r="AK127" s="360">
        <f t="shared" ca="1" si="192"/>
        <v>0</v>
      </c>
      <c r="AL127" s="361">
        <f t="shared" ca="1" si="229"/>
        <v>0</v>
      </c>
      <c r="AM127" s="362">
        <f t="shared" ca="1" si="229"/>
        <v>0</v>
      </c>
      <c r="AN127" s="363">
        <f t="shared" ca="1" si="205"/>
        <v>0</v>
      </c>
      <c r="AO127" s="360">
        <f t="shared" ca="1" si="193"/>
        <v>0</v>
      </c>
      <c r="AP127" s="361">
        <f t="shared" ca="1" si="230"/>
        <v>0</v>
      </c>
      <c r="AQ127" s="362">
        <f t="shared" ca="1" si="230"/>
        <v>0</v>
      </c>
      <c r="AR127" s="363">
        <f t="shared" ca="1" si="206"/>
        <v>0</v>
      </c>
      <c r="AS127" s="360">
        <f t="shared" ca="1" si="194"/>
        <v>0</v>
      </c>
      <c r="AT127" s="361">
        <f t="shared" ca="1" si="231"/>
        <v>0</v>
      </c>
      <c r="AU127" s="362">
        <f t="shared" ca="1" si="231"/>
        <v>0</v>
      </c>
      <c r="AV127" s="363">
        <f t="shared" ca="1" si="207"/>
        <v>0</v>
      </c>
      <c r="AW127" s="360">
        <f t="shared" ca="1" si="195"/>
        <v>0</v>
      </c>
      <c r="AX127" s="361">
        <f t="shared" ca="1" si="232"/>
        <v>0</v>
      </c>
      <c r="AY127" s="362">
        <f t="shared" ca="1" si="232"/>
        <v>0</v>
      </c>
      <c r="AZ127" s="363">
        <f t="shared" ca="1" si="208"/>
        <v>0</v>
      </c>
      <c r="BA127" s="360">
        <f t="shared" ca="1" si="196"/>
        <v>0</v>
      </c>
      <c r="BB127" s="361">
        <f t="shared" ca="1" si="233"/>
        <v>0</v>
      </c>
      <c r="BC127" s="362">
        <f t="shared" ca="1" si="233"/>
        <v>0</v>
      </c>
      <c r="BD127" s="363">
        <f t="shared" ca="1" si="209"/>
        <v>0</v>
      </c>
      <c r="BE127" s="360">
        <f t="shared" ca="1" si="197"/>
        <v>0</v>
      </c>
      <c r="BF127" s="361">
        <f t="shared" ca="1" si="234"/>
        <v>0</v>
      </c>
      <c r="BG127" s="362">
        <f t="shared" ca="1" si="234"/>
        <v>0</v>
      </c>
      <c r="BH127" s="363">
        <f t="shared" ca="1" si="210"/>
        <v>0</v>
      </c>
      <c r="BI127" s="360">
        <f t="shared" ca="1" si="198"/>
        <v>0</v>
      </c>
      <c r="BJ127" s="361">
        <f t="shared" ca="1" si="235"/>
        <v>0</v>
      </c>
      <c r="BK127" s="362">
        <f t="shared" ca="1" si="235"/>
        <v>0</v>
      </c>
      <c r="BL127" s="363">
        <f t="shared" ca="1" si="211"/>
        <v>0</v>
      </c>
      <c r="BM127" s="360">
        <f t="shared" ca="1" si="199"/>
        <v>0</v>
      </c>
      <c r="BN127" s="360">
        <f t="shared" ca="1" si="199"/>
        <v>0</v>
      </c>
    </row>
    <row r="128" spans="1:68">
      <c r="A128" s="221" t="str">
        <f t="shared" ca="1" si="186"/>
        <v>WP004</v>
      </c>
      <c r="B128" s="221" t="str">
        <f t="shared" ca="1" si="187"/>
        <v>WP004</v>
      </c>
      <c r="C128" s="221">
        <v>7</v>
      </c>
      <c r="D128" s="221" t="s">
        <v>105</v>
      </c>
      <c r="L128" s="221" t="s">
        <v>99</v>
      </c>
      <c r="M128" s="221" t="s">
        <v>80</v>
      </c>
      <c r="N128" s="461"/>
      <c r="O128" s="252"/>
      <c r="P128" s="253"/>
      <c r="Q128" s="254" t="s">
        <v>106</v>
      </c>
      <c r="R128" s="361">
        <f t="shared" ca="1" si="224"/>
        <v>0</v>
      </c>
      <c r="S128" s="362">
        <f t="shared" ca="1" si="224"/>
        <v>0</v>
      </c>
      <c r="T128" s="363">
        <f t="shared" ca="1" si="200"/>
        <v>0</v>
      </c>
      <c r="U128" s="360">
        <f t="shared" ca="1" si="188"/>
        <v>0</v>
      </c>
      <c r="V128" s="361">
        <f t="shared" ca="1" si="225"/>
        <v>0</v>
      </c>
      <c r="W128" s="362">
        <f t="shared" ca="1" si="225"/>
        <v>0</v>
      </c>
      <c r="X128" s="363">
        <f t="shared" ca="1" si="201"/>
        <v>0</v>
      </c>
      <c r="Y128" s="360">
        <f t="shared" ca="1" si="189"/>
        <v>0</v>
      </c>
      <c r="Z128" s="361">
        <f t="shared" ca="1" si="226"/>
        <v>0</v>
      </c>
      <c r="AA128" s="362">
        <f t="shared" ca="1" si="226"/>
        <v>0</v>
      </c>
      <c r="AB128" s="363">
        <f t="shared" ca="1" si="202"/>
        <v>0</v>
      </c>
      <c r="AC128" s="360">
        <f t="shared" ca="1" si="190"/>
        <v>0</v>
      </c>
      <c r="AD128" s="361">
        <f t="shared" ca="1" si="227"/>
        <v>0</v>
      </c>
      <c r="AE128" s="362">
        <f t="shared" ca="1" si="227"/>
        <v>0</v>
      </c>
      <c r="AF128" s="363">
        <f t="shared" ca="1" si="203"/>
        <v>0</v>
      </c>
      <c r="AG128" s="360">
        <f t="shared" ca="1" si="191"/>
        <v>0</v>
      </c>
      <c r="AH128" s="361">
        <f t="shared" ca="1" si="228"/>
        <v>0</v>
      </c>
      <c r="AI128" s="362">
        <f t="shared" ca="1" si="228"/>
        <v>0</v>
      </c>
      <c r="AJ128" s="363">
        <f t="shared" ca="1" si="204"/>
        <v>0</v>
      </c>
      <c r="AK128" s="360">
        <f t="shared" ca="1" si="192"/>
        <v>0</v>
      </c>
      <c r="AL128" s="361">
        <f t="shared" ca="1" si="229"/>
        <v>0</v>
      </c>
      <c r="AM128" s="362">
        <f t="shared" ca="1" si="229"/>
        <v>0</v>
      </c>
      <c r="AN128" s="363">
        <f t="shared" ca="1" si="205"/>
        <v>0</v>
      </c>
      <c r="AO128" s="360">
        <f t="shared" ca="1" si="193"/>
        <v>0</v>
      </c>
      <c r="AP128" s="361">
        <f t="shared" ca="1" si="230"/>
        <v>0</v>
      </c>
      <c r="AQ128" s="362">
        <f t="shared" ca="1" si="230"/>
        <v>0</v>
      </c>
      <c r="AR128" s="363">
        <f t="shared" ca="1" si="206"/>
        <v>0</v>
      </c>
      <c r="AS128" s="360">
        <f t="shared" ca="1" si="194"/>
        <v>0</v>
      </c>
      <c r="AT128" s="361">
        <f t="shared" ca="1" si="231"/>
        <v>0</v>
      </c>
      <c r="AU128" s="362">
        <f t="shared" ca="1" si="231"/>
        <v>0</v>
      </c>
      <c r="AV128" s="363">
        <f t="shared" ca="1" si="207"/>
        <v>0</v>
      </c>
      <c r="AW128" s="360">
        <f t="shared" ca="1" si="195"/>
        <v>0</v>
      </c>
      <c r="AX128" s="361">
        <f t="shared" ca="1" si="232"/>
        <v>0</v>
      </c>
      <c r="AY128" s="362">
        <f t="shared" ca="1" si="232"/>
        <v>0</v>
      </c>
      <c r="AZ128" s="363">
        <f t="shared" ca="1" si="208"/>
        <v>0</v>
      </c>
      <c r="BA128" s="360">
        <f t="shared" ca="1" si="196"/>
        <v>0</v>
      </c>
      <c r="BB128" s="361">
        <f t="shared" ca="1" si="233"/>
        <v>0</v>
      </c>
      <c r="BC128" s="362">
        <f t="shared" ca="1" si="233"/>
        <v>0</v>
      </c>
      <c r="BD128" s="363">
        <f t="shared" ca="1" si="209"/>
        <v>0</v>
      </c>
      <c r="BE128" s="360">
        <f t="shared" ca="1" si="197"/>
        <v>0</v>
      </c>
      <c r="BF128" s="361">
        <f t="shared" ca="1" si="234"/>
        <v>0</v>
      </c>
      <c r="BG128" s="362">
        <f t="shared" ca="1" si="234"/>
        <v>0</v>
      </c>
      <c r="BH128" s="363">
        <f t="shared" ca="1" si="210"/>
        <v>0</v>
      </c>
      <c r="BI128" s="360">
        <f t="shared" ca="1" si="198"/>
        <v>0</v>
      </c>
      <c r="BJ128" s="361">
        <f t="shared" ca="1" si="235"/>
        <v>0</v>
      </c>
      <c r="BK128" s="362">
        <f t="shared" ca="1" si="235"/>
        <v>0</v>
      </c>
      <c r="BL128" s="363">
        <f t="shared" ca="1" si="211"/>
        <v>0</v>
      </c>
      <c r="BM128" s="360">
        <f t="shared" ca="1" si="199"/>
        <v>0</v>
      </c>
      <c r="BN128" s="360">
        <f t="shared" ca="1" si="199"/>
        <v>0</v>
      </c>
    </row>
    <row r="129" spans="1:66">
      <c r="A129" s="221" t="str">
        <f t="shared" ca="1" si="186"/>
        <v>WP004</v>
      </c>
      <c r="B129" s="221" t="str">
        <f t="shared" ca="1" si="187"/>
        <v>WP004</v>
      </c>
      <c r="C129" s="221">
        <v>5</v>
      </c>
      <c r="D129" s="221" t="s">
        <v>107</v>
      </c>
      <c r="J129" s="222" t="s">
        <v>96</v>
      </c>
      <c r="M129" s="221" t="s">
        <v>80</v>
      </c>
      <c r="N129" s="461"/>
      <c r="O129" s="255"/>
      <c r="P129" s="456" t="s">
        <v>108</v>
      </c>
      <c r="Q129" s="456"/>
      <c r="R129" s="364">
        <f t="shared" ca="1" si="224"/>
        <v>0</v>
      </c>
      <c r="S129" s="358">
        <f t="shared" ca="1" si="224"/>
        <v>0</v>
      </c>
      <c r="T129" s="359">
        <f t="shared" ca="1" si="200"/>
        <v>0</v>
      </c>
      <c r="U129" s="360">
        <f t="shared" ca="1" si="188"/>
        <v>0</v>
      </c>
      <c r="V129" s="364">
        <f t="shared" ca="1" si="225"/>
        <v>0</v>
      </c>
      <c r="W129" s="358">
        <f t="shared" ca="1" si="225"/>
        <v>0</v>
      </c>
      <c r="X129" s="359">
        <f t="shared" ca="1" si="201"/>
        <v>0</v>
      </c>
      <c r="Y129" s="360">
        <f t="shared" ca="1" si="189"/>
        <v>0</v>
      </c>
      <c r="Z129" s="364">
        <f t="shared" ca="1" si="226"/>
        <v>0</v>
      </c>
      <c r="AA129" s="358">
        <f t="shared" ca="1" si="226"/>
        <v>0</v>
      </c>
      <c r="AB129" s="359">
        <f t="shared" ca="1" si="202"/>
        <v>0</v>
      </c>
      <c r="AC129" s="360">
        <f t="shared" ca="1" si="190"/>
        <v>0</v>
      </c>
      <c r="AD129" s="364">
        <f t="shared" ca="1" si="227"/>
        <v>0</v>
      </c>
      <c r="AE129" s="358">
        <f t="shared" ca="1" si="227"/>
        <v>0</v>
      </c>
      <c r="AF129" s="359">
        <f t="shared" ca="1" si="203"/>
        <v>0</v>
      </c>
      <c r="AG129" s="360">
        <f t="shared" ca="1" si="191"/>
        <v>0</v>
      </c>
      <c r="AH129" s="364">
        <f t="shared" ca="1" si="228"/>
        <v>0</v>
      </c>
      <c r="AI129" s="358">
        <f t="shared" ca="1" si="228"/>
        <v>0</v>
      </c>
      <c r="AJ129" s="359">
        <f t="shared" ca="1" si="204"/>
        <v>0</v>
      </c>
      <c r="AK129" s="360">
        <f t="shared" ca="1" si="192"/>
        <v>0</v>
      </c>
      <c r="AL129" s="364">
        <f t="shared" ca="1" si="229"/>
        <v>0</v>
      </c>
      <c r="AM129" s="358">
        <f t="shared" ca="1" si="229"/>
        <v>0</v>
      </c>
      <c r="AN129" s="359">
        <f t="shared" ca="1" si="205"/>
        <v>0</v>
      </c>
      <c r="AO129" s="360">
        <f t="shared" ca="1" si="193"/>
        <v>0</v>
      </c>
      <c r="AP129" s="364">
        <f t="shared" ca="1" si="230"/>
        <v>0</v>
      </c>
      <c r="AQ129" s="358">
        <f t="shared" ca="1" si="230"/>
        <v>0</v>
      </c>
      <c r="AR129" s="359">
        <f t="shared" ca="1" si="206"/>
        <v>0</v>
      </c>
      <c r="AS129" s="360">
        <f t="shared" ca="1" si="194"/>
        <v>0</v>
      </c>
      <c r="AT129" s="364">
        <f t="shared" ca="1" si="231"/>
        <v>0</v>
      </c>
      <c r="AU129" s="358">
        <f t="shared" ca="1" si="231"/>
        <v>0</v>
      </c>
      <c r="AV129" s="359">
        <f t="shared" ca="1" si="207"/>
        <v>0</v>
      </c>
      <c r="AW129" s="360">
        <f t="shared" ca="1" si="195"/>
        <v>0</v>
      </c>
      <c r="AX129" s="364">
        <f t="shared" ca="1" si="232"/>
        <v>0</v>
      </c>
      <c r="AY129" s="358">
        <f t="shared" ca="1" si="232"/>
        <v>0</v>
      </c>
      <c r="AZ129" s="359">
        <f t="shared" ca="1" si="208"/>
        <v>0</v>
      </c>
      <c r="BA129" s="360">
        <f t="shared" ca="1" si="196"/>
        <v>0</v>
      </c>
      <c r="BB129" s="364">
        <f t="shared" ca="1" si="233"/>
        <v>0</v>
      </c>
      <c r="BC129" s="358">
        <f t="shared" ca="1" si="233"/>
        <v>0</v>
      </c>
      <c r="BD129" s="359">
        <f t="shared" ca="1" si="209"/>
        <v>0</v>
      </c>
      <c r="BE129" s="360">
        <f t="shared" ca="1" si="197"/>
        <v>0</v>
      </c>
      <c r="BF129" s="364">
        <f t="shared" ca="1" si="234"/>
        <v>0</v>
      </c>
      <c r="BG129" s="358">
        <f t="shared" ca="1" si="234"/>
        <v>0</v>
      </c>
      <c r="BH129" s="359">
        <f t="shared" ca="1" si="210"/>
        <v>0</v>
      </c>
      <c r="BI129" s="360">
        <f t="shared" ca="1" si="198"/>
        <v>0</v>
      </c>
      <c r="BJ129" s="364">
        <f t="shared" ca="1" si="235"/>
        <v>0</v>
      </c>
      <c r="BK129" s="358">
        <f t="shared" ca="1" si="235"/>
        <v>0</v>
      </c>
      <c r="BL129" s="359">
        <f t="shared" ca="1" si="211"/>
        <v>0</v>
      </c>
      <c r="BM129" s="360">
        <f t="shared" ca="1" si="199"/>
        <v>0</v>
      </c>
      <c r="BN129" s="360">
        <f t="shared" ca="1" si="199"/>
        <v>0</v>
      </c>
    </row>
    <row r="130" spans="1:66">
      <c r="A130" s="221" t="str">
        <f t="shared" ca="1" si="186"/>
        <v>WP004</v>
      </c>
      <c r="B130" s="221" t="str">
        <f t="shared" ca="1" si="187"/>
        <v>WP004</v>
      </c>
      <c r="C130" s="221">
        <v>6</v>
      </c>
      <c r="D130" s="221" t="s">
        <v>109</v>
      </c>
      <c r="J130" s="222" t="s">
        <v>96</v>
      </c>
      <c r="K130" s="221" t="s">
        <v>110</v>
      </c>
      <c r="M130" s="221" t="s">
        <v>46</v>
      </c>
      <c r="N130" s="461"/>
      <c r="O130" s="255"/>
      <c r="P130" s="456" t="s">
        <v>111</v>
      </c>
      <c r="Q130" s="456"/>
      <c r="R130" s="364"/>
      <c r="S130" s="358"/>
      <c r="T130" s="359">
        <f t="shared" ca="1" si="200"/>
        <v>0</v>
      </c>
      <c r="U130" s="360">
        <f t="shared" ca="1" si="188"/>
        <v>0</v>
      </c>
      <c r="V130" s="364"/>
      <c r="W130" s="358"/>
      <c r="X130" s="359">
        <f t="shared" ca="1" si="201"/>
        <v>0</v>
      </c>
      <c r="Y130" s="360">
        <f t="shared" ca="1" si="189"/>
        <v>0</v>
      </c>
      <c r="Z130" s="364"/>
      <c r="AA130" s="358"/>
      <c r="AB130" s="359">
        <f t="shared" ca="1" si="202"/>
        <v>0</v>
      </c>
      <c r="AC130" s="360">
        <f t="shared" ca="1" si="190"/>
        <v>0</v>
      </c>
      <c r="AD130" s="364"/>
      <c r="AE130" s="358"/>
      <c r="AF130" s="359">
        <f t="shared" ca="1" si="203"/>
        <v>0</v>
      </c>
      <c r="AG130" s="360">
        <f t="shared" ca="1" si="191"/>
        <v>0</v>
      </c>
      <c r="AH130" s="364"/>
      <c r="AI130" s="358"/>
      <c r="AJ130" s="359">
        <f t="shared" ca="1" si="204"/>
        <v>0</v>
      </c>
      <c r="AK130" s="360">
        <f t="shared" ca="1" si="192"/>
        <v>0</v>
      </c>
      <c r="AL130" s="364"/>
      <c r="AM130" s="358"/>
      <c r="AN130" s="359">
        <f t="shared" ca="1" si="205"/>
        <v>0</v>
      </c>
      <c r="AO130" s="360">
        <f t="shared" ca="1" si="193"/>
        <v>0</v>
      </c>
      <c r="AP130" s="364"/>
      <c r="AQ130" s="358"/>
      <c r="AR130" s="359">
        <f t="shared" ca="1" si="206"/>
        <v>0</v>
      </c>
      <c r="AS130" s="360">
        <f t="shared" ca="1" si="194"/>
        <v>0</v>
      </c>
      <c r="AT130" s="364"/>
      <c r="AU130" s="358"/>
      <c r="AV130" s="359">
        <f t="shared" ca="1" si="207"/>
        <v>0</v>
      </c>
      <c r="AW130" s="360">
        <f t="shared" ca="1" si="195"/>
        <v>0</v>
      </c>
      <c r="AX130" s="364"/>
      <c r="AY130" s="358"/>
      <c r="AZ130" s="359">
        <f t="shared" ca="1" si="208"/>
        <v>0</v>
      </c>
      <c r="BA130" s="360">
        <f t="shared" ca="1" si="196"/>
        <v>0</v>
      </c>
      <c r="BB130" s="364"/>
      <c r="BC130" s="358"/>
      <c r="BD130" s="359">
        <f t="shared" ca="1" si="209"/>
        <v>0</v>
      </c>
      <c r="BE130" s="360">
        <f t="shared" ca="1" si="197"/>
        <v>0</v>
      </c>
      <c r="BF130" s="364"/>
      <c r="BG130" s="358"/>
      <c r="BH130" s="359">
        <f t="shared" ca="1" si="210"/>
        <v>0</v>
      </c>
      <c r="BI130" s="360">
        <f t="shared" ca="1" si="198"/>
        <v>0</v>
      </c>
      <c r="BJ130" s="364"/>
      <c r="BK130" s="358"/>
      <c r="BL130" s="359">
        <f t="shared" ca="1" si="211"/>
        <v>0</v>
      </c>
      <c r="BM130" s="360">
        <f t="shared" ca="1" si="199"/>
        <v>0</v>
      </c>
      <c r="BN130" s="360">
        <f t="shared" ca="1" si="199"/>
        <v>0</v>
      </c>
    </row>
    <row r="131" spans="1:66">
      <c r="A131" s="221" t="str">
        <f t="shared" ca="1" si="186"/>
        <v>WP004</v>
      </c>
      <c r="B131" s="221" t="str">
        <f t="shared" ca="1" si="187"/>
        <v>WP004</v>
      </c>
      <c r="C131" s="221">
        <v>7</v>
      </c>
      <c r="D131" s="221" t="s">
        <v>112</v>
      </c>
      <c r="L131" s="221" t="s">
        <v>110</v>
      </c>
      <c r="M131" s="221" t="s">
        <v>80</v>
      </c>
      <c r="N131" s="461"/>
      <c r="O131" s="255"/>
      <c r="P131" s="389"/>
      <c r="Q131" s="254" t="s">
        <v>113</v>
      </c>
      <c r="R131" s="361">
        <f t="shared" ref="R131:S136" ca="1" si="236">INDIRECT("'"&amp; MID(OFFSET(R131,ROW(R$3)-ROW(R131),IF(OFFSET(R131,ROW(R$2)-ROW(R131),2)="T",0,IF(OFFSET(R131,ROW(R$2)-ROW(R131),1)="T",-1,-2))),1,6) &amp; "'!" &amp; ADDRESS(ROW(R131),MATCH(INDIRECT(ADDRESS(2,COLUMN(R131)+IF(OFFSET(R131,ROW(R$2)-ROW(R131),2)="T",1,IF(OFFSET(R131,ROW(R$2)-ROW(R131),1)="T",0,-1))),TRUE),INDIRECT("'"&amp; MID(OFFSET(R131,ROW(R$3)-ROW(R131),IF(OFFSET(R131,ROW(R$2)-ROW(R131),2)="T",0,IF(OFFSET(R131,ROW(R$2)-ROW(R131),1)="T",-1,-2))),1,6) &amp; "'!2:2",TRUE),0)-IF(OFFSET(R131,ROW(R$2)-ROW(R131),2)="T",1,IF(OFFSET(R131,ROW(R$2)-ROW(R131),1)="T",0,-1))),TRUE)</f>
        <v>0</v>
      </c>
      <c r="S131" s="362">
        <f t="shared" ca="1" si="236"/>
        <v>0</v>
      </c>
      <c r="T131" s="363">
        <f t="shared" ca="1" si="200"/>
        <v>0</v>
      </c>
      <c r="U131" s="360">
        <f t="shared" ca="1" si="188"/>
        <v>0</v>
      </c>
      <c r="V131" s="361">
        <f t="shared" ref="V131:W136" ca="1" si="237">INDIRECT("'"&amp; MID(OFFSET(V131,ROW(V$3)-ROW(V131),IF(OFFSET(V131,ROW(V$2)-ROW(V131),2)="T",0,IF(OFFSET(V131,ROW(V$2)-ROW(V131),1)="T",-1,-2))),1,6) &amp; "'!" &amp; ADDRESS(ROW(V131),MATCH(INDIRECT(ADDRESS(2,COLUMN(V131)+IF(OFFSET(V131,ROW(V$2)-ROW(V131),2)="T",1,IF(OFFSET(V131,ROW(V$2)-ROW(V131),1)="T",0,-1))),TRUE),INDIRECT("'"&amp; MID(OFFSET(V131,ROW(V$3)-ROW(V131),IF(OFFSET(V131,ROW(V$2)-ROW(V131),2)="T",0,IF(OFFSET(V131,ROW(V$2)-ROW(V131),1)="T",-1,-2))),1,6) &amp; "'!2:2",TRUE),0)-IF(OFFSET(V131,ROW(V$2)-ROW(V131),2)="T",1,IF(OFFSET(V131,ROW(V$2)-ROW(V131),1)="T",0,-1))),TRUE)</f>
        <v>0</v>
      </c>
      <c r="W131" s="362">
        <f t="shared" ca="1" si="237"/>
        <v>0</v>
      </c>
      <c r="X131" s="363">
        <f t="shared" ca="1" si="201"/>
        <v>0</v>
      </c>
      <c r="Y131" s="360">
        <f t="shared" ca="1" si="189"/>
        <v>0</v>
      </c>
      <c r="Z131" s="361">
        <f t="shared" ref="Z131:AA136" ca="1" si="238">INDIRECT("'"&amp; MID(OFFSET(Z131,ROW(Z$3)-ROW(Z131),IF(OFFSET(Z131,ROW(Z$2)-ROW(Z131),2)="T",0,IF(OFFSET(Z131,ROW(Z$2)-ROW(Z131),1)="T",-1,-2))),1,6) &amp; "'!" &amp; ADDRESS(ROW(Z131),MATCH(INDIRECT(ADDRESS(2,COLUMN(Z131)+IF(OFFSET(Z131,ROW(Z$2)-ROW(Z131),2)="T",1,IF(OFFSET(Z131,ROW(Z$2)-ROW(Z131),1)="T",0,-1))),TRUE),INDIRECT("'"&amp; MID(OFFSET(Z131,ROW(Z$3)-ROW(Z131),IF(OFFSET(Z131,ROW(Z$2)-ROW(Z131),2)="T",0,IF(OFFSET(Z131,ROW(Z$2)-ROW(Z131),1)="T",-1,-2))),1,6) &amp; "'!2:2",TRUE),0)-IF(OFFSET(Z131,ROW(Z$2)-ROW(Z131),2)="T",1,IF(OFFSET(Z131,ROW(Z$2)-ROW(Z131),1)="T",0,-1))),TRUE)</f>
        <v>0</v>
      </c>
      <c r="AA131" s="362">
        <f t="shared" ca="1" si="238"/>
        <v>0</v>
      </c>
      <c r="AB131" s="363">
        <f t="shared" ca="1" si="202"/>
        <v>0</v>
      </c>
      <c r="AC131" s="360">
        <f t="shared" ca="1" si="190"/>
        <v>0</v>
      </c>
      <c r="AD131" s="361">
        <f t="shared" ref="AD131:AE136" ca="1" si="239">INDIRECT("'"&amp; MID(OFFSET(AD131,ROW(AD$3)-ROW(AD131),IF(OFFSET(AD131,ROW(AD$2)-ROW(AD131),2)="T",0,IF(OFFSET(AD131,ROW(AD$2)-ROW(AD131),1)="T",-1,-2))),1,6) &amp; "'!" &amp; ADDRESS(ROW(AD131),MATCH(INDIRECT(ADDRESS(2,COLUMN(AD131)+IF(OFFSET(AD131,ROW(AD$2)-ROW(AD131),2)="T",1,IF(OFFSET(AD131,ROW(AD$2)-ROW(AD131),1)="T",0,-1))),TRUE),INDIRECT("'"&amp; MID(OFFSET(AD131,ROW(AD$3)-ROW(AD131),IF(OFFSET(AD131,ROW(AD$2)-ROW(AD131),2)="T",0,IF(OFFSET(AD131,ROW(AD$2)-ROW(AD131),1)="T",-1,-2))),1,6) &amp; "'!2:2",TRUE),0)-IF(OFFSET(AD131,ROW(AD$2)-ROW(AD131),2)="T",1,IF(OFFSET(AD131,ROW(AD$2)-ROW(AD131),1)="T",0,-1))),TRUE)</f>
        <v>0</v>
      </c>
      <c r="AE131" s="362">
        <f t="shared" ca="1" si="239"/>
        <v>0</v>
      </c>
      <c r="AF131" s="363">
        <f t="shared" ca="1" si="203"/>
        <v>0</v>
      </c>
      <c r="AG131" s="360">
        <f t="shared" ca="1" si="191"/>
        <v>0</v>
      </c>
      <c r="AH131" s="361">
        <f t="shared" ref="AH131:AI136" ca="1" si="240">INDIRECT("'"&amp; MID(OFFSET(AH131,ROW(AH$3)-ROW(AH131),IF(OFFSET(AH131,ROW(AH$2)-ROW(AH131),2)="T",0,IF(OFFSET(AH131,ROW(AH$2)-ROW(AH131),1)="T",-1,-2))),1,6) &amp; "'!" &amp; ADDRESS(ROW(AH131),MATCH(INDIRECT(ADDRESS(2,COLUMN(AH131)+IF(OFFSET(AH131,ROW(AH$2)-ROW(AH131),2)="T",1,IF(OFFSET(AH131,ROW(AH$2)-ROW(AH131),1)="T",0,-1))),TRUE),INDIRECT("'"&amp; MID(OFFSET(AH131,ROW(AH$3)-ROW(AH131),IF(OFFSET(AH131,ROW(AH$2)-ROW(AH131),2)="T",0,IF(OFFSET(AH131,ROW(AH$2)-ROW(AH131),1)="T",-1,-2))),1,6) &amp; "'!2:2",TRUE),0)-IF(OFFSET(AH131,ROW(AH$2)-ROW(AH131),2)="T",1,IF(OFFSET(AH131,ROW(AH$2)-ROW(AH131),1)="T",0,-1))),TRUE)</f>
        <v>0</v>
      </c>
      <c r="AI131" s="362">
        <f t="shared" ca="1" si="240"/>
        <v>0</v>
      </c>
      <c r="AJ131" s="363">
        <f t="shared" ca="1" si="204"/>
        <v>0</v>
      </c>
      <c r="AK131" s="360">
        <f t="shared" ca="1" si="192"/>
        <v>0</v>
      </c>
      <c r="AL131" s="361">
        <f t="shared" ref="AL131:AM136" ca="1" si="241">INDIRECT("'"&amp; MID(OFFSET(AL131,ROW(AL$3)-ROW(AL131),IF(OFFSET(AL131,ROW(AL$2)-ROW(AL131),2)="T",0,IF(OFFSET(AL131,ROW(AL$2)-ROW(AL131),1)="T",-1,-2))),1,6) &amp; "'!" &amp; ADDRESS(ROW(AL131),MATCH(INDIRECT(ADDRESS(2,COLUMN(AL131)+IF(OFFSET(AL131,ROW(AL$2)-ROW(AL131),2)="T",1,IF(OFFSET(AL131,ROW(AL$2)-ROW(AL131),1)="T",0,-1))),TRUE),INDIRECT("'"&amp; MID(OFFSET(AL131,ROW(AL$3)-ROW(AL131),IF(OFFSET(AL131,ROW(AL$2)-ROW(AL131),2)="T",0,IF(OFFSET(AL131,ROW(AL$2)-ROW(AL131),1)="T",-1,-2))),1,6) &amp; "'!2:2",TRUE),0)-IF(OFFSET(AL131,ROW(AL$2)-ROW(AL131),2)="T",1,IF(OFFSET(AL131,ROW(AL$2)-ROW(AL131),1)="T",0,-1))),TRUE)</f>
        <v>0</v>
      </c>
      <c r="AM131" s="362">
        <f t="shared" ca="1" si="241"/>
        <v>0</v>
      </c>
      <c r="AN131" s="363">
        <f t="shared" ca="1" si="205"/>
        <v>0</v>
      </c>
      <c r="AO131" s="360">
        <f t="shared" ca="1" si="193"/>
        <v>0</v>
      </c>
      <c r="AP131" s="361">
        <f t="shared" ref="AP131:AQ136" ca="1" si="242">INDIRECT("'"&amp; MID(OFFSET(AP131,ROW(AP$3)-ROW(AP131),IF(OFFSET(AP131,ROW(AP$2)-ROW(AP131),2)="T",0,IF(OFFSET(AP131,ROW(AP$2)-ROW(AP131),1)="T",-1,-2))),1,6) &amp; "'!" &amp; ADDRESS(ROW(AP131),MATCH(INDIRECT(ADDRESS(2,COLUMN(AP131)+IF(OFFSET(AP131,ROW(AP$2)-ROW(AP131),2)="T",1,IF(OFFSET(AP131,ROW(AP$2)-ROW(AP131),1)="T",0,-1))),TRUE),INDIRECT("'"&amp; MID(OFFSET(AP131,ROW(AP$3)-ROW(AP131),IF(OFFSET(AP131,ROW(AP$2)-ROW(AP131),2)="T",0,IF(OFFSET(AP131,ROW(AP$2)-ROW(AP131),1)="T",-1,-2))),1,6) &amp; "'!2:2",TRUE),0)-IF(OFFSET(AP131,ROW(AP$2)-ROW(AP131),2)="T",1,IF(OFFSET(AP131,ROW(AP$2)-ROW(AP131),1)="T",0,-1))),TRUE)</f>
        <v>0</v>
      </c>
      <c r="AQ131" s="362">
        <f t="shared" ca="1" si="242"/>
        <v>0</v>
      </c>
      <c r="AR131" s="363">
        <f t="shared" ca="1" si="206"/>
        <v>0</v>
      </c>
      <c r="AS131" s="360">
        <f t="shared" ca="1" si="194"/>
        <v>0</v>
      </c>
      <c r="AT131" s="361">
        <f t="shared" ref="AT131:AU136" ca="1" si="243">INDIRECT("'"&amp; MID(OFFSET(AT131,ROW(AT$3)-ROW(AT131),IF(OFFSET(AT131,ROW(AT$2)-ROW(AT131),2)="T",0,IF(OFFSET(AT131,ROW(AT$2)-ROW(AT131),1)="T",-1,-2))),1,6) &amp; "'!" &amp; ADDRESS(ROW(AT131),MATCH(INDIRECT(ADDRESS(2,COLUMN(AT131)+IF(OFFSET(AT131,ROW(AT$2)-ROW(AT131),2)="T",1,IF(OFFSET(AT131,ROW(AT$2)-ROW(AT131),1)="T",0,-1))),TRUE),INDIRECT("'"&amp; MID(OFFSET(AT131,ROW(AT$3)-ROW(AT131),IF(OFFSET(AT131,ROW(AT$2)-ROW(AT131),2)="T",0,IF(OFFSET(AT131,ROW(AT$2)-ROW(AT131),1)="T",-1,-2))),1,6) &amp; "'!2:2",TRUE),0)-IF(OFFSET(AT131,ROW(AT$2)-ROW(AT131),2)="T",1,IF(OFFSET(AT131,ROW(AT$2)-ROW(AT131),1)="T",0,-1))),TRUE)</f>
        <v>0</v>
      </c>
      <c r="AU131" s="362">
        <f t="shared" ca="1" si="243"/>
        <v>0</v>
      </c>
      <c r="AV131" s="363">
        <f t="shared" ca="1" si="207"/>
        <v>0</v>
      </c>
      <c r="AW131" s="360">
        <f t="shared" ca="1" si="195"/>
        <v>0</v>
      </c>
      <c r="AX131" s="361">
        <f t="shared" ref="AX131:AY136" ca="1" si="244">INDIRECT("'"&amp; MID(OFFSET(AX131,ROW(AX$3)-ROW(AX131),IF(OFFSET(AX131,ROW(AX$2)-ROW(AX131),2)="T",0,IF(OFFSET(AX131,ROW(AX$2)-ROW(AX131),1)="T",-1,-2))),1,6) &amp; "'!" &amp; ADDRESS(ROW(AX131),MATCH(INDIRECT(ADDRESS(2,COLUMN(AX131)+IF(OFFSET(AX131,ROW(AX$2)-ROW(AX131),2)="T",1,IF(OFFSET(AX131,ROW(AX$2)-ROW(AX131),1)="T",0,-1))),TRUE),INDIRECT("'"&amp; MID(OFFSET(AX131,ROW(AX$3)-ROW(AX131),IF(OFFSET(AX131,ROW(AX$2)-ROW(AX131),2)="T",0,IF(OFFSET(AX131,ROW(AX$2)-ROW(AX131),1)="T",-1,-2))),1,6) &amp; "'!2:2",TRUE),0)-IF(OFFSET(AX131,ROW(AX$2)-ROW(AX131),2)="T",1,IF(OFFSET(AX131,ROW(AX$2)-ROW(AX131),1)="T",0,-1))),TRUE)</f>
        <v>0</v>
      </c>
      <c r="AY131" s="362">
        <f t="shared" ca="1" si="244"/>
        <v>0</v>
      </c>
      <c r="AZ131" s="363">
        <f t="shared" ca="1" si="208"/>
        <v>0</v>
      </c>
      <c r="BA131" s="360">
        <f t="shared" ca="1" si="196"/>
        <v>0</v>
      </c>
      <c r="BB131" s="361">
        <f t="shared" ref="BB131:BC136" ca="1" si="245">INDIRECT("'"&amp; MID(OFFSET(BB131,ROW(BB$3)-ROW(BB131),IF(OFFSET(BB131,ROW(BB$2)-ROW(BB131),2)="T",0,IF(OFFSET(BB131,ROW(BB$2)-ROW(BB131),1)="T",-1,-2))),1,6) &amp; "'!" &amp; ADDRESS(ROW(BB131),MATCH(INDIRECT(ADDRESS(2,COLUMN(BB131)+IF(OFFSET(BB131,ROW(BB$2)-ROW(BB131),2)="T",1,IF(OFFSET(BB131,ROW(BB$2)-ROW(BB131),1)="T",0,-1))),TRUE),INDIRECT("'"&amp; MID(OFFSET(BB131,ROW(BB$3)-ROW(BB131),IF(OFFSET(BB131,ROW(BB$2)-ROW(BB131),2)="T",0,IF(OFFSET(BB131,ROW(BB$2)-ROW(BB131),1)="T",-1,-2))),1,6) &amp; "'!2:2",TRUE),0)-IF(OFFSET(BB131,ROW(BB$2)-ROW(BB131),2)="T",1,IF(OFFSET(BB131,ROW(BB$2)-ROW(BB131),1)="T",0,-1))),TRUE)</f>
        <v>0</v>
      </c>
      <c r="BC131" s="362">
        <f t="shared" ca="1" si="245"/>
        <v>0</v>
      </c>
      <c r="BD131" s="363">
        <f t="shared" ca="1" si="209"/>
        <v>0</v>
      </c>
      <c r="BE131" s="360">
        <f t="shared" ca="1" si="197"/>
        <v>0</v>
      </c>
      <c r="BF131" s="361">
        <f t="shared" ref="BF131:BG136" ca="1" si="246">INDIRECT("'"&amp; MID(OFFSET(BF131,ROW(BF$3)-ROW(BF131),IF(OFFSET(BF131,ROW(BF$2)-ROW(BF131),2)="T",0,IF(OFFSET(BF131,ROW(BF$2)-ROW(BF131),1)="T",-1,-2))),1,6) &amp; "'!" &amp; ADDRESS(ROW(BF131),MATCH(INDIRECT(ADDRESS(2,COLUMN(BF131)+IF(OFFSET(BF131,ROW(BF$2)-ROW(BF131),2)="T",1,IF(OFFSET(BF131,ROW(BF$2)-ROW(BF131),1)="T",0,-1))),TRUE),INDIRECT("'"&amp; MID(OFFSET(BF131,ROW(BF$3)-ROW(BF131),IF(OFFSET(BF131,ROW(BF$2)-ROW(BF131),2)="T",0,IF(OFFSET(BF131,ROW(BF$2)-ROW(BF131),1)="T",-1,-2))),1,6) &amp; "'!2:2",TRUE),0)-IF(OFFSET(BF131,ROW(BF$2)-ROW(BF131),2)="T",1,IF(OFFSET(BF131,ROW(BF$2)-ROW(BF131),1)="T",0,-1))),TRUE)</f>
        <v>0</v>
      </c>
      <c r="BG131" s="362">
        <f t="shared" ca="1" si="246"/>
        <v>0</v>
      </c>
      <c r="BH131" s="363">
        <f t="shared" ca="1" si="210"/>
        <v>0</v>
      </c>
      <c r="BI131" s="360">
        <f t="shared" ca="1" si="198"/>
        <v>0</v>
      </c>
      <c r="BJ131" s="361">
        <f t="shared" ref="BJ131:BK136" ca="1" si="247">INDIRECT("'"&amp; MID(OFFSET(BJ131,ROW(BJ$3)-ROW(BJ131),IF(OFFSET(BJ131,ROW(BJ$2)-ROW(BJ131),2)="T",0,IF(OFFSET(BJ131,ROW(BJ$2)-ROW(BJ131),1)="T",-1,-2))),1,6) &amp; "'!" &amp; ADDRESS(ROW(BJ131),MATCH(INDIRECT(ADDRESS(2,COLUMN(BJ131)+IF(OFFSET(BJ131,ROW(BJ$2)-ROW(BJ131),2)="T",1,IF(OFFSET(BJ131,ROW(BJ$2)-ROW(BJ131),1)="T",0,-1))),TRUE),INDIRECT("'"&amp; MID(OFFSET(BJ131,ROW(BJ$3)-ROW(BJ131),IF(OFFSET(BJ131,ROW(BJ$2)-ROW(BJ131),2)="T",0,IF(OFFSET(BJ131,ROW(BJ$2)-ROW(BJ131),1)="T",-1,-2))),1,6) &amp; "'!2:2",TRUE),0)-IF(OFFSET(BJ131,ROW(BJ$2)-ROW(BJ131),2)="T",1,IF(OFFSET(BJ131,ROW(BJ$2)-ROW(BJ131),1)="T",0,-1))),TRUE)</f>
        <v>0</v>
      </c>
      <c r="BK131" s="362">
        <f t="shared" ca="1" si="247"/>
        <v>0</v>
      </c>
      <c r="BL131" s="363">
        <f t="shared" ca="1" si="211"/>
        <v>0</v>
      </c>
      <c r="BM131" s="360">
        <f t="shared" ca="1" si="199"/>
        <v>0</v>
      </c>
      <c r="BN131" s="360">
        <f t="shared" ca="1" si="199"/>
        <v>0</v>
      </c>
    </row>
    <row r="132" spans="1:66">
      <c r="A132" s="221" t="str">
        <f t="shared" ca="1" si="186"/>
        <v>WP004</v>
      </c>
      <c r="B132" s="221" t="str">
        <f t="shared" ca="1" si="187"/>
        <v>WP004</v>
      </c>
      <c r="C132" s="221">
        <v>7</v>
      </c>
      <c r="D132" s="221" t="s">
        <v>114</v>
      </c>
      <c r="L132" s="221" t="s">
        <v>110</v>
      </c>
      <c r="M132" s="221" t="s">
        <v>80</v>
      </c>
      <c r="N132" s="461"/>
      <c r="O132" s="255"/>
      <c r="P132" s="389"/>
      <c r="Q132" s="254" t="s">
        <v>115</v>
      </c>
      <c r="R132" s="361">
        <f t="shared" ca="1" si="236"/>
        <v>0</v>
      </c>
      <c r="S132" s="362">
        <f t="shared" ca="1" si="236"/>
        <v>0</v>
      </c>
      <c r="T132" s="363">
        <f t="shared" ca="1" si="200"/>
        <v>0</v>
      </c>
      <c r="U132" s="360">
        <f t="shared" ca="1" si="188"/>
        <v>0</v>
      </c>
      <c r="V132" s="361">
        <f t="shared" ca="1" si="237"/>
        <v>0</v>
      </c>
      <c r="W132" s="362">
        <f t="shared" ca="1" si="237"/>
        <v>0</v>
      </c>
      <c r="X132" s="363">
        <f t="shared" ca="1" si="201"/>
        <v>0</v>
      </c>
      <c r="Y132" s="360">
        <f t="shared" ca="1" si="189"/>
        <v>0</v>
      </c>
      <c r="Z132" s="361">
        <f t="shared" ca="1" si="238"/>
        <v>0</v>
      </c>
      <c r="AA132" s="362">
        <f t="shared" ca="1" si="238"/>
        <v>0</v>
      </c>
      <c r="AB132" s="363">
        <f t="shared" ca="1" si="202"/>
        <v>0</v>
      </c>
      <c r="AC132" s="360">
        <f t="shared" ca="1" si="190"/>
        <v>0</v>
      </c>
      <c r="AD132" s="361">
        <f t="shared" ca="1" si="239"/>
        <v>0</v>
      </c>
      <c r="AE132" s="362">
        <f t="shared" ca="1" si="239"/>
        <v>0</v>
      </c>
      <c r="AF132" s="363">
        <f t="shared" ca="1" si="203"/>
        <v>0</v>
      </c>
      <c r="AG132" s="360">
        <f t="shared" ca="1" si="191"/>
        <v>0</v>
      </c>
      <c r="AH132" s="361">
        <f t="shared" ca="1" si="240"/>
        <v>0</v>
      </c>
      <c r="AI132" s="362">
        <f t="shared" ca="1" si="240"/>
        <v>0</v>
      </c>
      <c r="AJ132" s="363">
        <f t="shared" ca="1" si="204"/>
        <v>0</v>
      </c>
      <c r="AK132" s="360">
        <f t="shared" ca="1" si="192"/>
        <v>0</v>
      </c>
      <c r="AL132" s="361">
        <f t="shared" ca="1" si="241"/>
        <v>0</v>
      </c>
      <c r="AM132" s="362">
        <f t="shared" ca="1" si="241"/>
        <v>0</v>
      </c>
      <c r="AN132" s="363">
        <f t="shared" ca="1" si="205"/>
        <v>0</v>
      </c>
      <c r="AO132" s="360">
        <f t="shared" ca="1" si="193"/>
        <v>0</v>
      </c>
      <c r="AP132" s="361">
        <f t="shared" ca="1" si="242"/>
        <v>0</v>
      </c>
      <c r="AQ132" s="362">
        <f t="shared" ca="1" si="242"/>
        <v>0</v>
      </c>
      <c r="AR132" s="363">
        <f t="shared" ca="1" si="206"/>
        <v>0</v>
      </c>
      <c r="AS132" s="360">
        <f t="shared" ca="1" si="194"/>
        <v>0</v>
      </c>
      <c r="AT132" s="361">
        <f t="shared" ca="1" si="243"/>
        <v>0</v>
      </c>
      <c r="AU132" s="362">
        <f t="shared" ca="1" si="243"/>
        <v>0</v>
      </c>
      <c r="AV132" s="363">
        <f t="shared" ca="1" si="207"/>
        <v>0</v>
      </c>
      <c r="AW132" s="360">
        <f t="shared" ca="1" si="195"/>
        <v>0</v>
      </c>
      <c r="AX132" s="361">
        <f t="shared" ca="1" si="244"/>
        <v>0</v>
      </c>
      <c r="AY132" s="362">
        <f t="shared" ca="1" si="244"/>
        <v>0</v>
      </c>
      <c r="AZ132" s="363">
        <f t="shared" ca="1" si="208"/>
        <v>0</v>
      </c>
      <c r="BA132" s="360">
        <f t="shared" ca="1" si="196"/>
        <v>0</v>
      </c>
      <c r="BB132" s="361">
        <f t="shared" ca="1" si="245"/>
        <v>0</v>
      </c>
      <c r="BC132" s="362">
        <f t="shared" ca="1" si="245"/>
        <v>0</v>
      </c>
      <c r="BD132" s="363">
        <f t="shared" ca="1" si="209"/>
        <v>0</v>
      </c>
      <c r="BE132" s="360">
        <f t="shared" ca="1" si="197"/>
        <v>0</v>
      </c>
      <c r="BF132" s="361">
        <f t="shared" ca="1" si="246"/>
        <v>0</v>
      </c>
      <c r="BG132" s="362">
        <f t="shared" ca="1" si="246"/>
        <v>0</v>
      </c>
      <c r="BH132" s="363">
        <f t="shared" ca="1" si="210"/>
        <v>0</v>
      </c>
      <c r="BI132" s="360">
        <f t="shared" ca="1" si="198"/>
        <v>0</v>
      </c>
      <c r="BJ132" s="361">
        <f t="shared" ca="1" si="247"/>
        <v>0</v>
      </c>
      <c r="BK132" s="362">
        <f t="shared" ca="1" si="247"/>
        <v>0</v>
      </c>
      <c r="BL132" s="363">
        <f t="shared" ca="1" si="211"/>
        <v>0</v>
      </c>
      <c r="BM132" s="360">
        <f t="shared" ca="1" si="199"/>
        <v>0</v>
      </c>
      <c r="BN132" s="360">
        <f t="shared" ca="1" si="199"/>
        <v>0</v>
      </c>
    </row>
    <row r="133" spans="1:66">
      <c r="A133" s="221" t="str">
        <f t="shared" ca="1" si="186"/>
        <v>WP004</v>
      </c>
      <c r="B133" s="221" t="str">
        <f t="shared" ca="1" si="187"/>
        <v>WP004</v>
      </c>
      <c r="C133" s="221">
        <v>7</v>
      </c>
      <c r="D133" s="221" t="s">
        <v>116</v>
      </c>
      <c r="L133" s="221" t="s">
        <v>110</v>
      </c>
      <c r="M133" s="221" t="s">
        <v>80</v>
      </c>
      <c r="N133" s="461"/>
      <c r="O133" s="255"/>
      <c r="P133" s="389"/>
      <c r="Q133" s="254" t="s">
        <v>117</v>
      </c>
      <c r="R133" s="361">
        <f t="shared" ca="1" si="236"/>
        <v>0</v>
      </c>
      <c r="S133" s="362">
        <f t="shared" ca="1" si="236"/>
        <v>0</v>
      </c>
      <c r="T133" s="363">
        <f t="shared" ca="1" si="200"/>
        <v>0</v>
      </c>
      <c r="U133" s="360">
        <f t="shared" ca="1" si="188"/>
        <v>0</v>
      </c>
      <c r="V133" s="361">
        <f t="shared" ca="1" si="237"/>
        <v>0</v>
      </c>
      <c r="W133" s="362">
        <f t="shared" ca="1" si="237"/>
        <v>0</v>
      </c>
      <c r="X133" s="363">
        <f t="shared" ca="1" si="201"/>
        <v>0</v>
      </c>
      <c r="Y133" s="360">
        <f t="shared" ca="1" si="189"/>
        <v>0</v>
      </c>
      <c r="Z133" s="361">
        <f t="shared" ca="1" si="238"/>
        <v>0</v>
      </c>
      <c r="AA133" s="362">
        <f t="shared" ca="1" si="238"/>
        <v>0</v>
      </c>
      <c r="AB133" s="363">
        <f t="shared" ca="1" si="202"/>
        <v>0</v>
      </c>
      <c r="AC133" s="360">
        <f t="shared" ca="1" si="190"/>
        <v>0</v>
      </c>
      <c r="AD133" s="361">
        <f t="shared" ca="1" si="239"/>
        <v>0</v>
      </c>
      <c r="AE133" s="362">
        <f t="shared" ca="1" si="239"/>
        <v>0</v>
      </c>
      <c r="AF133" s="363">
        <f t="shared" ca="1" si="203"/>
        <v>0</v>
      </c>
      <c r="AG133" s="360">
        <f t="shared" ca="1" si="191"/>
        <v>0</v>
      </c>
      <c r="AH133" s="361">
        <f t="shared" ca="1" si="240"/>
        <v>0</v>
      </c>
      <c r="AI133" s="362">
        <f t="shared" ca="1" si="240"/>
        <v>0</v>
      </c>
      <c r="AJ133" s="363">
        <f t="shared" ca="1" si="204"/>
        <v>0</v>
      </c>
      <c r="AK133" s="360">
        <f t="shared" ca="1" si="192"/>
        <v>0</v>
      </c>
      <c r="AL133" s="361">
        <f t="shared" ca="1" si="241"/>
        <v>0</v>
      </c>
      <c r="AM133" s="362">
        <f t="shared" ca="1" si="241"/>
        <v>0</v>
      </c>
      <c r="AN133" s="363">
        <f t="shared" ca="1" si="205"/>
        <v>0</v>
      </c>
      <c r="AO133" s="360">
        <f t="shared" ca="1" si="193"/>
        <v>0</v>
      </c>
      <c r="AP133" s="361">
        <f t="shared" ca="1" si="242"/>
        <v>0</v>
      </c>
      <c r="AQ133" s="362">
        <f t="shared" ca="1" si="242"/>
        <v>0</v>
      </c>
      <c r="AR133" s="363">
        <f t="shared" ca="1" si="206"/>
        <v>0</v>
      </c>
      <c r="AS133" s="360">
        <f t="shared" ca="1" si="194"/>
        <v>0</v>
      </c>
      <c r="AT133" s="361">
        <f t="shared" ca="1" si="243"/>
        <v>0</v>
      </c>
      <c r="AU133" s="362">
        <f t="shared" ca="1" si="243"/>
        <v>0</v>
      </c>
      <c r="AV133" s="363">
        <f t="shared" ca="1" si="207"/>
        <v>0</v>
      </c>
      <c r="AW133" s="360">
        <f t="shared" ca="1" si="195"/>
        <v>0</v>
      </c>
      <c r="AX133" s="361">
        <f t="shared" ca="1" si="244"/>
        <v>0</v>
      </c>
      <c r="AY133" s="362">
        <f t="shared" ca="1" si="244"/>
        <v>0</v>
      </c>
      <c r="AZ133" s="363">
        <f t="shared" ca="1" si="208"/>
        <v>0</v>
      </c>
      <c r="BA133" s="360">
        <f t="shared" ca="1" si="196"/>
        <v>0</v>
      </c>
      <c r="BB133" s="361">
        <f t="shared" ca="1" si="245"/>
        <v>0</v>
      </c>
      <c r="BC133" s="362">
        <f t="shared" ca="1" si="245"/>
        <v>0</v>
      </c>
      <c r="BD133" s="363">
        <f t="shared" ca="1" si="209"/>
        <v>0</v>
      </c>
      <c r="BE133" s="360">
        <f t="shared" ca="1" si="197"/>
        <v>0</v>
      </c>
      <c r="BF133" s="361">
        <f t="shared" ca="1" si="246"/>
        <v>0</v>
      </c>
      <c r="BG133" s="362">
        <f t="shared" ca="1" si="246"/>
        <v>0</v>
      </c>
      <c r="BH133" s="363">
        <f t="shared" ca="1" si="210"/>
        <v>0</v>
      </c>
      <c r="BI133" s="360">
        <f t="shared" ca="1" si="198"/>
        <v>0</v>
      </c>
      <c r="BJ133" s="361">
        <f t="shared" ca="1" si="247"/>
        <v>0</v>
      </c>
      <c r="BK133" s="362">
        <f t="shared" ca="1" si="247"/>
        <v>0</v>
      </c>
      <c r="BL133" s="363">
        <f t="shared" ca="1" si="211"/>
        <v>0</v>
      </c>
      <c r="BM133" s="360">
        <f t="shared" ca="1" si="199"/>
        <v>0</v>
      </c>
      <c r="BN133" s="360">
        <f t="shared" ca="1" si="199"/>
        <v>0</v>
      </c>
    </row>
    <row r="134" spans="1:66">
      <c r="A134" s="221" t="str">
        <f t="shared" ca="1" si="186"/>
        <v>WP004</v>
      </c>
      <c r="B134" s="221" t="str">
        <f t="shared" ca="1" si="187"/>
        <v>WP004</v>
      </c>
      <c r="C134" s="221">
        <v>7</v>
      </c>
      <c r="D134" s="221" t="s">
        <v>118</v>
      </c>
      <c r="L134" s="221" t="s">
        <v>110</v>
      </c>
      <c r="M134" s="221" t="s">
        <v>80</v>
      </c>
      <c r="N134" s="461"/>
      <c r="O134" s="255"/>
      <c r="P134" s="389"/>
      <c r="Q134" s="254" t="s">
        <v>119</v>
      </c>
      <c r="R134" s="361">
        <f t="shared" ca="1" si="236"/>
        <v>0</v>
      </c>
      <c r="S134" s="362">
        <f t="shared" ca="1" si="236"/>
        <v>0</v>
      </c>
      <c r="T134" s="363">
        <f t="shared" ca="1" si="200"/>
        <v>0</v>
      </c>
      <c r="U134" s="360">
        <f t="shared" ca="1" si="188"/>
        <v>0</v>
      </c>
      <c r="V134" s="361">
        <f t="shared" ca="1" si="237"/>
        <v>0</v>
      </c>
      <c r="W134" s="362">
        <f t="shared" ca="1" si="237"/>
        <v>0</v>
      </c>
      <c r="X134" s="363">
        <f t="shared" ca="1" si="201"/>
        <v>0</v>
      </c>
      <c r="Y134" s="360">
        <f t="shared" ca="1" si="189"/>
        <v>0</v>
      </c>
      <c r="Z134" s="361">
        <f t="shared" ca="1" si="238"/>
        <v>0</v>
      </c>
      <c r="AA134" s="362">
        <f t="shared" ca="1" si="238"/>
        <v>0</v>
      </c>
      <c r="AB134" s="363">
        <f t="shared" ca="1" si="202"/>
        <v>0</v>
      </c>
      <c r="AC134" s="360">
        <f t="shared" ca="1" si="190"/>
        <v>0</v>
      </c>
      <c r="AD134" s="361">
        <f t="shared" ca="1" si="239"/>
        <v>0</v>
      </c>
      <c r="AE134" s="362">
        <f t="shared" ca="1" si="239"/>
        <v>0</v>
      </c>
      <c r="AF134" s="363">
        <f t="shared" ca="1" si="203"/>
        <v>0</v>
      </c>
      <c r="AG134" s="360">
        <f t="shared" ca="1" si="191"/>
        <v>0</v>
      </c>
      <c r="AH134" s="361">
        <f t="shared" ca="1" si="240"/>
        <v>0</v>
      </c>
      <c r="AI134" s="362">
        <f t="shared" ca="1" si="240"/>
        <v>0</v>
      </c>
      <c r="AJ134" s="363">
        <f t="shared" ca="1" si="204"/>
        <v>0</v>
      </c>
      <c r="AK134" s="360">
        <f t="shared" ca="1" si="192"/>
        <v>0</v>
      </c>
      <c r="AL134" s="361">
        <f t="shared" ca="1" si="241"/>
        <v>0</v>
      </c>
      <c r="AM134" s="362">
        <f t="shared" ca="1" si="241"/>
        <v>0</v>
      </c>
      <c r="AN134" s="363">
        <f t="shared" ca="1" si="205"/>
        <v>0</v>
      </c>
      <c r="AO134" s="360">
        <f t="shared" ca="1" si="193"/>
        <v>0</v>
      </c>
      <c r="AP134" s="361">
        <f t="shared" ca="1" si="242"/>
        <v>0</v>
      </c>
      <c r="AQ134" s="362">
        <f t="shared" ca="1" si="242"/>
        <v>0</v>
      </c>
      <c r="AR134" s="363">
        <f t="shared" ca="1" si="206"/>
        <v>0</v>
      </c>
      <c r="AS134" s="360">
        <f t="shared" ca="1" si="194"/>
        <v>0</v>
      </c>
      <c r="AT134" s="361">
        <f t="shared" ca="1" si="243"/>
        <v>0</v>
      </c>
      <c r="AU134" s="362">
        <f t="shared" ca="1" si="243"/>
        <v>0</v>
      </c>
      <c r="AV134" s="363">
        <f t="shared" ca="1" si="207"/>
        <v>0</v>
      </c>
      <c r="AW134" s="360">
        <f t="shared" ca="1" si="195"/>
        <v>0</v>
      </c>
      <c r="AX134" s="361">
        <f t="shared" ca="1" si="244"/>
        <v>0</v>
      </c>
      <c r="AY134" s="362">
        <f t="shared" ca="1" si="244"/>
        <v>0</v>
      </c>
      <c r="AZ134" s="363">
        <f t="shared" ca="1" si="208"/>
        <v>0</v>
      </c>
      <c r="BA134" s="360">
        <f t="shared" ca="1" si="196"/>
        <v>0</v>
      </c>
      <c r="BB134" s="361">
        <f t="shared" ca="1" si="245"/>
        <v>0</v>
      </c>
      <c r="BC134" s="362">
        <f t="shared" ca="1" si="245"/>
        <v>0</v>
      </c>
      <c r="BD134" s="363">
        <f t="shared" ca="1" si="209"/>
        <v>0</v>
      </c>
      <c r="BE134" s="360">
        <f t="shared" ca="1" si="197"/>
        <v>0</v>
      </c>
      <c r="BF134" s="361">
        <f t="shared" ca="1" si="246"/>
        <v>0</v>
      </c>
      <c r="BG134" s="362">
        <f t="shared" ca="1" si="246"/>
        <v>0</v>
      </c>
      <c r="BH134" s="363">
        <f t="shared" ca="1" si="210"/>
        <v>0</v>
      </c>
      <c r="BI134" s="360">
        <f t="shared" ca="1" si="198"/>
        <v>0</v>
      </c>
      <c r="BJ134" s="361">
        <f t="shared" ca="1" si="247"/>
        <v>0</v>
      </c>
      <c r="BK134" s="362">
        <f t="shared" ca="1" si="247"/>
        <v>0</v>
      </c>
      <c r="BL134" s="363">
        <f t="shared" ca="1" si="211"/>
        <v>0</v>
      </c>
      <c r="BM134" s="360">
        <f t="shared" ca="1" si="199"/>
        <v>0</v>
      </c>
      <c r="BN134" s="360">
        <f t="shared" ca="1" si="199"/>
        <v>0</v>
      </c>
    </row>
    <row r="135" spans="1:66">
      <c r="A135" s="221" t="str">
        <f t="shared" ca="1" si="186"/>
        <v>WP004</v>
      </c>
      <c r="B135" s="221" t="str">
        <f t="shared" ca="1" si="187"/>
        <v>WP004</v>
      </c>
      <c r="C135" s="221">
        <v>7</v>
      </c>
      <c r="D135" s="221" t="s">
        <v>120</v>
      </c>
      <c r="L135" s="221" t="s">
        <v>110</v>
      </c>
      <c r="M135" s="221" t="s">
        <v>80</v>
      </c>
      <c r="N135" s="461"/>
      <c r="O135" s="255"/>
      <c r="P135" s="389"/>
      <c r="Q135" s="254" t="s">
        <v>121</v>
      </c>
      <c r="R135" s="361">
        <f t="shared" ca="1" si="236"/>
        <v>0</v>
      </c>
      <c r="S135" s="362">
        <f t="shared" ca="1" si="236"/>
        <v>0</v>
      </c>
      <c r="T135" s="363">
        <f t="shared" ca="1" si="200"/>
        <v>0</v>
      </c>
      <c r="U135" s="360">
        <f t="shared" ca="1" si="188"/>
        <v>0</v>
      </c>
      <c r="V135" s="361">
        <f t="shared" ca="1" si="237"/>
        <v>0</v>
      </c>
      <c r="W135" s="362">
        <f t="shared" ca="1" si="237"/>
        <v>0</v>
      </c>
      <c r="X135" s="363">
        <f t="shared" ca="1" si="201"/>
        <v>0</v>
      </c>
      <c r="Y135" s="360">
        <f t="shared" ca="1" si="189"/>
        <v>0</v>
      </c>
      <c r="Z135" s="361">
        <f t="shared" ca="1" si="238"/>
        <v>0</v>
      </c>
      <c r="AA135" s="362">
        <f t="shared" ca="1" si="238"/>
        <v>0</v>
      </c>
      <c r="AB135" s="363">
        <f t="shared" ca="1" si="202"/>
        <v>0</v>
      </c>
      <c r="AC135" s="360">
        <f t="shared" ca="1" si="190"/>
        <v>0</v>
      </c>
      <c r="AD135" s="361">
        <f t="shared" ca="1" si="239"/>
        <v>0</v>
      </c>
      <c r="AE135" s="362">
        <f t="shared" ca="1" si="239"/>
        <v>0</v>
      </c>
      <c r="AF135" s="363">
        <f t="shared" ca="1" si="203"/>
        <v>0</v>
      </c>
      <c r="AG135" s="360">
        <f t="shared" ca="1" si="191"/>
        <v>0</v>
      </c>
      <c r="AH135" s="361">
        <f t="shared" ca="1" si="240"/>
        <v>0</v>
      </c>
      <c r="AI135" s="362">
        <f t="shared" ca="1" si="240"/>
        <v>0</v>
      </c>
      <c r="AJ135" s="363">
        <f t="shared" ca="1" si="204"/>
        <v>0</v>
      </c>
      <c r="AK135" s="360">
        <f t="shared" ca="1" si="192"/>
        <v>0</v>
      </c>
      <c r="AL135" s="361">
        <f t="shared" ca="1" si="241"/>
        <v>0</v>
      </c>
      <c r="AM135" s="362">
        <f t="shared" ca="1" si="241"/>
        <v>0</v>
      </c>
      <c r="AN135" s="363">
        <f t="shared" ca="1" si="205"/>
        <v>0</v>
      </c>
      <c r="AO135" s="360">
        <f t="shared" ca="1" si="193"/>
        <v>0</v>
      </c>
      <c r="AP135" s="361">
        <f t="shared" ca="1" si="242"/>
        <v>0</v>
      </c>
      <c r="AQ135" s="362">
        <f t="shared" ca="1" si="242"/>
        <v>0</v>
      </c>
      <c r="AR135" s="363">
        <f t="shared" ca="1" si="206"/>
        <v>0</v>
      </c>
      <c r="AS135" s="360">
        <f t="shared" ca="1" si="194"/>
        <v>0</v>
      </c>
      <c r="AT135" s="361">
        <f t="shared" ca="1" si="243"/>
        <v>0</v>
      </c>
      <c r="AU135" s="362">
        <f t="shared" ca="1" si="243"/>
        <v>0</v>
      </c>
      <c r="AV135" s="363">
        <f t="shared" ca="1" si="207"/>
        <v>0</v>
      </c>
      <c r="AW135" s="360">
        <f t="shared" ca="1" si="195"/>
        <v>0</v>
      </c>
      <c r="AX135" s="361">
        <f t="shared" ca="1" si="244"/>
        <v>0</v>
      </c>
      <c r="AY135" s="362">
        <f t="shared" ca="1" si="244"/>
        <v>0</v>
      </c>
      <c r="AZ135" s="363">
        <f t="shared" ca="1" si="208"/>
        <v>0</v>
      </c>
      <c r="BA135" s="360">
        <f t="shared" ca="1" si="196"/>
        <v>0</v>
      </c>
      <c r="BB135" s="361">
        <f t="shared" ca="1" si="245"/>
        <v>0</v>
      </c>
      <c r="BC135" s="362">
        <f t="shared" ca="1" si="245"/>
        <v>0</v>
      </c>
      <c r="BD135" s="363">
        <f t="shared" ca="1" si="209"/>
        <v>0</v>
      </c>
      <c r="BE135" s="360">
        <f t="shared" ca="1" si="197"/>
        <v>0</v>
      </c>
      <c r="BF135" s="361">
        <f t="shared" ca="1" si="246"/>
        <v>0</v>
      </c>
      <c r="BG135" s="362">
        <f t="shared" ca="1" si="246"/>
        <v>0</v>
      </c>
      <c r="BH135" s="363">
        <f t="shared" ca="1" si="210"/>
        <v>0</v>
      </c>
      <c r="BI135" s="360">
        <f t="shared" ca="1" si="198"/>
        <v>0</v>
      </c>
      <c r="BJ135" s="361">
        <f t="shared" ca="1" si="247"/>
        <v>0</v>
      </c>
      <c r="BK135" s="362">
        <f t="shared" ca="1" si="247"/>
        <v>0</v>
      </c>
      <c r="BL135" s="363">
        <f t="shared" ca="1" si="211"/>
        <v>0</v>
      </c>
      <c r="BM135" s="360">
        <f t="shared" ca="1" si="199"/>
        <v>0</v>
      </c>
      <c r="BN135" s="360">
        <f t="shared" ca="1" si="199"/>
        <v>0</v>
      </c>
    </row>
    <row r="136" spans="1:66">
      <c r="A136" s="221" t="str">
        <f t="shared" ca="1" si="186"/>
        <v>WP004</v>
      </c>
      <c r="B136" s="221" t="str">
        <f t="shared" ca="1" si="187"/>
        <v>WP004</v>
      </c>
      <c r="C136" s="221">
        <v>7</v>
      </c>
      <c r="D136" s="221" t="s">
        <v>122</v>
      </c>
      <c r="L136" s="221" t="s">
        <v>110</v>
      </c>
      <c r="M136" s="221" t="s">
        <v>80</v>
      </c>
      <c r="N136" s="461"/>
      <c r="O136" s="256"/>
      <c r="P136" s="389"/>
      <c r="Q136" s="254" t="s">
        <v>123</v>
      </c>
      <c r="R136" s="361">
        <f t="shared" ca="1" si="236"/>
        <v>0</v>
      </c>
      <c r="S136" s="362">
        <f t="shared" ca="1" si="236"/>
        <v>0</v>
      </c>
      <c r="T136" s="363">
        <f t="shared" ca="1" si="200"/>
        <v>0</v>
      </c>
      <c r="U136" s="360">
        <f t="shared" ca="1" si="188"/>
        <v>0</v>
      </c>
      <c r="V136" s="361">
        <f t="shared" ca="1" si="237"/>
        <v>0</v>
      </c>
      <c r="W136" s="362">
        <f t="shared" ca="1" si="237"/>
        <v>0</v>
      </c>
      <c r="X136" s="363">
        <f t="shared" ca="1" si="201"/>
        <v>0</v>
      </c>
      <c r="Y136" s="360">
        <f t="shared" ca="1" si="189"/>
        <v>0</v>
      </c>
      <c r="Z136" s="361">
        <f t="shared" ca="1" si="238"/>
        <v>0</v>
      </c>
      <c r="AA136" s="362">
        <f t="shared" ca="1" si="238"/>
        <v>0</v>
      </c>
      <c r="AB136" s="363">
        <f t="shared" ca="1" si="202"/>
        <v>0</v>
      </c>
      <c r="AC136" s="360">
        <f t="shared" ca="1" si="190"/>
        <v>0</v>
      </c>
      <c r="AD136" s="361">
        <f t="shared" ca="1" si="239"/>
        <v>0</v>
      </c>
      <c r="AE136" s="362">
        <f t="shared" ca="1" si="239"/>
        <v>0</v>
      </c>
      <c r="AF136" s="363">
        <f t="shared" ca="1" si="203"/>
        <v>0</v>
      </c>
      <c r="AG136" s="360">
        <f t="shared" ca="1" si="191"/>
        <v>0</v>
      </c>
      <c r="AH136" s="361">
        <f t="shared" ca="1" si="240"/>
        <v>0</v>
      </c>
      <c r="AI136" s="362">
        <f t="shared" ca="1" si="240"/>
        <v>0</v>
      </c>
      <c r="AJ136" s="363">
        <f t="shared" ca="1" si="204"/>
        <v>0</v>
      </c>
      <c r="AK136" s="360">
        <f t="shared" ca="1" si="192"/>
        <v>0</v>
      </c>
      <c r="AL136" s="361">
        <f t="shared" ca="1" si="241"/>
        <v>0</v>
      </c>
      <c r="AM136" s="362">
        <f t="shared" ca="1" si="241"/>
        <v>0</v>
      </c>
      <c r="AN136" s="363">
        <f t="shared" ca="1" si="205"/>
        <v>0</v>
      </c>
      <c r="AO136" s="360">
        <f t="shared" ca="1" si="193"/>
        <v>0</v>
      </c>
      <c r="AP136" s="361">
        <f t="shared" ca="1" si="242"/>
        <v>0</v>
      </c>
      <c r="AQ136" s="362">
        <f t="shared" ca="1" si="242"/>
        <v>0</v>
      </c>
      <c r="AR136" s="363">
        <f t="shared" ca="1" si="206"/>
        <v>0</v>
      </c>
      <c r="AS136" s="360">
        <f t="shared" ca="1" si="194"/>
        <v>0</v>
      </c>
      <c r="AT136" s="361">
        <f t="shared" ca="1" si="243"/>
        <v>0</v>
      </c>
      <c r="AU136" s="362">
        <f t="shared" ca="1" si="243"/>
        <v>0</v>
      </c>
      <c r="AV136" s="363">
        <f t="shared" ca="1" si="207"/>
        <v>0</v>
      </c>
      <c r="AW136" s="360">
        <f t="shared" ca="1" si="195"/>
        <v>0</v>
      </c>
      <c r="AX136" s="361">
        <f t="shared" ca="1" si="244"/>
        <v>0</v>
      </c>
      <c r="AY136" s="362">
        <f t="shared" ca="1" si="244"/>
        <v>0</v>
      </c>
      <c r="AZ136" s="363">
        <f t="shared" ca="1" si="208"/>
        <v>0</v>
      </c>
      <c r="BA136" s="360">
        <f t="shared" ca="1" si="196"/>
        <v>0</v>
      </c>
      <c r="BB136" s="361">
        <f t="shared" ca="1" si="245"/>
        <v>0</v>
      </c>
      <c r="BC136" s="362">
        <f t="shared" ca="1" si="245"/>
        <v>0</v>
      </c>
      <c r="BD136" s="363">
        <f t="shared" ca="1" si="209"/>
        <v>0</v>
      </c>
      <c r="BE136" s="360">
        <f t="shared" ca="1" si="197"/>
        <v>0</v>
      </c>
      <c r="BF136" s="361">
        <f t="shared" ca="1" si="246"/>
        <v>0</v>
      </c>
      <c r="BG136" s="362">
        <f t="shared" ca="1" si="246"/>
        <v>0</v>
      </c>
      <c r="BH136" s="363">
        <f t="shared" ca="1" si="210"/>
        <v>0</v>
      </c>
      <c r="BI136" s="360">
        <f t="shared" ca="1" si="198"/>
        <v>0</v>
      </c>
      <c r="BJ136" s="361">
        <f t="shared" ca="1" si="247"/>
        <v>0</v>
      </c>
      <c r="BK136" s="362">
        <f t="shared" ca="1" si="247"/>
        <v>0</v>
      </c>
      <c r="BL136" s="363">
        <f t="shared" ca="1" si="211"/>
        <v>0</v>
      </c>
      <c r="BM136" s="360">
        <f t="shared" ca="1" si="199"/>
        <v>0</v>
      </c>
      <c r="BN136" s="360">
        <f t="shared" ca="1" si="199"/>
        <v>0</v>
      </c>
    </row>
    <row r="137" spans="1:66">
      <c r="A137" s="221" t="str">
        <f t="shared" ca="1" si="186"/>
        <v>WP004</v>
      </c>
      <c r="B137" s="221" t="str">
        <f t="shared" ca="1" si="187"/>
        <v>WP004</v>
      </c>
      <c r="C137" s="221">
        <v>4</v>
      </c>
      <c r="D137" s="221" t="s">
        <v>124</v>
      </c>
      <c r="H137" s="221" t="s">
        <v>74</v>
      </c>
      <c r="I137" s="221" t="s">
        <v>125</v>
      </c>
      <c r="M137" s="221" t="s">
        <v>46</v>
      </c>
      <c r="N137" s="461"/>
      <c r="O137" s="452" t="s">
        <v>126</v>
      </c>
      <c r="P137" s="453"/>
      <c r="Q137" s="453"/>
      <c r="R137" s="353"/>
      <c r="S137" s="354"/>
      <c r="T137" s="355">
        <f t="shared" ca="1" si="200"/>
        <v>0</v>
      </c>
      <c r="U137" s="356">
        <f t="shared" ca="1" si="188"/>
        <v>0</v>
      </c>
      <c r="V137" s="353"/>
      <c r="W137" s="354"/>
      <c r="X137" s="355">
        <f t="shared" ca="1" si="201"/>
        <v>0</v>
      </c>
      <c r="Y137" s="356">
        <f t="shared" ca="1" si="189"/>
        <v>0</v>
      </c>
      <c r="Z137" s="353"/>
      <c r="AA137" s="354"/>
      <c r="AB137" s="355">
        <f t="shared" ca="1" si="202"/>
        <v>0</v>
      </c>
      <c r="AC137" s="356">
        <f t="shared" ca="1" si="190"/>
        <v>0</v>
      </c>
      <c r="AD137" s="353"/>
      <c r="AE137" s="354"/>
      <c r="AF137" s="355">
        <f t="shared" ca="1" si="203"/>
        <v>0</v>
      </c>
      <c r="AG137" s="356">
        <f t="shared" ca="1" si="191"/>
        <v>0</v>
      </c>
      <c r="AH137" s="353"/>
      <c r="AI137" s="354"/>
      <c r="AJ137" s="355">
        <f t="shared" ca="1" si="204"/>
        <v>0</v>
      </c>
      <c r="AK137" s="356">
        <f t="shared" ca="1" si="192"/>
        <v>0</v>
      </c>
      <c r="AL137" s="353"/>
      <c r="AM137" s="354"/>
      <c r="AN137" s="355">
        <f t="shared" ca="1" si="205"/>
        <v>0</v>
      </c>
      <c r="AO137" s="356">
        <f t="shared" ca="1" si="193"/>
        <v>0</v>
      </c>
      <c r="AP137" s="353"/>
      <c r="AQ137" s="354"/>
      <c r="AR137" s="355">
        <f t="shared" ca="1" si="206"/>
        <v>0</v>
      </c>
      <c r="AS137" s="356">
        <f t="shared" ca="1" si="194"/>
        <v>0</v>
      </c>
      <c r="AT137" s="353"/>
      <c r="AU137" s="354"/>
      <c r="AV137" s="355">
        <f t="shared" ca="1" si="207"/>
        <v>0</v>
      </c>
      <c r="AW137" s="356">
        <f t="shared" ca="1" si="195"/>
        <v>0</v>
      </c>
      <c r="AX137" s="353"/>
      <c r="AY137" s="354"/>
      <c r="AZ137" s="355">
        <f t="shared" ca="1" si="208"/>
        <v>0</v>
      </c>
      <c r="BA137" s="356">
        <f t="shared" ca="1" si="196"/>
        <v>0</v>
      </c>
      <c r="BB137" s="353"/>
      <c r="BC137" s="354"/>
      <c r="BD137" s="355">
        <f t="shared" ca="1" si="209"/>
        <v>0</v>
      </c>
      <c r="BE137" s="356">
        <f t="shared" ca="1" si="197"/>
        <v>0</v>
      </c>
      <c r="BF137" s="353"/>
      <c r="BG137" s="354"/>
      <c r="BH137" s="355">
        <f t="shared" ca="1" si="210"/>
        <v>0</v>
      </c>
      <c r="BI137" s="356">
        <f t="shared" ca="1" si="198"/>
        <v>0</v>
      </c>
      <c r="BJ137" s="353"/>
      <c r="BK137" s="354"/>
      <c r="BL137" s="355">
        <f t="shared" ca="1" si="211"/>
        <v>0</v>
      </c>
      <c r="BM137" s="356">
        <f t="shared" ca="1" si="199"/>
        <v>0</v>
      </c>
      <c r="BN137" s="356">
        <f t="shared" ca="1" si="199"/>
        <v>0</v>
      </c>
    </row>
    <row r="138" spans="1:66">
      <c r="A138" s="221" t="str">
        <f t="shared" ca="1" si="186"/>
        <v>WP004</v>
      </c>
      <c r="B138" s="221" t="str">
        <f t="shared" ca="1" si="187"/>
        <v>WP004</v>
      </c>
      <c r="C138" s="221">
        <v>5</v>
      </c>
      <c r="D138" s="221" t="s">
        <v>127</v>
      </c>
      <c r="J138" s="222" t="s">
        <v>125</v>
      </c>
      <c r="M138" s="221" t="s">
        <v>80</v>
      </c>
      <c r="N138" s="461"/>
      <c r="O138" s="257"/>
      <c r="P138" s="457" t="s">
        <v>128</v>
      </c>
      <c r="Q138" s="458"/>
      <c r="R138" s="361">
        <f ca="1">INDIRECT("'"&amp; MID(OFFSET(R138,ROW(R$3)-ROW(R138),IF(OFFSET(R138,ROW(R$2)-ROW(R138),2)="T",0,IF(OFFSET(R138,ROW(R$2)-ROW(R138),1)="T",-1,-2))),1,6) &amp; "'!" &amp; ADDRESS(ROW(R138),MATCH(INDIRECT(ADDRESS(2,COLUMN(R138)+IF(OFFSET(R138,ROW(R$2)-ROW(R138),2)="T",1,IF(OFFSET(R138,ROW(R$2)-ROW(R138),1)="T",0,-1))),TRUE),INDIRECT("'"&amp; MID(OFFSET(R138,ROW(R$3)-ROW(R138),IF(OFFSET(R138,ROW(R$2)-ROW(R138),2)="T",0,IF(OFFSET(R138,ROW(R$2)-ROW(R138),1)="T",-1,-2))),1,6) &amp; "'!2:2",TRUE),0)-IF(OFFSET(R138,ROW(R$2)-ROW(R138),2)="T",1,IF(OFFSET(R138,ROW(R$2)-ROW(R138),1)="T",0,-1))),TRUE)</f>
        <v>0</v>
      </c>
      <c r="S138" s="362">
        <f ca="1">INDIRECT("'"&amp; MID(OFFSET(S138,ROW(S$3)-ROW(S138),IF(OFFSET(S138,ROW(S$2)-ROW(S138),2)="T",0,IF(OFFSET(S138,ROW(S$2)-ROW(S138),1)="T",-1,-2))),1,6) &amp; "'!" &amp; ADDRESS(ROW(S138),MATCH(INDIRECT(ADDRESS(2,COLUMN(S138)+IF(OFFSET(S138,ROW(S$2)-ROW(S138),2)="T",1,IF(OFFSET(S138,ROW(S$2)-ROW(S138),1)="T",0,-1))),TRUE),INDIRECT("'"&amp; MID(OFFSET(S138,ROW(S$3)-ROW(S138),IF(OFFSET(S138,ROW(S$2)-ROW(S138),2)="T",0,IF(OFFSET(S138,ROW(S$2)-ROW(S138),1)="T",-1,-2))),1,6) &amp; "'!2:2",TRUE),0)-IF(OFFSET(S138,ROW(S$2)-ROW(S138),2)="T",1,IF(OFFSET(S138,ROW(S$2)-ROW(S138),1)="T",0,-1))),TRUE)</f>
        <v>0</v>
      </c>
      <c r="T138" s="363">
        <f t="shared" ca="1" si="200"/>
        <v>0</v>
      </c>
      <c r="U138" s="360">
        <f t="shared" ca="1" si="188"/>
        <v>0</v>
      </c>
      <c r="V138" s="361">
        <f ca="1">INDIRECT("'"&amp; MID(OFFSET(V138,ROW(V$3)-ROW(V138),IF(OFFSET(V138,ROW(V$2)-ROW(V138),2)="T",0,IF(OFFSET(V138,ROW(V$2)-ROW(V138),1)="T",-1,-2))),1,6) &amp; "'!" &amp; ADDRESS(ROW(V138),MATCH(INDIRECT(ADDRESS(2,COLUMN(V138)+IF(OFFSET(V138,ROW(V$2)-ROW(V138),2)="T",1,IF(OFFSET(V138,ROW(V$2)-ROW(V138),1)="T",0,-1))),TRUE),INDIRECT("'"&amp; MID(OFFSET(V138,ROW(V$3)-ROW(V138),IF(OFFSET(V138,ROW(V$2)-ROW(V138),2)="T",0,IF(OFFSET(V138,ROW(V$2)-ROW(V138),1)="T",-1,-2))),1,6) &amp; "'!2:2",TRUE),0)-IF(OFFSET(V138,ROW(V$2)-ROW(V138),2)="T",1,IF(OFFSET(V138,ROW(V$2)-ROW(V138),1)="T",0,-1))),TRUE)</f>
        <v>0</v>
      </c>
      <c r="W138" s="362">
        <f ca="1">INDIRECT("'"&amp; MID(OFFSET(W138,ROW(W$3)-ROW(W138),IF(OFFSET(W138,ROW(W$2)-ROW(W138),2)="T",0,IF(OFFSET(W138,ROW(W$2)-ROW(W138),1)="T",-1,-2))),1,6) &amp; "'!" &amp; ADDRESS(ROW(W138),MATCH(INDIRECT(ADDRESS(2,COLUMN(W138)+IF(OFFSET(W138,ROW(W$2)-ROW(W138),2)="T",1,IF(OFFSET(W138,ROW(W$2)-ROW(W138),1)="T",0,-1))),TRUE),INDIRECT("'"&amp; MID(OFFSET(W138,ROW(W$3)-ROW(W138),IF(OFFSET(W138,ROW(W$2)-ROW(W138),2)="T",0,IF(OFFSET(W138,ROW(W$2)-ROW(W138),1)="T",-1,-2))),1,6) &amp; "'!2:2",TRUE),0)-IF(OFFSET(W138,ROW(W$2)-ROW(W138),2)="T",1,IF(OFFSET(W138,ROW(W$2)-ROW(W138),1)="T",0,-1))),TRUE)</f>
        <v>0</v>
      </c>
      <c r="X138" s="363">
        <f t="shared" ca="1" si="201"/>
        <v>0</v>
      </c>
      <c r="Y138" s="360">
        <f t="shared" ca="1" si="189"/>
        <v>0</v>
      </c>
      <c r="Z138" s="361">
        <f ca="1">INDIRECT("'"&amp; MID(OFFSET(Z138,ROW(Z$3)-ROW(Z138),IF(OFFSET(Z138,ROW(Z$2)-ROW(Z138),2)="T",0,IF(OFFSET(Z138,ROW(Z$2)-ROW(Z138),1)="T",-1,-2))),1,6) &amp; "'!" &amp; ADDRESS(ROW(Z138),MATCH(INDIRECT(ADDRESS(2,COLUMN(Z138)+IF(OFFSET(Z138,ROW(Z$2)-ROW(Z138),2)="T",1,IF(OFFSET(Z138,ROW(Z$2)-ROW(Z138),1)="T",0,-1))),TRUE),INDIRECT("'"&amp; MID(OFFSET(Z138,ROW(Z$3)-ROW(Z138),IF(OFFSET(Z138,ROW(Z$2)-ROW(Z138),2)="T",0,IF(OFFSET(Z138,ROW(Z$2)-ROW(Z138),1)="T",-1,-2))),1,6) &amp; "'!2:2",TRUE),0)-IF(OFFSET(Z138,ROW(Z$2)-ROW(Z138),2)="T",1,IF(OFFSET(Z138,ROW(Z$2)-ROW(Z138),1)="T",0,-1))),TRUE)</f>
        <v>0</v>
      </c>
      <c r="AA138" s="362">
        <f ca="1">INDIRECT("'"&amp; MID(OFFSET(AA138,ROW(AA$3)-ROW(AA138),IF(OFFSET(AA138,ROW(AA$2)-ROW(AA138),2)="T",0,IF(OFFSET(AA138,ROW(AA$2)-ROW(AA138),1)="T",-1,-2))),1,6) &amp; "'!" &amp; ADDRESS(ROW(AA138),MATCH(INDIRECT(ADDRESS(2,COLUMN(AA138)+IF(OFFSET(AA138,ROW(AA$2)-ROW(AA138),2)="T",1,IF(OFFSET(AA138,ROW(AA$2)-ROW(AA138),1)="T",0,-1))),TRUE),INDIRECT("'"&amp; MID(OFFSET(AA138,ROW(AA$3)-ROW(AA138),IF(OFFSET(AA138,ROW(AA$2)-ROW(AA138),2)="T",0,IF(OFFSET(AA138,ROW(AA$2)-ROW(AA138),1)="T",-1,-2))),1,6) &amp; "'!2:2",TRUE),0)-IF(OFFSET(AA138,ROW(AA$2)-ROW(AA138),2)="T",1,IF(OFFSET(AA138,ROW(AA$2)-ROW(AA138),1)="T",0,-1))),TRUE)</f>
        <v>0</v>
      </c>
      <c r="AB138" s="363">
        <f t="shared" ca="1" si="202"/>
        <v>0</v>
      </c>
      <c r="AC138" s="360">
        <f t="shared" ca="1" si="190"/>
        <v>0</v>
      </c>
      <c r="AD138" s="361">
        <f ca="1">INDIRECT("'"&amp; MID(OFFSET(AD138,ROW(AD$3)-ROW(AD138),IF(OFFSET(AD138,ROW(AD$2)-ROW(AD138),2)="T",0,IF(OFFSET(AD138,ROW(AD$2)-ROW(AD138),1)="T",-1,-2))),1,6) &amp; "'!" &amp; ADDRESS(ROW(AD138),MATCH(INDIRECT(ADDRESS(2,COLUMN(AD138)+IF(OFFSET(AD138,ROW(AD$2)-ROW(AD138),2)="T",1,IF(OFFSET(AD138,ROW(AD$2)-ROW(AD138),1)="T",0,-1))),TRUE),INDIRECT("'"&amp; MID(OFFSET(AD138,ROW(AD$3)-ROW(AD138),IF(OFFSET(AD138,ROW(AD$2)-ROW(AD138),2)="T",0,IF(OFFSET(AD138,ROW(AD$2)-ROW(AD138),1)="T",-1,-2))),1,6) &amp; "'!2:2",TRUE),0)-IF(OFFSET(AD138,ROW(AD$2)-ROW(AD138),2)="T",1,IF(OFFSET(AD138,ROW(AD$2)-ROW(AD138),1)="T",0,-1))),TRUE)</f>
        <v>0</v>
      </c>
      <c r="AE138" s="362">
        <f ca="1">INDIRECT("'"&amp; MID(OFFSET(AE138,ROW(AE$3)-ROW(AE138),IF(OFFSET(AE138,ROW(AE$2)-ROW(AE138),2)="T",0,IF(OFFSET(AE138,ROW(AE$2)-ROW(AE138),1)="T",-1,-2))),1,6) &amp; "'!" &amp; ADDRESS(ROW(AE138),MATCH(INDIRECT(ADDRESS(2,COLUMN(AE138)+IF(OFFSET(AE138,ROW(AE$2)-ROW(AE138),2)="T",1,IF(OFFSET(AE138,ROW(AE$2)-ROW(AE138),1)="T",0,-1))),TRUE),INDIRECT("'"&amp; MID(OFFSET(AE138,ROW(AE$3)-ROW(AE138),IF(OFFSET(AE138,ROW(AE$2)-ROW(AE138),2)="T",0,IF(OFFSET(AE138,ROW(AE$2)-ROW(AE138),1)="T",-1,-2))),1,6) &amp; "'!2:2",TRUE),0)-IF(OFFSET(AE138,ROW(AE$2)-ROW(AE138),2)="T",1,IF(OFFSET(AE138,ROW(AE$2)-ROW(AE138),1)="T",0,-1))),TRUE)</f>
        <v>0</v>
      </c>
      <c r="AF138" s="363">
        <f t="shared" ca="1" si="203"/>
        <v>0</v>
      </c>
      <c r="AG138" s="360">
        <f t="shared" ca="1" si="191"/>
        <v>0</v>
      </c>
      <c r="AH138" s="361">
        <f ca="1">INDIRECT("'"&amp; MID(OFFSET(AH138,ROW(AH$3)-ROW(AH138),IF(OFFSET(AH138,ROW(AH$2)-ROW(AH138),2)="T",0,IF(OFFSET(AH138,ROW(AH$2)-ROW(AH138),1)="T",-1,-2))),1,6) &amp; "'!" &amp; ADDRESS(ROW(AH138),MATCH(INDIRECT(ADDRESS(2,COLUMN(AH138)+IF(OFFSET(AH138,ROW(AH$2)-ROW(AH138),2)="T",1,IF(OFFSET(AH138,ROW(AH$2)-ROW(AH138),1)="T",0,-1))),TRUE),INDIRECT("'"&amp; MID(OFFSET(AH138,ROW(AH$3)-ROW(AH138),IF(OFFSET(AH138,ROW(AH$2)-ROW(AH138),2)="T",0,IF(OFFSET(AH138,ROW(AH$2)-ROW(AH138),1)="T",-1,-2))),1,6) &amp; "'!2:2",TRUE),0)-IF(OFFSET(AH138,ROW(AH$2)-ROW(AH138),2)="T",1,IF(OFFSET(AH138,ROW(AH$2)-ROW(AH138),1)="T",0,-1))),TRUE)</f>
        <v>0</v>
      </c>
      <c r="AI138" s="362">
        <f ca="1">INDIRECT("'"&amp; MID(OFFSET(AI138,ROW(AI$3)-ROW(AI138),IF(OFFSET(AI138,ROW(AI$2)-ROW(AI138),2)="T",0,IF(OFFSET(AI138,ROW(AI$2)-ROW(AI138),1)="T",-1,-2))),1,6) &amp; "'!" &amp; ADDRESS(ROW(AI138),MATCH(INDIRECT(ADDRESS(2,COLUMN(AI138)+IF(OFFSET(AI138,ROW(AI$2)-ROW(AI138),2)="T",1,IF(OFFSET(AI138,ROW(AI$2)-ROW(AI138),1)="T",0,-1))),TRUE),INDIRECT("'"&amp; MID(OFFSET(AI138,ROW(AI$3)-ROW(AI138),IF(OFFSET(AI138,ROW(AI$2)-ROW(AI138),2)="T",0,IF(OFFSET(AI138,ROW(AI$2)-ROW(AI138),1)="T",-1,-2))),1,6) &amp; "'!2:2",TRUE),0)-IF(OFFSET(AI138,ROW(AI$2)-ROW(AI138),2)="T",1,IF(OFFSET(AI138,ROW(AI$2)-ROW(AI138),1)="T",0,-1))),TRUE)</f>
        <v>0</v>
      </c>
      <c r="AJ138" s="363">
        <f t="shared" ca="1" si="204"/>
        <v>0</v>
      </c>
      <c r="AK138" s="360">
        <f t="shared" ca="1" si="192"/>
        <v>0</v>
      </c>
      <c r="AL138" s="361">
        <f ca="1">INDIRECT("'"&amp; MID(OFFSET(AL138,ROW(AL$3)-ROW(AL138),IF(OFFSET(AL138,ROW(AL$2)-ROW(AL138),2)="T",0,IF(OFFSET(AL138,ROW(AL$2)-ROW(AL138),1)="T",-1,-2))),1,6) &amp; "'!" &amp; ADDRESS(ROW(AL138),MATCH(INDIRECT(ADDRESS(2,COLUMN(AL138)+IF(OFFSET(AL138,ROW(AL$2)-ROW(AL138),2)="T",1,IF(OFFSET(AL138,ROW(AL$2)-ROW(AL138),1)="T",0,-1))),TRUE),INDIRECT("'"&amp; MID(OFFSET(AL138,ROW(AL$3)-ROW(AL138),IF(OFFSET(AL138,ROW(AL$2)-ROW(AL138),2)="T",0,IF(OFFSET(AL138,ROW(AL$2)-ROW(AL138),1)="T",-1,-2))),1,6) &amp; "'!2:2",TRUE),0)-IF(OFFSET(AL138,ROW(AL$2)-ROW(AL138),2)="T",1,IF(OFFSET(AL138,ROW(AL$2)-ROW(AL138),1)="T",0,-1))),TRUE)</f>
        <v>0</v>
      </c>
      <c r="AM138" s="362">
        <f ca="1">INDIRECT("'"&amp; MID(OFFSET(AM138,ROW(AM$3)-ROW(AM138),IF(OFFSET(AM138,ROW(AM$2)-ROW(AM138),2)="T",0,IF(OFFSET(AM138,ROW(AM$2)-ROW(AM138),1)="T",-1,-2))),1,6) &amp; "'!" &amp; ADDRESS(ROW(AM138),MATCH(INDIRECT(ADDRESS(2,COLUMN(AM138)+IF(OFFSET(AM138,ROW(AM$2)-ROW(AM138),2)="T",1,IF(OFFSET(AM138,ROW(AM$2)-ROW(AM138),1)="T",0,-1))),TRUE),INDIRECT("'"&amp; MID(OFFSET(AM138,ROW(AM$3)-ROW(AM138),IF(OFFSET(AM138,ROW(AM$2)-ROW(AM138),2)="T",0,IF(OFFSET(AM138,ROW(AM$2)-ROW(AM138),1)="T",-1,-2))),1,6) &amp; "'!2:2",TRUE),0)-IF(OFFSET(AM138,ROW(AM$2)-ROW(AM138),2)="T",1,IF(OFFSET(AM138,ROW(AM$2)-ROW(AM138),1)="T",0,-1))),TRUE)</f>
        <v>0</v>
      </c>
      <c r="AN138" s="363">
        <f t="shared" ca="1" si="205"/>
        <v>0</v>
      </c>
      <c r="AO138" s="360">
        <f t="shared" ca="1" si="193"/>
        <v>0</v>
      </c>
      <c r="AP138" s="361">
        <f ca="1">INDIRECT("'"&amp; MID(OFFSET(AP138,ROW(AP$3)-ROW(AP138),IF(OFFSET(AP138,ROW(AP$2)-ROW(AP138),2)="T",0,IF(OFFSET(AP138,ROW(AP$2)-ROW(AP138),1)="T",-1,-2))),1,6) &amp; "'!" &amp; ADDRESS(ROW(AP138),MATCH(INDIRECT(ADDRESS(2,COLUMN(AP138)+IF(OFFSET(AP138,ROW(AP$2)-ROW(AP138),2)="T",1,IF(OFFSET(AP138,ROW(AP$2)-ROW(AP138),1)="T",0,-1))),TRUE),INDIRECT("'"&amp; MID(OFFSET(AP138,ROW(AP$3)-ROW(AP138),IF(OFFSET(AP138,ROW(AP$2)-ROW(AP138),2)="T",0,IF(OFFSET(AP138,ROW(AP$2)-ROW(AP138),1)="T",-1,-2))),1,6) &amp; "'!2:2",TRUE),0)-IF(OFFSET(AP138,ROW(AP$2)-ROW(AP138),2)="T",1,IF(OFFSET(AP138,ROW(AP$2)-ROW(AP138),1)="T",0,-1))),TRUE)</f>
        <v>0</v>
      </c>
      <c r="AQ138" s="362">
        <f ca="1">INDIRECT("'"&amp; MID(OFFSET(AQ138,ROW(AQ$3)-ROW(AQ138),IF(OFFSET(AQ138,ROW(AQ$2)-ROW(AQ138),2)="T",0,IF(OFFSET(AQ138,ROW(AQ$2)-ROW(AQ138),1)="T",-1,-2))),1,6) &amp; "'!" &amp; ADDRESS(ROW(AQ138),MATCH(INDIRECT(ADDRESS(2,COLUMN(AQ138)+IF(OFFSET(AQ138,ROW(AQ$2)-ROW(AQ138),2)="T",1,IF(OFFSET(AQ138,ROW(AQ$2)-ROW(AQ138),1)="T",0,-1))),TRUE),INDIRECT("'"&amp; MID(OFFSET(AQ138,ROW(AQ$3)-ROW(AQ138),IF(OFFSET(AQ138,ROW(AQ$2)-ROW(AQ138),2)="T",0,IF(OFFSET(AQ138,ROW(AQ$2)-ROW(AQ138),1)="T",-1,-2))),1,6) &amp; "'!2:2",TRUE),0)-IF(OFFSET(AQ138,ROW(AQ$2)-ROW(AQ138),2)="T",1,IF(OFFSET(AQ138,ROW(AQ$2)-ROW(AQ138),1)="T",0,-1))),TRUE)</f>
        <v>0</v>
      </c>
      <c r="AR138" s="363">
        <f t="shared" ca="1" si="206"/>
        <v>0</v>
      </c>
      <c r="AS138" s="360">
        <f t="shared" ca="1" si="194"/>
        <v>0</v>
      </c>
      <c r="AT138" s="361">
        <f ca="1">INDIRECT("'"&amp; MID(OFFSET(AT138,ROW(AT$3)-ROW(AT138),IF(OFFSET(AT138,ROW(AT$2)-ROW(AT138),2)="T",0,IF(OFFSET(AT138,ROW(AT$2)-ROW(AT138),1)="T",-1,-2))),1,6) &amp; "'!" &amp; ADDRESS(ROW(AT138),MATCH(INDIRECT(ADDRESS(2,COLUMN(AT138)+IF(OFFSET(AT138,ROW(AT$2)-ROW(AT138),2)="T",1,IF(OFFSET(AT138,ROW(AT$2)-ROW(AT138),1)="T",0,-1))),TRUE),INDIRECT("'"&amp; MID(OFFSET(AT138,ROW(AT$3)-ROW(AT138),IF(OFFSET(AT138,ROW(AT$2)-ROW(AT138),2)="T",0,IF(OFFSET(AT138,ROW(AT$2)-ROW(AT138),1)="T",-1,-2))),1,6) &amp; "'!2:2",TRUE),0)-IF(OFFSET(AT138,ROW(AT$2)-ROW(AT138),2)="T",1,IF(OFFSET(AT138,ROW(AT$2)-ROW(AT138),1)="T",0,-1))),TRUE)</f>
        <v>0</v>
      </c>
      <c r="AU138" s="362">
        <f ca="1">INDIRECT("'"&amp; MID(OFFSET(AU138,ROW(AU$3)-ROW(AU138),IF(OFFSET(AU138,ROW(AU$2)-ROW(AU138),2)="T",0,IF(OFFSET(AU138,ROW(AU$2)-ROW(AU138),1)="T",-1,-2))),1,6) &amp; "'!" &amp; ADDRESS(ROW(AU138),MATCH(INDIRECT(ADDRESS(2,COLUMN(AU138)+IF(OFFSET(AU138,ROW(AU$2)-ROW(AU138),2)="T",1,IF(OFFSET(AU138,ROW(AU$2)-ROW(AU138),1)="T",0,-1))),TRUE),INDIRECT("'"&amp; MID(OFFSET(AU138,ROW(AU$3)-ROW(AU138),IF(OFFSET(AU138,ROW(AU$2)-ROW(AU138),2)="T",0,IF(OFFSET(AU138,ROW(AU$2)-ROW(AU138),1)="T",-1,-2))),1,6) &amp; "'!2:2",TRUE),0)-IF(OFFSET(AU138,ROW(AU$2)-ROW(AU138),2)="T",1,IF(OFFSET(AU138,ROW(AU$2)-ROW(AU138),1)="T",0,-1))),TRUE)</f>
        <v>0</v>
      </c>
      <c r="AV138" s="363">
        <f t="shared" ca="1" si="207"/>
        <v>0</v>
      </c>
      <c r="AW138" s="360">
        <f t="shared" ca="1" si="195"/>
        <v>0</v>
      </c>
      <c r="AX138" s="361">
        <f ca="1">INDIRECT("'"&amp; MID(OFFSET(AX138,ROW(AX$3)-ROW(AX138),IF(OFFSET(AX138,ROW(AX$2)-ROW(AX138),2)="T",0,IF(OFFSET(AX138,ROW(AX$2)-ROW(AX138),1)="T",-1,-2))),1,6) &amp; "'!" &amp; ADDRESS(ROW(AX138),MATCH(INDIRECT(ADDRESS(2,COLUMN(AX138)+IF(OFFSET(AX138,ROW(AX$2)-ROW(AX138),2)="T",1,IF(OFFSET(AX138,ROW(AX$2)-ROW(AX138),1)="T",0,-1))),TRUE),INDIRECT("'"&amp; MID(OFFSET(AX138,ROW(AX$3)-ROW(AX138),IF(OFFSET(AX138,ROW(AX$2)-ROW(AX138),2)="T",0,IF(OFFSET(AX138,ROW(AX$2)-ROW(AX138),1)="T",-1,-2))),1,6) &amp; "'!2:2",TRUE),0)-IF(OFFSET(AX138,ROW(AX$2)-ROW(AX138),2)="T",1,IF(OFFSET(AX138,ROW(AX$2)-ROW(AX138),1)="T",0,-1))),TRUE)</f>
        <v>0</v>
      </c>
      <c r="AY138" s="362">
        <f ca="1">INDIRECT("'"&amp; MID(OFFSET(AY138,ROW(AY$3)-ROW(AY138),IF(OFFSET(AY138,ROW(AY$2)-ROW(AY138),2)="T",0,IF(OFFSET(AY138,ROW(AY$2)-ROW(AY138),1)="T",-1,-2))),1,6) &amp; "'!" &amp; ADDRESS(ROW(AY138),MATCH(INDIRECT(ADDRESS(2,COLUMN(AY138)+IF(OFFSET(AY138,ROW(AY$2)-ROW(AY138),2)="T",1,IF(OFFSET(AY138,ROW(AY$2)-ROW(AY138),1)="T",0,-1))),TRUE),INDIRECT("'"&amp; MID(OFFSET(AY138,ROW(AY$3)-ROW(AY138),IF(OFFSET(AY138,ROW(AY$2)-ROW(AY138),2)="T",0,IF(OFFSET(AY138,ROW(AY$2)-ROW(AY138),1)="T",-1,-2))),1,6) &amp; "'!2:2",TRUE),0)-IF(OFFSET(AY138,ROW(AY$2)-ROW(AY138),2)="T",1,IF(OFFSET(AY138,ROW(AY$2)-ROW(AY138),1)="T",0,-1))),TRUE)</f>
        <v>0</v>
      </c>
      <c r="AZ138" s="363">
        <f t="shared" ca="1" si="208"/>
        <v>0</v>
      </c>
      <c r="BA138" s="360">
        <f t="shared" ca="1" si="196"/>
        <v>0</v>
      </c>
      <c r="BB138" s="361">
        <f ca="1">INDIRECT("'"&amp; MID(OFFSET(BB138,ROW(BB$3)-ROW(BB138),IF(OFFSET(BB138,ROW(BB$2)-ROW(BB138),2)="T",0,IF(OFFSET(BB138,ROW(BB$2)-ROW(BB138),1)="T",-1,-2))),1,6) &amp; "'!" &amp; ADDRESS(ROW(BB138),MATCH(INDIRECT(ADDRESS(2,COLUMN(BB138)+IF(OFFSET(BB138,ROW(BB$2)-ROW(BB138),2)="T",1,IF(OFFSET(BB138,ROW(BB$2)-ROW(BB138),1)="T",0,-1))),TRUE),INDIRECT("'"&amp; MID(OFFSET(BB138,ROW(BB$3)-ROW(BB138),IF(OFFSET(BB138,ROW(BB$2)-ROW(BB138),2)="T",0,IF(OFFSET(BB138,ROW(BB$2)-ROW(BB138),1)="T",-1,-2))),1,6) &amp; "'!2:2",TRUE),0)-IF(OFFSET(BB138,ROW(BB$2)-ROW(BB138),2)="T",1,IF(OFFSET(BB138,ROW(BB$2)-ROW(BB138),1)="T",0,-1))),TRUE)</f>
        <v>0</v>
      </c>
      <c r="BC138" s="362">
        <f ca="1">INDIRECT("'"&amp; MID(OFFSET(BC138,ROW(BC$3)-ROW(BC138),IF(OFFSET(BC138,ROW(BC$2)-ROW(BC138),2)="T",0,IF(OFFSET(BC138,ROW(BC$2)-ROW(BC138),1)="T",-1,-2))),1,6) &amp; "'!" &amp; ADDRESS(ROW(BC138),MATCH(INDIRECT(ADDRESS(2,COLUMN(BC138)+IF(OFFSET(BC138,ROW(BC$2)-ROW(BC138),2)="T",1,IF(OFFSET(BC138,ROW(BC$2)-ROW(BC138),1)="T",0,-1))),TRUE),INDIRECT("'"&amp; MID(OFFSET(BC138,ROW(BC$3)-ROW(BC138),IF(OFFSET(BC138,ROW(BC$2)-ROW(BC138),2)="T",0,IF(OFFSET(BC138,ROW(BC$2)-ROW(BC138),1)="T",-1,-2))),1,6) &amp; "'!2:2",TRUE),0)-IF(OFFSET(BC138,ROW(BC$2)-ROW(BC138),2)="T",1,IF(OFFSET(BC138,ROW(BC$2)-ROW(BC138),1)="T",0,-1))),TRUE)</f>
        <v>0</v>
      </c>
      <c r="BD138" s="363">
        <f t="shared" ca="1" si="209"/>
        <v>0</v>
      </c>
      <c r="BE138" s="360">
        <f t="shared" ca="1" si="197"/>
        <v>0</v>
      </c>
      <c r="BF138" s="361">
        <f ca="1">INDIRECT("'"&amp; MID(OFFSET(BF138,ROW(BF$3)-ROW(BF138),IF(OFFSET(BF138,ROW(BF$2)-ROW(BF138),2)="T",0,IF(OFFSET(BF138,ROW(BF$2)-ROW(BF138),1)="T",-1,-2))),1,6) &amp; "'!" &amp; ADDRESS(ROW(BF138),MATCH(INDIRECT(ADDRESS(2,COLUMN(BF138)+IF(OFFSET(BF138,ROW(BF$2)-ROW(BF138),2)="T",1,IF(OFFSET(BF138,ROW(BF$2)-ROW(BF138),1)="T",0,-1))),TRUE),INDIRECT("'"&amp; MID(OFFSET(BF138,ROW(BF$3)-ROW(BF138),IF(OFFSET(BF138,ROW(BF$2)-ROW(BF138),2)="T",0,IF(OFFSET(BF138,ROW(BF$2)-ROW(BF138),1)="T",-1,-2))),1,6) &amp; "'!2:2",TRUE),0)-IF(OFFSET(BF138,ROW(BF$2)-ROW(BF138),2)="T",1,IF(OFFSET(BF138,ROW(BF$2)-ROW(BF138),1)="T",0,-1))),TRUE)</f>
        <v>0</v>
      </c>
      <c r="BG138" s="362">
        <f ca="1">INDIRECT("'"&amp; MID(OFFSET(BG138,ROW(BG$3)-ROW(BG138),IF(OFFSET(BG138,ROW(BG$2)-ROW(BG138),2)="T",0,IF(OFFSET(BG138,ROW(BG$2)-ROW(BG138),1)="T",-1,-2))),1,6) &amp; "'!" &amp; ADDRESS(ROW(BG138),MATCH(INDIRECT(ADDRESS(2,COLUMN(BG138)+IF(OFFSET(BG138,ROW(BG$2)-ROW(BG138),2)="T",1,IF(OFFSET(BG138,ROW(BG$2)-ROW(BG138),1)="T",0,-1))),TRUE),INDIRECT("'"&amp; MID(OFFSET(BG138,ROW(BG$3)-ROW(BG138),IF(OFFSET(BG138,ROW(BG$2)-ROW(BG138),2)="T",0,IF(OFFSET(BG138,ROW(BG$2)-ROW(BG138),1)="T",-1,-2))),1,6) &amp; "'!2:2",TRUE),0)-IF(OFFSET(BG138,ROW(BG$2)-ROW(BG138),2)="T",1,IF(OFFSET(BG138,ROW(BG$2)-ROW(BG138),1)="T",0,-1))),TRUE)</f>
        <v>0</v>
      </c>
      <c r="BH138" s="363">
        <f t="shared" ca="1" si="210"/>
        <v>0</v>
      </c>
      <c r="BI138" s="360">
        <f t="shared" ca="1" si="198"/>
        <v>0</v>
      </c>
      <c r="BJ138" s="361">
        <f ca="1">INDIRECT("'"&amp; MID(OFFSET(BJ138,ROW(BJ$3)-ROW(BJ138),IF(OFFSET(BJ138,ROW(BJ$2)-ROW(BJ138),2)="T",0,IF(OFFSET(BJ138,ROW(BJ$2)-ROW(BJ138),1)="T",-1,-2))),1,6) &amp; "'!" &amp; ADDRESS(ROW(BJ138),MATCH(INDIRECT(ADDRESS(2,COLUMN(BJ138)+IF(OFFSET(BJ138,ROW(BJ$2)-ROW(BJ138),2)="T",1,IF(OFFSET(BJ138,ROW(BJ$2)-ROW(BJ138),1)="T",0,-1))),TRUE),INDIRECT("'"&amp; MID(OFFSET(BJ138,ROW(BJ$3)-ROW(BJ138),IF(OFFSET(BJ138,ROW(BJ$2)-ROW(BJ138),2)="T",0,IF(OFFSET(BJ138,ROW(BJ$2)-ROW(BJ138),1)="T",-1,-2))),1,6) &amp; "'!2:2",TRUE),0)-IF(OFFSET(BJ138,ROW(BJ$2)-ROW(BJ138),2)="T",1,IF(OFFSET(BJ138,ROW(BJ$2)-ROW(BJ138),1)="T",0,-1))),TRUE)</f>
        <v>0</v>
      </c>
      <c r="BK138" s="362">
        <f ca="1">INDIRECT("'"&amp; MID(OFFSET(BK138,ROW(BK$3)-ROW(BK138),IF(OFFSET(BK138,ROW(BK$2)-ROW(BK138),2)="T",0,IF(OFFSET(BK138,ROW(BK$2)-ROW(BK138),1)="T",-1,-2))),1,6) &amp; "'!" &amp; ADDRESS(ROW(BK138),MATCH(INDIRECT(ADDRESS(2,COLUMN(BK138)+IF(OFFSET(BK138,ROW(BK$2)-ROW(BK138),2)="T",1,IF(OFFSET(BK138,ROW(BK$2)-ROW(BK138),1)="T",0,-1))),TRUE),INDIRECT("'"&amp; MID(OFFSET(BK138,ROW(BK$3)-ROW(BK138),IF(OFFSET(BK138,ROW(BK$2)-ROW(BK138),2)="T",0,IF(OFFSET(BK138,ROW(BK$2)-ROW(BK138),1)="T",-1,-2))),1,6) &amp; "'!2:2",TRUE),0)-IF(OFFSET(BK138,ROW(BK$2)-ROW(BK138),2)="T",1,IF(OFFSET(BK138,ROW(BK$2)-ROW(BK138),1)="T",0,-1))),TRUE)</f>
        <v>0</v>
      </c>
      <c r="BL138" s="363">
        <f t="shared" ca="1" si="211"/>
        <v>0</v>
      </c>
      <c r="BM138" s="360">
        <f t="shared" ca="1" si="199"/>
        <v>0</v>
      </c>
      <c r="BN138" s="360">
        <f t="shared" ca="1" si="199"/>
        <v>0</v>
      </c>
    </row>
    <row r="139" spans="1:66">
      <c r="A139" s="221" t="str">
        <f t="shared" ca="1" si="186"/>
        <v>WP004</v>
      </c>
      <c r="B139" s="221" t="str">
        <f t="shared" ca="1" si="187"/>
        <v>WP004</v>
      </c>
      <c r="C139" s="221">
        <v>2</v>
      </c>
      <c r="D139" s="221" t="s">
        <v>129</v>
      </c>
      <c r="F139" s="221" t="s">
        <v>130</v>
      </c>
      <c r="G139" s="221" t="s">
        <v>74</v>
      </c>
      <c r="M139" s="221" t="s">
        <v>46</v>
      </c>
      <c r="N139" s="461"/>
      <c r="O139" s="450" t="s">
        <v>131</v>
      </c>
      <c r="P139" s="451"/>
      <c r="Q139" s="451"/>
      <c r="R139" s="366"/>
      <c r="S139" s="367"/>
      <c r="T139" s="368">
        <f t="shared" ca="1" si="200"/>
        <v>0</v>
      </c>
      <c r="U139" s="369">
        <f t="shared" ca="1" si="188"/>
        <v>0</v>
      </c>
      <c r="V139" s="366"/>
      <c r="W139" s="367"/>
      <c r="X139" s="368">
        <f t="shared" ca="1" si="201"/>
        <v>0</v>
      </c>
      <c r="Y139" s="369">
        <f t="shared" ca="1" si="189"/>
        <v>0</v>
      </c>
      <c r="Z139" s="366"/>
      <c r="AA139" s="367"/>
      <c r="AB139" s="368">
        <f t="shared" ca="1" si="202"/>
        <v>0</v>
      </c>
      <c r="AC139" s="369">
        <f t="shared" ca="1" si="190"/>
        <v>0</v>
      </c>
      <c r="AD139" s="366"/>
      <c r="AE139" s="367"/>
      <c r="AF139" s="368">
        <f t="shared" ca="1" si="203"/>
        <v>0</v>
      </c>
      <c r="AG139" s="369">
        <f t="shared" ca="1" si="191"/>
        <v>0</v>
      </c>
      <c r="AH139" s="366"/>
      <c r="AI139" s="367"/>
      <c r="AJ139" s="368">
        <f t="shared" ca="1" si="204"/>
        <v>0</v>
      </c>
      <c r="AK139" s="369">
        <f t="shared" ca="1" si="192"/>
        <v>0</v>
      </c>
      <c r="AL139" s="366"/>
      <c r="AM139" s="367"/>
      <c r="AN139" s="368">
        <f t="shared" ca="1" si="205"/>
        <v>0</v>
      </c>
      <c r="AO139" s="369">
        <f t="shared" ca="1" si="193"/>
        <v>0</v>
      </c>
      <c r="AP139" s="366"/>
      <c r="AQ139" s="367"/>
      <c r="AR139" s="368">
        <f t="shared" ca="1" si="206"/>
        <v>0</v>
      </c>
      <c r="AS139" s="369">
        <f t="shared" ca="1" si="194"/>
        <v>0</v>
      </c>
      <c r="AT139" s="366"/>
      <c r="AU139" s="367"/>
      <c r="AV139" s="368">
        <f t="shared" ca="1" si="207"/>
        <v>0</v>
      </c>
      <c r="AW139" s="369">
        <f t="shared" ca="1" si="195"/>
        <v>0</v>
      </c>
      <c r="AX139" s="366"/>
      <c r="AY139" s="367"/>
      <c r="AZ139" s="368">
        <f t="shared" ca="1" si="208"/>
        <v>0</v>
      </c>
      <c r="BA139" s="369">
        <f t="shared" ca="1" si="196"/>
        <v>0</v>
      </c>
      <c r="BB139" s="366"/>
      <c r="BC139" s="367"/>
      <c r="BD139" s="368">
        <f t="shared" ca="1" si="209"/>
        <v>0</v>
      </c>
      <c r="BE139" s="369">
        <f t="shared" ca="1" si="197"/>
        <v>0</v>
      </c>
      <c r="BF139" s="366"/>
      <c r="BG139" s="367"/>
      <c r="BH139" s="368">
        <f t="shared" ca="1" si="210"/>
        <v>0</v>
      </c>
      <c r="BI139" s="369">
        <f t="shared" ca="1" si="198"/>
        <v>0</v>
      </c>
      <c r="BJ139" s="366"/>
      <c r="BK139" s="367"/>
      <c r="BL139" s="368">
        <f t="shared" ca="1" si="211"/>
        <v>0</v>
      </c>
      <c r="BM139" s="369">
        <f t="shared" ca="1" si="199"/>
        <v>0</v>
      </c>
      <c r="BN139" s="369">
        <f t="shared" ca="1" si="199"/>
        <v>0</v>
      </c>
    </row>
    <row r="140" spans="1:66">
      <c r="A140" s="221" t="str">
        <f t="shared" ca="1" si="186"/>
        <v>WP004</v>
      </c>
      <c r="B140" s="221" t="str">
        <f t="shared" ca="1" si="187"/>
        <v>WP004</v>
      </c>
      <c r="C140" s="221">
        <v>1</v>
      </c>
      <c r="N140" s="461"/>
      <c r="O140" s="258"/>
      <c r="P140" s="249"/>
      <c r="Q140" s="249"/>
      <c r="R140" s="361"/>
      <c r="S140" s="362"/>
      <c r="T140" s="363"/>
      <c r="U140" s="360"/>
      <c r="V140" s="361"/>
      <c r="W140" s="362"/>
      <c r="X140" s="363"/>
      <c r="Y140" s="360"/>
      <c r="Z140" s="361"/>
      <c r="AA140" s="362"/>
      <c r="AB140" s="363"/>
      <c r="AC140" s="360"/>
      <c r="AD140" s="361"/>
      <c r="AE140" s="362"/>
      <c r="AF140" s="363"/>
      <c r="AG140" s="360"/>
      <c r="AH140" s="361"/>
      <c r="AI140" s="362"/>
      <c r="AJ140" s="363"/>
      <c r="AK140" s="360"/>
      <c r="AL140" s="361"/>
      <c r="AM140" s="362"/>
      <c r="AN140" s="363"/>
      <c r="AO140" s="360"/>
      <c r="AP140" s="361"/>
      <c r="AQ140" s="362"/>
      <c r="AR140" s="363"/>
      <c r="AS140" s="360"/>
      <c r="AT140" s="361"/>
      <c r="AU140" s="362"/>
      <c r="AV140" s="363"/>
      <c r="AW140" s="360"/>
      <c r="AX140" s="361"/>
      <c r="AY140" s="362"/>
      <c r="AZ140" s="363"/>
      <c r="BA140" s="360"/>
      <c r="BB140" s="361"/>
      <c r="BC140" s="362"/>
      <c r="BD140" s="363"/>
      <c r="BE140" s="360"/>
      <c r="BF140" s="361"/>
      <c r="BG140" s="362"/>
      <c r="BH140" s="363"/>
      <c r="BI140" s="360"/>
      <c r="BJ140" s="361"/>
      <c r="BK140" s="362"/>
      <c r="BL140" s="363"/>
      <c r="BM140" s="360"/>
      <c r="BN140" s="360"/>
    </row>
    <row r="141" spans="1:66">
      <c r="A141" s="221" t="str">
        <f t="shared" ca="1" si="186"/>
        <v>WP004</v>
      </c>
      <c r="B141" s="221" t="str">
        <f t="shared" ca="1" si="187"/>
        <v>WP004</v>
      </c>
      <c r="C141" s="221">
        <v>2</v>
      </c>
      <c r="D141" s="221" t="s">
        <v>132</v>
      </c>
      <c r="F141" s="221" t="s">
        <v>130</v>
      </c>
      <c r="M141" s="221" t="s">
        <v>133</v>
      </c>
      <c r="N141" s="461"/>
      <c r="O141" s="452" t="s">
        <v>134</v>
      </c>
      <c r="P141" s="453"/>
      <c r="Q141" s="453"/>
      <c r="R141" s="370"/>
      <c r="S141" s="371"/>
      <c r="T141" s="372">
        <f ca="1">IF(OFFSET(T141,ROW(T$2)-ROW(T141),0)="TT","TT",IF(OFFSET(T141,0,COLUMN($M141)-COLUMN(T141))="%",ROUND((OFFSET(T141,-2,0)-OFFSET(T141,-19,0))*0.07,2),IF(OFFSET(T141,0,COLUMN($M141)-COLUMN(T141))="V",ROUND(OFFSET(T141,0,-2)*OFFSET(T141,0,-1),2),SUMIF(INDIRECT(ADDRESS(MATCH("START"&amp;OFFSET(T141,0,COLUMN($B141)-COLUMN(T141)),$A:$A,0),$C141+COLUMN($E141)+1)&amp;":"&amp;ADDRESS(MATCH("END"&amp;OFFSET(T141,0,COLUMN($B141)-COLUMN(T141)),$A:$A,0),$C141+COLUMN($E141)+1),TRUE),INDIRECT(ADDRESS(ROW(T141),$C141+COLUMN($E141)),TRUE),INDIRECT(ADDRESS(MATCH("START"&amp;OFFSET(T141,0,COLUMN($B141)-COLUMN(T141)),$A:$A,0),COLUMN(T141))&amp;":"&amp;ADDRESS(MATCH("END"&amp;OFFSET(T141,0,COLUMN($B141)-COLUMN(T141)),$A:$A,0),COLUMN(T141)),TRUE)))))</f>
        <v>0</v>
      </c>
      <c r="U141" s="356">
        <f ca="1">IF(OFFSET(U141,ROW(U$2)-ROW(U141),0)="TT",SUMIF(INDIRECT(ADDRESS(2,COLUMN($Q141)+1) &amp; ":" &amp; ADDRESS(2,COLUMN(U141)-1),TRUE),"TBE",INDIRECT(ADDRESS(ROW(U141), COLUMN($Q141)+1) &amp; ":" &amp; ADDRESS(ROW(U141),COLUMN(U141)-1),TRUE)),IF(OFFSET(U141,ROW(U$2)-ROW(U141),0)="TBE",SUMIF(INDIRECT(ADDRESS(2,MATCH(INT(OFFSET(U141,ROW(U$2)-ROW(U141),-2)),$2:$2,0)) &amp; ":" &amp; ADDRESS(2,COLUMN(U141)-1),TRUE),"T",INDIRECT(ADDRESS(ROW(U141), MATCH(INT(OFFSET(U141,ROW(U$2)-ROW(U141),-2)),$2:$2,0)) &amp; ":" &amp; ADDRESS(ROW(U141),COLUMN(U141)-1),TRUE)),IF(OFFSET(U141,0,COLUMN($M141)-COLUMN(U141))="V",OFFSET(U141,0,-2)*OFFSET(U141,0,-1),"TOTAL")))</f>
        <v>0</v>
      </c>
      <c r="V141" s="370"/>
      <c r="W141" s="371"/>
      <c r="X141" s="372">
        <f ca="1">IF(OFFSET(X141,ROW(X$2)-ROW(X141),0)="TT","TT",IF(OFFSET(X141,0,COLUMN($M141)-COLUMN(X141))="%",ROUND((OFFSET(X141,-2,0)-OFFSET(X141,-19,0))*0.07,2),IF(OFFSET(X141,0,COLUMN($M141)-COLUMN(X141))="V",ROUND(OFFSET(X141,0,-2)*OFFSET(X141,0,-1),2),SUMIF(INDIRECT(ADDRESS(MATCH("START"&amp;OFFSET(X141,0,COLUMN($B141)-COLUMN(X141)),$A:$A,0),$C141+COLUMN($E141)+1)&amp;":"&amp;ADDRESS(MATCH("END"&amp;OFFSET(X141,0,COLUMN($B141)-COLUMN(X141)),$A:$A,0),$C141+COLUMN($E141)+1),TRUE),INDIRECT(ADDRESS(ROW(X141),$C141+COLUMN($E141)),TRUE),INDIRECT(ADDRESS(MATCH("START"&amp;OFFSET(X141,0,COLUMN($B141)-COLUMN(X141)),$A:$A,0),COLUMN(X141))&amp;":"&amp;ADDRESS(MATCH("END"&amp;OFFSET(X141,0,COLUMN($B141)-COLUMN(X141)),$A:$A,0),COLUMN(X141)),TRUE)))))</f>
        <v>0</v>
      </c>
      <c r="Y141" s="356">
        <f ca="1">IF(OFFSET(Y141,ROW(Y$2)-ROW(Y141),0)="TT",SUMIF(INDIRECT(ADDRESS(2,COLUMN($Q141)+1) &amp; ":" &amp; ADDRESS(2,COLUMN(Y141)-1),TRUE),"TBE",INDIRECT(ADDRESS(ROW(Y141), COLUMN($Q141)+1) &amp; ":" &amp; ADDRESS(ROW(Y141),COLUMN(Y141)-1),TRUE)),IF(OFFSET(Y141,ROW(Y$2)-ROW(Y141),0)="TBE",SUMIF(INDIRECT(ADDRESS(2,MATCH(INT(OFFSET(Y141,ROW(Y$2)-ROW(Y141),-2)),$2:$2,0)) &amp; ":" &amp; ADDRESS(2,COLUMN(Y141)-1),TRUE),"T",INDIRECT(ADDRESS(ROW(Y141), MATCH(INT(OFFSET(Y141,ROW(Y$2)-ROW(Y141),-2)),$2:$2,0)) &amp; ":" &amp; ADDRESS(ROW(Y141),COLUMN(Y141)-1),TRUE)),IF(OFFSET(Y141,0,COLUMN($M141)-COLUMN(Y141))="V",OFFSET(Y141,0,-2)*OFFSET(Y141,0,-1),"TOTAL")))</f>
        <v>0</v>
      </c>
      <c r="Z141" s="370"/>
      <c r="AA141" s="371"/>
      <c r="AB141" s="372">
        <f ca="1">IF(OFFSET(AB141,ROW(AB$2)-ROW(AB141),0)="TT","TT",IF(OFFSET(AB141,0,COLUMN($M141)-COLUMN(AB141))="%",ROUND((OFFSET(AB141,-2,0)-OFFSET(AB141,-19,0))*0.07,2),IF(OFFSET(AB141,0,COLUMN($M141)-COLUMN(AB141))="V",ROUND(OFFSET(AB141,0,-2)*OFFSET(AB141,0,-1),2),SUMIF(INDIRECT(ADDRESS(MATCH("START"&amp;OFFSET(AB141,0,COLUMN($B141)-COLUMN(AB141)),$A:$A,0),$C141+COLUMN($E141)+1)&amp;":"&amp;ADDRESS(MATCH("END"&amp;OFFSET(AB141,0,COLUMN($B141)-COLUMN(AB141)),$A:$A,0),$C141+COLUMN($E141)+1),TRUE),INDIRECT(ADDRESS(ROW(AB141),$C141+COLUMN($E141)),TRUE),INDIRECT(ADDRESS(MATCH("START"&amp;OFFSET(AB141,0,COLUMN($B141)-COLUMN(AB141)),$A:$A,0),COLUMN(AB141))&amp;":"&amp;ADDRESS(MATCH("END"&amp;OFFSET(AB141,0,COLUMN($B141)-COLUMN(AB141)),$A:$A,0),COLUMN(AB141)),TRUE)))))</f>
        <v>0</v>
      </c>
      <c r="AC141" s="356">
        <f ca="1">IF(OFFSET(AC141,ROW(AC$2)-ROW(AC141),0)="TT",SUMIF(INDIRECT(ADDRESS(2,COLUMN($Q141)+1) &amp; ":" &amp; ADDRESS(2,COLUMN(AC141)-1),TRUE),"TBE",INDIRECT(ADDRESS(ROW(AC141), COLUMN($Q141)+1) &amp; ":" &amp; ADDRESS(ROW(AC141),COLUMN(AC141)-1),TRUE)),IF(OFFSET(AC141,ROW(AC$2)-ROW(AC141),0)="TBE",SUMIF(INDIRECT(ADDRESS(2,MATCH(INT(OFFSET(AC141,ROW(AC$2)-ROW(AC141),-2)),$2:$2,0)) &amp; ":" &amp; ADDRESS(2,COLUMN(AC141)-1),TRUE),"T",INDIRECT(ADDRESS(ROW(AC141), MATCH(INT(OFFSET(AC141,ROW(AC$2)-ROW(AC141),-2)),$2:$2,0)) &amp; ":" &amp; ADDRESS(ROW(AC141),COLUMN(AC141)-1),TRUE)),IF(OFFSET(AC141,0,COLUMN($M141)-COLUMN(AC141))="V",OFFSET(AC141,0,-2)*OFFSET(AC141,0,-1),"TOTAL")))</f>
        <v>0</v>
      </c>
      <c r="AD141" s="370"/>
      <c r="AE141" s="371"/>
      <c r="AF141" s="372">
        <f ca="1">IF(OFFSET(AF141,ROW(AF$2)-ROW(AF141),0)="TT","TT",IF(OFFSET(AF141,0,COLUMN($M141)-COLUMN(AF141))="%",ROUND((OFFSET(AF141,-2,0)-OFFSET(AF141,-19,0))*0.07,2),IF(OFFSET(AF141,0,COLUMN($M141)-COLUMN(AF141))="V",ROUND(OFFSET(AF141,0,-2)*OFFSET(AF141,0,-1),2),SUMIF(INDIRECT(ADDRESS(MATCH("START"&amp;OFFSET(AF141,0,COLUMN($B141)-COLUMN(AF141)),$A:$A,0),$C141+COLUMN($E141)+1)&amp;":"&amp;ADDRESS(MATCH("END"&amp;OFFSET(AF141,0,COLUMN($B141)-COLUMN(AF141)),$A:$A,0),$C141+COLUMN($E141)+1),TRUE),INDIRECT(ADDRESS(ROW(AF141),$C141+COLUMN($E141)),TRUE),INDIRECT(ADDRESS(MATCH("START"&amp;OFFSET(AF141,0,COLUMN($B141)-COLUMN(AF141)),$A:$A,0),COLUMN(AF141))&amp;":"&amp;ADDRESS(MATCH("END"&amp;OFFSET(AF141,0,COLUMN($B141)-COLUMN(AF141)),$A:$A,0),COLUMN(AF141)),TRUE)))))</f>
        <v>0</v>
      </c>
      <c r="AG141" s="356">
        <f ca="1">IF(OFFSET(AG141,ROW(AG$2)-ROW(AG141),0)="TT",SUMIF(INDIRECT(ADDRESS(2,COLUMN($Q141)+1) &amp; ":" &amp; ADDRESS(2,COLUMN(AG141)-1),TRUE),"TBE",INDIRECT(ADDRESS(ROW(AG141), COLUMN($Q141)+1) &amp; ":" &amp; ADDRESS(ROW(AG141),COLUMN(AG141)-1),TRUE)),IF(OFFSET(AG141,ROW(AG$2)-ROW(AG141),0)="TBE",SUMIF(INDIRECT(ADDRESS(2,MATCH(INT(OFFSET(AG141,ROW(AG$2)-ROW(AG141),-2)),$2:$2,0)) &amp; ":" &amp; ADDRESS(2,COLUMN(AG141)-1),TRUE),"T",INDIRECT(ADDRESS(ROW(AG141), MATCH(INT(OFFSET(AG141,ROW(AG$2)-ROW(AG141),-2)),$2:$2,0)) &amp; ":" &amp; ADDRESS(ROW(AG141),COLUMN(AG141)-1),TRUE)),IF(OFFSET(AG141,0,COLUMN($M141)-COLUMN(AG141))="V",OFFSET(AG141,0,-2)*OFFSET(AG141,0,-1),"TOTAL")))</f>
        <v>0</v>
      </c>
      <c r="AH141" s="370"/>
      <c r="AI141" s="371"/>
      <c r="AJ141" s="372">
        <f ca="1">IF(OFFSET(AJ141,ROW(AJ$2)-ROW(AJ141),0)="TT","TT",IF(OFFSET(AJ141,0,COLUMN($M141)-COLUMN(AJ141))="%",ROUND((OFFSET(AJ141,-2,0)-OFFSET(AJ141,-19,0))*0.07,2),IF(OFFSET(AJ141,0,COLUMN($M141)-COLUMN(AJ141))="V",ROUND(OFFSET(AJ141,0,-2)*OFFSET(AJ141,0,-1),2),SUMIF(INDIRECT(ADDRESS(MATCH("START"&amp;OFFSET(AJ141,0,COLUMN($B141)-COLUMN(AJ141)),$A:$A,0),$C141+COLUMN($E141)+1)&amp;":"&amp;ADDRESS(MATCH("END"&amp;OFFSET(AJ141,0,COLUMN($B141)-COLUMN(AJ141)),$A:$A,0),$C141+COLUMN($E141)+1),TRUE),INDIRECT(ADDRESS(ROW(AJ141),$C141+COLUMN($E141)),TRUE),INDIRECT(ADDRESS(MATCH("START"&amp;OFFSET(AJ141,0,COLUMN($B141)-COLUMN(AJ141)),$A:$A,0),COLUMN(AJ141))&amp;":"&amp;ADDRESS(MATCH("END"&amp;OFFSET(AJ141,0,COLUMN($B141)-COLUMN(AJ141)),$A:$A,0),COLUMN(AJ141)),TRUE)))))</f>
        <v>0</v>
      </c>
      <c r="AK141" s="356">
        <f ca="1">IF(OFFSET(AK141,ROW(AK$2)-ROW(AK141),0)="TT",SUMIF(INDIRECT(ADDRESS(2,COLUMN($Q141)+1) &amp; ":" &amp; ADDRESS(2,COLUMN(AK141)-1),TRUE),"TBE",INDIRECT(ADDRESS(ROW(AK141), COLUMN($Q141)+1) &amp; ":" &amp; ADDRESS(ROW(AK141),COLUMN(AK141)-1),TRUE)),IF(OFFSET(AK141,ROW(AK$2)-ROW(AK141),0)="TBE",SUMIF(INDIRECT(ADDRESS(2,MATCH(INT(OFFSET(AK141,ROW(AK$2)-ROW(AK141),-2)),$2:$2,0)) &amp; ":" &amp; ADDRESS(2,COLUMN(AK141)-1),TRUE),"T",INDIRECT(ADDRESS(ROW(AK141), MATCH(INT(OFFSET(AK141,ROW(AK$2)-ROW(AK141),-2)),$2:$2,0)) &amp; ":" &amp; ADDRESS(ROW(AK141),COLUMN(AK141)-1),TRUE)),IF(OFFSET(AK141,0,COLUMN($M141)-COLUMN(AK141))="V",OFFSET(AK141,0,-2)*OFFSET(AK141,0,-1),"TOTAL")))</f>
        <v>0</v>
      </c>
      <c r="AL141" s="370"/>
      <c r="AM141" s="371"/>
      <c r="AN141" s="372">
        <f ca="1">IF(OFFSET(AN141,ROW(AN$2)-ROW(AN141),0)="TT","TT",IF(OFFSET(AN141,0,COLUMN($M141)-COLUMN(AN141))="%",ROUND((OFFSET(AN141,-2,0)-OFFSET(AN141,-19,0))*0.07,2),IF(OFFSET(AN141,0,COLUMN($M141)-COLUMN(AN141))="V",ROUND(OFFSET(AN141,0,-2)*OFFSET(AN141,0,-1),2),SUMIF(INDIRECT(ADDRESS(MATCH("START"&amp;OFFSET(AN141,0,COLUMN($B141)-COLUMN(AN141)),$A:$A,0),$C141+COLUMN($E141)+1)&amp;":"&amp;ADDRESS(MATCH("END"&amp;OFFSET(AN141,0,COLUMN($B141)-COLUMN(AN141)),$A:$A,0),$C141+COLUMN($E141)+1),TRUE),INDIRECT(ADDRESS(ROW(AN141),$C141+COLUMN($E141)),TRUE),INDIRECT(ADDRESS(MATCH("START"&amp;OFFSET(AN141,0,COLUMN($B141)-COLUMN(AN141)),$A:$A,0),COLUMN(AN141))&amp;":"&amp;ADDRESS(MATCH("END"&amp;OFFSET(AN141,0,COLUMN($B141)-COLUMN(AN141)),$A:$A,0),COLUMN(AN141)),TRUE)))))</f>
        <v>0</v>
      </c>
      <c r="AO141" s="356">
        <f ca="1">IF(OFFSET(AO141,ROW(AO$2)-ROW(AO141),0)="TT",SUMIF(INDIRECT(ADDRESS(2,COLUMN($Q141)+1) &amp; ":" &amp; ADDRESS(2,COLUMN(AO141)-1),TRUE),"TBE",INDIRECT(ADDRESS(ROW(AO141), COLUMN($Q141)+1) &amp; ":" &amp; ADDRESS(ROW(AO141),COLUMN(AO141)-1),TRUE)),IF(OFFSET(AO141,ROW(AO$2)-ROW(AO141),0)="TBE",SUMIF(INDIRECT(ADDRESS(2,MATCH(INT(OFFSET(AO141,ROW(AO$2)-ROW(AO141),-2)),$2:$2,0)) &amp; ":" &amp; ADDRESS(2,COLUMN(AO141)-1),TRUE),"T",INDIRECT(ADDRESS(ROW(AO141), MATCH(INT(OFFSET(AO141,ROW(AO$2)-ROW(AO141),-2)),$2:$2,0)) &amp; ":" &amp; ADDRESS(ROW(AO141),COLUMN(AO141)-1),TRUE)),IF(OFFSET(AO141,0,COLUMN($M141)-COLUMN(AO141))="V",OFFSET(AO141,0,-2)*OFFSET(AO141,0,-1),"TOTAL")))</f>
        <v>0</v>
      </c>
      <c r="AP141" s="370"/>
      <c r="AQ141" s="371"/>
      <c r="AR141" s="372">
        <f ca="1">IF(OFFSET(AR141,ROW(AR$2)-ROW(AR141),0)="TT","TT",IF(OFFSET(AR141,0,COLUMN($M141)-COLUMN(AR141))="%",ROUND((OFFSET(AR141,-2,0)-OFFSET(AR141,-19,0))*0.07,2),IF(OFFSET(AR141,0,COLUMN($M141)-COLUMN(AR141))="V",ROUND(OFFSET(AR141,0,-2)*OFFSET(AR141,0,-1),2),SUMIF(INDIRECT(ADDRESS(MATCH("START"&amp;OFFSET(AR141,0,COLUMN($B141)-COLUMN(AR141)),$A:$A,0),$C141+COLUMN($E141)+1)&amp;":"&amp;ADDRESS(MATCH("END"&amp;OFFSET(AR141,0,COLUMN($B141)-COLUMN(AR141)),$A:$A,0),$C141+COLUMN($E141)+1),TRUE),INDIRECT(ADDRESS(ROW(AR141),$C141+COLUMN($E141)),TRUE),INDIRECT(ADDRESS(MATCH("START"&amp;OFFSET(AR141,0,COLUMN($B141)-COLUMN(AR141)),$A:$A,0),COLUMN(AR141))&amp;":"&amp;ADDRESS(MATCH("END"&amp;OFFSET(AR141,0,COLUMN($B141)-COLUMN(AR141)),$A:$A,0),COLUMN(AR141)),TRUE)))))</f>
        <v>0</v>
      </c>
      <c r="AS141" s="356">
        <f ca="1">IF(OFFSET(AS141,ROW(AS$2)-ROW(AS141),0)="TT",SUMIF(INDIRECT(ADDRESS(2,COLUMN($Q141)+1) &amp; ":" &amp; ADDRESS(2,COLUMN(AS141)-1),TRUE),"TBE",INDIRECT(ADDRESS(ROW(AS141), COLUMN($Q141)+1) &amp; ":" &amp; ADDRESS(ROW(AS141),COLUMN(AS141)-1),TRUE)),IF(OFFSET(AS141,ROW(AS$2)-ROW(AS141),0)="TBE",SUMIF(INDIRECT(ADDRESS(2,MATCH(INT(OFFSET(AS141,ROW(AS$2)-ROW(AS141),-2)),$2:$2,0)) &amp; ":" &amp; ADDRESS(2,COLUMN(AS141)-1),TRUE),"T",INDIRECT(ADDRESS(ROW(AS141), MATCH(INT(OFFSET(AS141,ROW(AS$2)-ROW(AS141),-2)),$2:$2,0)) &amp; ":" &amp; ADDRESS(ROW(AS141),COLUMN(AS141)-1),TRUE)),IF(OFFSET(AS141,0,COLUMN($M141)-COLUMN(AS141))="V",OFFSET(AS141,0,-2)*OFFSET(AS141,0,-1),"TOTAL")))</f>
        <v>0</v>
      </c>
      <c r="AT141" s="370"/>
      <c r="AU141" s="371"/>
      <c r="AV141" s="372">
        <f ca="1">IF(OFFSET(AV141,ROW(AV$2)-ROW(AV141),0)="TT","TT",IF(OFFSET(AV141,0,COLUMN($M141)-COLUMN(AV141))="%",ROUND((OFFSET(AV141,-2,0)-OFFSET(AV141,-19,0))*0.07,2),IF(OFFSET(AV141,0,COLUMN($M141)-COLUMN(AV141))="V",ROUND(OFFSET(AV141,0,-2)*OFFSET(AV141,0,-1),2),SUMIF(INDIRECT(ADDRESS(MATCH("START"&amp;OFFSET(AV141,0,COLUMN($B141)-COLUMN(AV141)),$A:$A,0),$C141+COLUMN($E141)+1)&amp;":"&amp;ADDRESS(MATCH("END"&amp;OFFSET(AV141,0,COLUMN($B141)-COLUMN(AV141)),$A:$A,0),$C141+COLUMN($E141)+1),TRUE),INDIRECT(ADDRESS(ROW(AV141),$C141+COLUMN($E141)),TRUE),INDIRECT(ADDRESS(MATCH("START"&amp;OFFSET(AV141,0,COLUMN($B141)-COLUMN(AV141)),$A:$A,0),COLUMN(AV141))&amp;":"&amp;ADDRESS(MATCH("END"&amp;OFFSET(AV141,0,COLUMN($B141)-COLUMN(AV141)),$A:$A,0),COLUMN(AV141)),TRUE)))))</f>
        <v>0</v>
      </c>
      <c r="AW141" s="356">
        <f ca="1">IF(OFFSET(AW141,ROW(AW$2)-ROW(AW141),0)="TT",SUMIF(INDIRECT(ADDRESS(2,COLUMN($Q141)+1) &amp; ":" &amp; ADDRESS(2,COLUMN(AW141)-1),TRUE),"TBE",INDIRECT(ADDRESS(ROW(AW141), COLUMN($Q141)+1) &amp; ":" &amp; ADDRESS(ROW(AW141),COLUMN(AW141)-1),TRUE)),IF(OFFSET(AW141,ROW(AW$2)-ROW(AW141),0)="TBE",SUMIF(INDIRECT(ADDRESS(2,MATCH(INT(OFFSET(AW141,ROW(AW$2)-ROW(AW141),-2)),$2:$2,0)) &amp; ":" &amp; ADDRESS(2,COLUMN(AW141)-1),TRUE),"T",INDIRECT(ADDRESS(ROW(AW141), MATCH(INT(OFFSET(AW141,ROW(AW$2)-ROW(AW141),-2)),$2:$2,0)) &amp; ":" &amp; ADDRESS(ROW(AW141),COLUMN(AW141)-1),TRUE)),IF(OFFSET(AW141,0,COLUMN($M141)-COLUMN(AW141))="V",OFFSET(AW141,0,-2)*OFFSET(AW141,0,-1),"TOTAL")))</f>
        <v>0</v>
      </c>
      <c r="AX141" s="370"/>
      <c r="AY141" s="371"/>
      <c r="AZ141" s="372">
        <f ca="1">IF(OFFSET(AZ141,ROW(AZ$2)-ROW(AZ141),0)="TT","TT",IF(OFFSET(AZ141,0,COLUMN($M141)-COLUMN(AZ141))="%",ROUND((OFFSET(AZ141,-2,0)-OFFSET(AZ141,-19,0))*0.07,2),IF(OFFSET(AZ141,0,COLUMN($M141)-COLUMN(AZ141))="V",ROUND(OFFSET(AZ141,0,-2)*OFFSET(AZ141,0,-1),2),SUMIF(INDIRECT(ADDRESS(MATCH("START"&amp;OFFSET(AZ141,0,COLUMN($B141)-COLUMN(AZ141)),$A:$A,0),$C141+COLUMN($E141)+1)&amp;":"&amp;ADDRESS(MATCH("END"&amp;OFFSET(AZ141,0,COLUMN($B141)-COLUMN(AZ141)),$A:$A,0),$C141+COLUMN($E141)+1),TRUE),INDIRECT(ADDRESS(ROW(AZ141),$C141+COLUMN($E141)),TRUE),INDIRECT(ADDRESS(MATCH("START"&amp;OFFSET(AZ141,0,COLUMN($B141)-COLUMN(AZ141)),$A:$A,0),COLUMN(AZ141))&amp;":"&amp;ADDRESS(MATCH("END"&amp;OFFSET(AZ141,0,COLUMN($B141)-COLUMN(AZ141)),$A:$A,0),COLUMN(AZ141)),TRUE)))))</f>
        <v>0</v>
      </c>
      <c r="BA141" s="356">
        <f ca="1">IF(OFFSET(BA141,ROW(BA$2)-ROW(BA141),0)="TT",SUMIF(INDIRECT(ADDRESS(2,COLUMN($Q141)+1) &amp; ":" &amp; ADDRESS(2,COLUMN(BA141)-1),TRUE),"TBE",INDIRECT(ADDRESS(ROW(BA141), COLUMN($Q141)+1) &amp; ":" &amp; ADDRESS(ROW(BA141),COLUMN(BA141)-1),TRUE)),IF(OFFSET(BA141,ROW(BA$2)-ROW(BA141),0)="TBE",SUMIF(INDIRECT(ADDRESS(2,MATCH(INT(OFFSET(BA141,ROW(BA$2)-ROW(BA141),-2)),$2:$2,0)) &amp; ":" &amp; ADDRESS(2,COLUMN(BA141)-1),TRUE),"T",INDIRECT(ADDRESS(ROW(BA141), MATCH(INT(OFFSET(BA141,ROW(BA$2)-ROW(BA141),-2)),$2:$2,0)) &amp; ":" &amp; ADDRESS(ROW(BA141),COLUMN(BA141)-1),TRUE)),IF(OFFSET(BA141,0,COLUMN($M141)-COLUMN(BA141))="V",OFFSET(BA141,0,-2)*OFFSET(BA141,0,-1),"TOTAL")))</f>
        <v>0</v>
      </c>
      <c r="BB141" s="370"/>
      <c r="BC141" s="371"/>
      <c r="BD141" s="372">
        <f ca="1">IF(OFFSET(BD141,ROW(BD$2)-ROW(BD141),0)="TT","TT",IF(OFFSET(BD141,0,COLUMN($M141)-COLUMN(BD141))="%",ROUND((OFFSET(BD141,-2,0)-OFFSET(BD141,-19,0))*0.07,2),IF(OFFSET(BD141,0,COLUMN($M141)-COLUMN(BD141))="V",ROUND(OFFSET(BD141,0,-2)*OFFSET(BD141,0,-1),2),SUMIF(INDIRECT(ADDRESS(MATCH("START"&amp;OFFSET(BD141,0,COLUMN($B141)-COLUMN(BD141)),$A:$A,0),$C141+COLUMN($E141)+1)&amp;":"&amp;ADDRESS(MATCH("END"&amp;OFFSET(BD141,0,COLUMN($B141)-COLUMN(BD141)),$A:$A,0),$C141+COLUMN($E141)+1),TRUE),INDIRECT(ADDRESS(ROW(BD141),$C141+COLUMN($E141)),TRUE),INDIRECT(ADDRESS(MATCH("START"&amp;OFFSET(BD141,0,COLUMN($B141)-COLUMN(BD141)),$A:$A,0),COLUMN(BD141))&amp;":"&amp;ADDRESS(MATCH("END"&amp;OFFSET(BD141,0,COLUMN($B141)-COLUMN(BD141)),$A:$A,0),COLUMN(BD141)),TRUE)))))</f>
        <v>0</v>
      </c>
      <c r="BE141" s="356">
        <f ca="1">IF(OFFSET(BE141,ROW(BE$2)-ROW(BE141),0)="TT",SUMIF(INDIRECT(ADDRESS(2,COLUMN($Q141)+1) &amp; ":" &amp; ADDRESS(2,COLUMN(BE141)-1),TRUE),"TBE",INDIRECT(ADDRESS(ROW(BE141), COLUMN($Q141)+1) &amp; ":" &amp; ADDRESS(ROW(BE141),COLUMN(BE141)-1),TRUE)),IF(OFFSET(BE141,ROW(BE$2)-ROW(BE141),0)="TBE",SUMIF(INDIRECT(ADDRESS(2,MATCH(INT(OFFSET(BE141,ROW(BE$2)-ROW(BE141),-2)),$2:$2,0)) &amp; ":" &amp; ADDRESS(2,COLUMN(BE141)-1),TRUE),"T",INDIRECT(ADDRESS(ROW(BE141), MATCH(INT(OFFSET(BE141,ROW(BE$2)-ROW(BE141),-2)),$2:$2,0)) &amp; ":" &amp; ADDRESS(ROW(BE141),COLUMN(BE141)-1),TRUE)),IF(OFFSET(BE141,0,COLUMN($M141)-COLUMN(BE141))="V",OFFSET(BE141,0,-2)*OFFSET(BE141,0,-1),"TOTAL")))</f>
        <v>0</v>
      </c>
      <c r="BF141" s="370"/>
      <c r="BG141" s="371"/>
      <c r="BH141" s="372">
        <f ca="1">IF(OFFSET(BH141,ROW(BH$2)-ROW(BH141),0)="TT","TT",IF(OFFSET(BH141,0,COLUMN($M141)-COLUMN(BH141))="%",ROUND((OFFSET(BH141,-2,0)-OFFSET(BH141,-19,0))*0.07,2),IF(OFFSET(BH141,0,COLUMN($M141)-COLUMN(BH141))="V",ROUND(OFFSET(BH141,0,-2)*OFFSET(BH141,0,-1),2),SUMIF(INDIRECT(ADDRESS(MATCH("START"&amp;OFFSET(BH141,0,COLUMN($B141)-COLUMN(BH141)),$A:$A,0),$C141+COLUMN($E141)+1)&amp;":"&amp;ADDRESS(MATCH("END"&amp;OFFSET(BH141,0,COLUMN($B141)-COLUMN(BH141)),$A:$A,0),$C141+COLUMN($E141)+1),TRUE),INDIRECT(ADDRESS(ROW(BH141),$C141+COLUMN($E141)),TRUE),INDIRECT(ADDRESS(MATCH("START"&amp;OFFSET(BH141,0,COLUMN($B141)-COLUMN(BH141)),$A:$A,0),COLUMN(BH141))&amp;":"&amp;ADDRESS(MATCH("END"&amp;OFFSET(BH141,0,COLUMN($B141)-COLUMN(BH141)),$A:$A,0),COLUMN(BH141)),TRUE)))))</f>
        <v>0</v>
      </c>
      <c r="BI141" s="356">
        <f ca="1">IF(OFFSET(BI141,ROW(BI$2)-ROW(BI141),0)="TT",SUMIF(INDIRECT(ADDRESS(2,COLUMN($Q141)+1) &amp; ":" &amp; ADDRESS(2,COLUMN(BI141)-1),TRUE),"TBE",INDIRECT(ADDRESS(ROW(BI141), COLUMN($Q141)+1) &amp; ":" &amp; ADDRESS(ROW(BI141),COLUMN(BI141)-1),TRUE)),IF(OFFSET(BI141,ROW(BI$2)-ROW(BI141),0)="TBE",SUMIF(INDIRECT(ADDRESS(2,MATCH(INT(OFFSET(BI141,ROW(BI$2)-ROW(BI141),-2)),$2:$2,0)) &amp; ":" &amp; ADDRESS(2,COLUMN(BI141)-1),TRUE),"T",INDIRECT(ADDRESS(ROW(BI141), MATCH(INT(OFFSET(BI141,ROW(BI$2)-ROW(BI141),-2)),$2:$2,0)) &amp; ":" &amp; ADDRESS(ROW(BI141),COLUMN(BI141)-1),TRUE)),IF(OFFSET(BI141,0,COLUMN($M141)-COLUMN(BI141))="V",OFFSET(BI141,0,-2)*OFFSET(BI141,0,-1),"TOTAL")))</f>
        <v>0</v>
      </c>
      <c r="BJ141" s="370"/>
      <c r="BK141" s="371"/>
      <c r="BL141" s="372">
        <f ca="1">IF(OFFSET(BL141,ROW(BL$2)-ROW(BL141),0)="TT","TT",IF(OFFSET(BL141,0,COLUMN($M141)-COLUMN(BL141))="%",ROUND((OFFSET(BL141,-2,0)-OFFSET(BL141,-19,0))*0.07,2),IF(OFFSET(BL141,0,COLUMN($M141)-COLUMN(BL141))="V",ROUND(OFFSET(BL141,0,-2)*OFFSET(BL141,0,-1),2),SUMIF(INDIRECT(ADDRESS(MATCH("START"&amp;OFFSET(BL141,0,COLUMN($B141)-COLUMN(BL141)),$A:$A,0),$C141+COLUMN($E141)+1)&amp;":"&amp;ADDRESS(MATCH("END"&amp;OFFSET(BL141,0,COLUMN($B141)-COLUMN(BL141)),$A:$A,0),$C141+COLUMN($E141)+1),TRUE),INDIRECT(ADDRESS(ROW(BL141),$C141+COLUMN($E141)),TRUE),INDIRECT(ADDRESS(MATCH("START"&amp;OFFSET(BL141,0,COLUMN($B141)-COLUMN(BL141)),$A:$A,0),COLUMN(BL141))&amp;":"&amp;ADDRESS(MATCH("END"&amp;OFFSET(BL141,0,COLUMN($B141)-COLUMN(BL141)),$A:$A,0),COLUMN(BL141)),TRUE)))))</f>
        <v>0</v>
      </c>
      <c r="BM141" s="356">
        <f ca="1">IF(OFFSET(BM141,ROW(BM$2)-ROW(BM141),0)="TT",SUMIF(INDIRECT(ADDRESS(2,COLUMN($Q141)+1) &amp; ":" &amp; ADDRESS(2,COLUMN(BM141)-1),TRUE),"TBE",INDIRECT(ADDRESS(ROW(BM141), COLUMN($Q141)+1) &amp; ":" &amp; ADDRESS(ROW(BM141),COLUMN(BM141)-1),TRUE)),IF(OFFSET(BM141,ROW(BM$2)-ROW(BM141),0)="TBE",SUMIF(INDIRECT(ADDRESS(2,MATCH(INT(OFFSET(BM141,ROW(BM$2)-ROW(BM141),-2)),$2:$2,0)) &amp; ":" &amp; ADDRESS(2,COLUMN(BM141)-1),TRUE),"T",INDIRECT(ADDRESS(ROW(BM141), MATCH(INT(OFFSET(BM141,ROW(BM$2)-ROW(BM141),-2)),$2:$2,0)) &amp; ":" &amp; ADDRESS(ROW(BM141),COLUMN(BM141)-1),TRUE)),IF(OFFSET(BM141,0,COLUMN($M141)-COLUMN(BM141))="V",OFFSET(BM141,0,-2)*OFFSET(BM141,0,-1),"TOTAL")))</f>
        <v>0</v>
      </c>
      <c r="BN141" s="356">
        <f ca="1">IF(OFFSET(BN141,ROW(BN$2)-ROW(BN141),0)="TT",SUMIF(INDIRECT(ADDRESS(2,COLUMN($Q141)+1) &amp; ":" &amp; ADDRESS(2,COLUMN(BN141)-1),TRUE),"TBE",INDIRECT(ADDRESS(ROW(BN141), COLUMN($Q141)+1) &amp; ":" &amp; ADDRESS(ROW(BN141),COLUMN(BN141)-1),TRUE)),IF(OFFSET(BN141,ROW(BN$2)-ROW(BN141),0)="TBE",SUMIF(INDIRECT(ADDRESS(2,MATCH(INT(OFFSET(BN141,ROW(BN$2)-ROW(BN141),-2)),$2:$2,0)) &amp; ":" &amp; ADDRESS(2,COLUMN(BN141)-1),TRUE),"T",INDIRECT(ADDRESS(ROW(BN141), MATCH(INT(OFFSET(BN141,ROW(BN$2)-ROW(BN141),-2)),$2:$2,0)) &amp; ":" &amp; ADDRESS(ROW(BN141),COLUMN(BN141)-1),TRUE)),IF(OFFSET(BN141,0,COLUMN($M141)-COLUMN(BN141))="V",OFFSET(BN141,0,-2)*OFFSET(BN141,0,-1),"TOTAL")))</f>
        <v>0</v>
      </c>
    </row>
    <row r="142" spans="1:66">
      <c r="A142" s="221" t="str">
        <f t="shared" ca="1" si="186"/>
        <v>WP004</v>
      </c>
      <c r="B142" s="221" t="str">
        <f t="shared" ca="1" si="187"/>
        <v>WP004</v>
      </c>
      <c r="C142" s="221">
        <v>1</v>
      </c>
      <c r="N142" s="461"/>
      <c r="O142" s="259"/>
      <c r="P142" s="389"/>
      <c r="Q142" s="389"/>
      <c r="R142" s="361"/>
      <c r="S142" s="362"/>
      <c r="T142" s="363"/>
      <c r="U142" s="360"/>
      <c r="V142" s="361"/>
      <c r="W142" s="362"/>
      <c r="X142" s="363"/>
      <c r="Y142" s="360"/>
      <c r="Z142" s="361"/>
      <c r="AA142" s="362"/>
      <c r="AB142" s="363"/>
      <c r="AC142" s="360"/>
      <c r="AD142" s="361"/>
      <c r="AE142" s="362"/>
      <c r="AF142" s="363"/>
      <c r="AG142" s="360"/>
      <c r="AH142" s="361"/>
      <c r="AI142" s="362"/>
      <c r="AJ142" s="363"/>
      <c r="AK142" s="360"/>
      <c r="AL142" s="361"/>
      <c r="AM142" s="362"/>
      <c r="AN142" s="363"/>
      <c r="AO142" s="360"/>
      <c r="AP142" s="361"/>
      <c r="AQ142" s="362"/>
      <c r="AR142" s="363"/>
      <c r="AS142" s="360"/>
      <c r="AT142" s="361"/>
      <c r="AU142" s="362"/>
      <c r="AV142" s="363"/>
      <c r="AW142" s="360"/>
      <c r="AX142" s="361"/>
      <c r="AY142" s="362"/>
      <c r="AZ142" s="363"/>
      <c r="BA142" s="360"/>
      <c r="BB142" s="361"/>
      <c r="BC142" s="362"/>
      <c r="BD142" s="363"/>
      <c r="BE142" s="360"/>
      <c r="BF142" s="361"/>
      <c r="BG142" s="362"/>
      <c r="BH142" s="363"/>
      <c r="BI142" s="360"/>
      <c r="BJ142" s="361"/>
      <c r="BK142" s="362"/>
      <c r="BL142" s="363"/>
      <c r="BM142" s="360"/>
      <c r="BN142" s="360"/>
    </row>
    <row r="143" spans="1:66" ht="12.75" thickBot="1">
      <c r="A143" s="221" t="str">
        <f t="shared" ca="1" si="186"/>
        <v>ENDWP004</v>
      </c>
      <c r="B143" s="221" t="str">
        <f t="shared" ca="1" si="187"/>
        <v>WP004</v>
      </c>
      <c r="C143" s="221">
        <v>0</v>
      </c>
      <c r="D143" s="221" t="s">
        <v>135</v>
      </c>
      <c r="E143" s="221" t="s">
        <v>130</v>
      </c>
      <c r="M143" s="221" t="s">
        <v>46</v>
      </c>
      <c r="N143" s="462"/>
      <c r="O143" s="454" t="str">
        <f ca="1">"TOTAL COSTS (A+B+C+D+E) - " &amp; OFFSET(O143,-26,0)</f>
        <v xml:space="preserve">TOTAL COSTS (A+B+C+D+E) - </v>
      </c>
      <c r="P143" s="455"/>
      <c r="Q143" s="455"/>
      <c r="R143" s="373"/>
      <c r="S143" s="374"/>
      <c r="T143" s="375">
        <f t="shared" ca="1" si="200"/>
        <v>0</v>
      </c>
      <c r="U143" s="376">
        <f ca="1">IF(OFFSET(U143,ROW(U$2)-ROW(U143),0)="TT",SUMIF(INDIRECT(ADDRESS(2,COLUMN($Q143)+1) &amp; ":" &amp; ADDRESS(2,COLUMN(U143)-1),TRUE),"TBE",INDIRECT(ADDRESS(ROW(U143), COLUMN($Q143)+1) &amp; ":" &amp; ADDRESS(ROW(U143),COLUMN(U143)-1),TRUE)),IF(OFFSET(U143,ROW(U$2)-ROW(U143),0)="TBE",SUMIF(INDIRECT(ADDRESS(2,MATCH(INT(OFFSET(U143,ROW(U$2)-ROW(U143),-2)),$2:$2,0)) &amp; ":" &amp; ADDRESS(2,COLUMN(U143)-1),TRUE),"T",INDIRECT(ADDRESS(ROW(U143), MATCH(INT(OFFSET(U143,ROW(U$2)-ROW(U143),-2)),$2:$2,0)) &amp; ":" &amp; ADDRESS(ROW(U143),COLUMN(U143)-1),TRUE)),IF(OFFSET(U143,0,COLUMN($M143)-COLUMN(U143))="V",OFFSET(U143,0,-2)*OFFSET(U143,0,-1),"TOTAL")))</f>
        <v>0</v>
      </c>
      <c r="V143" s="373"/>
      <c r="W143" s="374"/>
      <c r="X143" s="375">
        <f t="shared" ca="1" si="201"/>
        <v>0</v>
      </c>
      <c r="Y143" s="376">
        <f ca="1">IF(OFFSET(Y143,ROW(Y$2)-ROW(Y143),0)="TT",SUMIF(INDIRECT(ADDRESS(2,COLUMN($Q143)+1) &amp; ":" &amp; ADDRESS(2,COLUMN(Y143)-1),TRUE),"TBE",INDIRECT(ADDRESS(ROW(Y143), COLUMN($Q143)+1) &amp; ":" &amp; ADDRESS(ROW(Y143),COLUMN(Y143)-1),TRUE)),IF(OFFSET(Y143,ROW(Y$2)-ROW(Y143),0)="TBE",SUMIF(INDIRECT(ADDRESS(2,MATCH(INT(OFFSET(Y143,ROW(Y$2)-ROW(Y143),-2)),$2:$2,0)) &amp; ":" &amp; ADDRESS(2,COLUMN(Y143)-1),TRUE),"T",INDIRECT(ADDRESS(ROW(Y143), MATCH(INT(OFFSET(Y143,ROW(Y$2)-ROW(Y143),-2)),$2:$2,0)) &amp; ":" &amp; ADDRESS(ROW(Y143),COLUMN(Y143)-1),TRUE)),IF(OFFSET(Y143,0,COLUMN($M143)-COLUMN(Y143))="V",OFFSET(Y143,0,-2)*OFFSET(Y143,0,-1),"TOTAL")))</f>
        <v>0</v>
      </c>
      <c r="Z143" s="373"/>
      <c r="AA143" s="374"/>
      <c r="AB143" s="375">
        <f t="shared" ca="1" si="202"/>
        <v>0</v>
      </c>
      <c r="AC143" s="376">
        <f ca="1">IF(OFFSET(AC143,ROW(AC$2)-ROW(AC143),0)="TT",SUMIF(INDIRECT(ADDRESS(2,COLUMN($Q143)+1) &amp; ":" &amp; ADDRESS(2,COLUMN(AC143)-1),TRUE),"TBE",INDIRECT(ADDRESS(ROW(AC143), COLUMN($Q143)+1) &amp; ":" &amp; ADDRESS(ROW(AC143),COLUMN(AC143)-1),TRUE)),IF(OFFSET(AC143,ROW(AC$2)-ROW(AC143),0)="TBE",SUMIF(INDIRECT(ADDRESS(2,MATCH(INT(OFFSET(AC143,ROW(AC$2)-ROW(AC143),-2)),$2:$2,0)) &amp; ":" &amp; ADDRESS(2,COLUMN(AC143)-1),TRUE),"T",INDIRECT(ADDRESS(ROW(AC143), MATCH(INT(OFFSET(AC143,ROW(AC$2)-ROW(AC143),-2)),$2:$2,0)) &amp; ":" &amp; ADDRESS(ROW(AC143),COLUMN(AC143)-1),TRUE)),IF(OFFSET(AC143,0,COLUMN($M143)-COLUMN(AC143))="V",OFFSET(AC143,0,-2)*OFFSET(AC143,0,-1),"TOTAL")))</f>
        <v>0</v>
      </c>
      <c r="AD143" s="373"/>
      <c r="AE143" s="374"/>
      <c r="AF143" s="375">
        <f t="shared" ca="1" si="203"/>
        <v>0</v>
      </c>
      <c r="AG143" s="376">
        <f ca="1">IF(OFFSET(AG143,ROW(AG$2)-ROW(AG143),0)="TT",SUMIF(INDIRECT(ADDRESS(2,COLUMN($Q143)+1) &amp; ":" &amp; ADDRESS(2,COLUMN(AG143)-1),TRUE),"TBE",INDIRECT(ADDRESS(ROW(AG143), COLUMN($Q143)+1) &amp; ":" &amp; ADDRESS(ROW(AG143),COLUMN(AG143)-1),TRUE)),IF(OFFSET(AG143,ROW(AG$2)-ROW(AG143),0)="TBE",SUMIF(INDIRECT(ADDRESS(2,MATCH(INT(OFFSET(AG143,ROW(AG$2)-ROW(AG143),-2)),$2:$2,0)) &amp; ":" &amp; ADDRESS(2,COLUMN(AG143)-1),TRUE),"T",INDIRECT(ADDRESS(ROW(AG143), MATCH(INT(OFFSET(AG143,ROW(AG$2)-ROW(AG143),-2)),$2:$2,0)) &amp; ":" &amp; ADDRESS(ROW(AG143),COLUMN(AG143)-1),TRUE)),IF(OFFSET(AG143,0,COLUMN($M143)-COLUMN(AG143))="V",OFFSET(AG143,0,-2)*OFFSET(AG143,0,-1),"TOTAL")))</f>
        <v>0</v>
      </c>
      <c r="AH143" s="373"/>
      <c r="AI143" s="374"/>
      <c r="AJ143" s="375">
        <f t="shared" ca="1" si="204"/>
        <v>0</v>
      </c>
      <c r="AK143" s="376">
        <f ca="1">IF(OFFSET(AK143,ROW(AK$2)-ROW(AK143),0)="TT",SUMIF(INDIRECT(ADDRESS(2,COLUMN($Q143)+1) &amp; ":" &amp; ADDRESS(2,COLUMN(AK143)-1),TRUE),"TBE",INDIRECT(ADDRESS(ROW(AK143), COLUMN($Q143)+1) &amp; ":" &amp; ADDRESS(ROW(AK143),COLUMN(AK143)-1),TRUE)),IF(OFFSET(AK143,ROW(AK$2)-ROW(AK143),0)="TBE",SUMIF(INDIRECT(ADDRESS(2,MATCH(INT(OFFSET(AK143,ROW(AK$2)-ROW(AK143),-2)),$2:$2,0)) &amp; ":" &amp; ADDRESS(2,COLUMN(AK143)-1),TRUE),"T",INDIRECT(ADDRESS(ROW(AK143), MATCH(INT(OFFSET(AK143,ROW(AK$2)-ROW(AK143),-2)),$2:$2,0)) &amp; ":" &amp; ADDRESS(ROW(AK143),COLUMN(AK143)-1),TRUE)),IF(OFFSET(AK143,0,COLUMN($M143)-COLUMN(AK143))="V",OFFSET(AK143,0,-2)*OFFSET(AK143,0,-1),"TOTAL")))</f>
        <v>0</v>
      </c>
      <c r="AL143" s="373"/>
      <c r="AM143" s="374"/>
      <c r="AN143" s="375">
        <f t="shared" ca="1" si="205"/>
        <v>0</v>
      </c>
      <c r="AO143" s="376">
        <f ca="1">IF(OFFSET(AO143,ROW(AO$2)-ROW(AO143),0)="TT",SUMIF(INDIRECT(ADDRESS(2,COLUMN($Q143)+1) &amp; ":" &amp; ADDRESS(2,COLUMN(AO143)-1),TRUE),"TBE",INDIRECT(ADDRESS(ROW(AO143), COLUMN($Q143)+1) &amp; ":" &amp; ADDRESS(ROW(AO143),COLUMN(AO143)-1),TRUE)),IF(OFFSET(AO143,ROW(AO$2)-ROW(AO143),0)="TBE",SUMIF(INDIRECT(ADDRESS(2,MATCH(INT(OFFSET(AO143,ROW(AO$2)-ROW(AO143),-2)),$2:$2,0)) &amp; ":" &amp; ADDRESS(2,COLUMN(AO143)-1),TRUE),"T",INDIRECT(ADDRESS(ROW(AO143), MATCH(INT(OFFSET(AO143,ROW(AO$2)-ROW(AO143),-2)),$2:$2,0)) &amp; ":" &amp; ADDRESS(ROW(AO143),COLUMN(AO143)-1),TRUE)),IF(OFFSET(AO143,0,COLUMN($M143)-COLUMN(AO143))="V",OFFSET(AO143,0,-2)*OFFSET(AO143,0,-1),"TOTAL")))</f>
        <v>0</v>
      </c>
      <c r="AP143" s="373"/>
      <c r="AQ143" s="374"/>
      <c r="AR143" s="375">
        <f t="shared" ca="1" si="206"/>
        <v>0</v>
      </c>
      <c r="AS143" s="376">
        <f ca="1">IF(OFFSET(AS143,ROW(AS$2)-ROW(AS143),0)="TT",SUMIF(INDIRECT(ADDRESS(2,COLUMN($Q143)+1) &amp; ":" &amp; ADDRESS(2,COLUMN(AS143)-1),TRUE),"TBE",INDIRECT(ADDRESS(ROW(AS143), COLUMN($Q143)+1) &amp; ":" &amp; ADDRESS(ROW(AS143),COLUMN(AS143)-1),TRUE)),IF(OFFSET(AS143,ROW(AS$2)-ROW(AS143),0)="TBE",SUMIF(INDIRECT(ADDRESS(2,MATCH(INT(OFFSET(AS143,ROW(AS$2)-ROW(AS143),-2)),$2:$2,0)) &amp; ":" &amp; ADDRESS(2,COLUMN(AS143)-1),TRUE),"T",INDIRECT(ADDRESS(ROW(AS143), MATCH(INT(OFFSET(AS143,ROW(AS$2)-ROW(AS143),-2)),$2:$2,0)) &amp; ":" &amp; ADDRESS(ROW(AS143),COLUMN(AS143)-1),TRUE)),IF(OFFSET(AS143,0,COLUMN($M143)-COLUMN(AS143))="V",OFFSET(AS143,0,-2)*OFFSET(AS143,0,-1),"TOTAL")))</f>
        <v>0</v>
      </c>
      <c r="AT143" s="373"/>
      <c r="AU143" s="374"/>
      <c r="AV143" s="375">
        <f t="shared" ca="1" si="207"/>
        <v>0</v>
      </c>
      <c r="AW143" s="376">
        <f ca="1">IF(OFFSET(AW143,ROW(AW$2)-ROW(AW143),0)="TT",SUMIF(INDIRECT(ADDRESS(2,COLUMN($Q143)+1) &amp; ":" &amp; ADDRESS(2,COLUMN(AW143)-1),TRUE),"TBE",INDIRECT(ADDRESS(ROW(AW143), COLUMN($Q143)+1) &amp; ":" &amp; ADDRESS(ROW(AW143),COLUMN(AW143)-1),TRUE)),IF(OFFSET(AW143,ROW(AW$2)-ROW(AW143),0)="TBE",SUMIF(INDIRECT(ADDRESS(2,MATCH(INT(OFFSET(AW143,ROW(AW$2)-ROW(AW143),-2)),$2:$2,0)) &amp; ":" &amp; ADDRESS(2,COLUMN(AW143)-1),TRUE),"T",INDIRECT(ADDRESS(ROW(AW143), MATCH(INT(OFFSET(AW143,ROW(AW$2)-ROW(AW143),-2)),$2:$2,0)) &amp; ":" &amp; ADDRESS(ROW(AW143),COLUMN(AW143)-1),TRUE)),IF(OFFSET(AW143,0,COLUMN($M143)-COLUMN(AW143))="V",OFFSET(AW143,0,-2)*OFFSET(AW143,0,-1),"TOTAL")))</f>
        <v>0</v>
      </c>
      <c r="AX143" s="373"/>
      <c r="AY143" s="374"/>
      <c r="AZ143" s="375">
        <f t="shared" ca="1" si="208"/>
        <v>0</v>
      </c>
      <c r="BA143" s="376">
        <f ca="1">IF(OFFSET(BA143,ROW(BA$2)-ROW(BA143),0)="TT",SUMIF(INDIRECT(ADDRESS(2,COLUMN($Q143)+1) &amp; ":" &amp; ADDRESS(2,COLUMN(BA143)-1),TRUE),"TBE",INDIRECT(ADDRESS(ROW(BA143), COLUMN($Q143)+1) &amp; ":" &amp; ADDRESS(ROW(BA143),COLUMN(BA143)-1),TRUE)),IF(OFFSET(BA143,ROW(BA$2)-ROW(BA143),0)="TBE",SUMIF(INDIRECT(ADDRESS(2,MATCH(INT(OFFSET(BA143,ROW(BA$2)-ROW(BA143),-2)),$2:$2,0)) &amp; ":" &amp; ADDRESS(2,COLUMN(BA143)-1),TRUE),"T",INDIRECT(ADDRESS(ROW(BA143), MATCH(INT(OFFSET(BA143,ROW(BA$2)-ROW(BA143),-2)),$2:$2,0)) &amp; ":" &amp; ADDRESS(ROW(BA143),COLUMN(BA143)-1),TRUE)),IF(OFFSET(BA143,0,COLUMN($M143)-COLUMN(BA143))="V",OFFSET(BA143,0,-2)*OFFSET(BA143,0,-1),"TOTAL")))</f>
        <v>0</v>
      </c>
      <c r="BB143" s="373"/>
      <c r="BC143" s="374"/>
      <c r="BD143" s="375">
        <f t="shared" ca="1" si="209"/>
        <v>0</v>
      </c>
      <c r="BE143" s="376">
        <f ca="1">IF(OFFSET(BE143,ROW(BE$2)-ROW(BE143),0)="TT",SUMIF(INDIRECT(ADDRESS(2,COLUMN($Q143)+1) &amp; ":" &amp; ADDRESS(2,COLUMN(BE143)-1),TRUE),"TBE",INDIRECT(ADDRESS(ROW(BE143), COLUMN($Q143)+1) &amp; ":" &amp; ADDRESS(ROW(BE143),COLUMN(BE143)-1),TRUE)),IF(OFFSET(BE143,ROW(BE$2)-ROW(BE143),0)="TBE",SUMIF(INDIRECT(ADDRESS(2,MATCH(INT(OFFSET(BE143,ROW(BE$2)-ROW(BE143),-2)),$2:$2,0)) &amp; ":" &amp; ADDRESS(2,COLUMN(BE143)-1),TRUE),"T",INDIRECT(ADDRESS(ROW(BE143), MATCH(INT(OFFSET(BE143,ROW(BE$2)-ROW(BE143),-2)),$2:$2,0)) &amp; ":" &amp; ADDRESS(ROW(BE143),COLUMN(BE143)-1),TRUE)),IF(OFFSET(BE143,0,COLUMN($M143)-COLUMN(BE143))="V",OFFSET(BE143,0,-2)*OFFSET(BE143,0,-1),"TOTAL")))</f>
        <v>0</v>
      </c>
      <c r="BF143" s="373"/>
      <c r="BG143" s="374"/>
      <c r="BH143" s="375">
        <f t="shared" ca="1" si="210"/>
        <v>0</v>
      </c>
      <c r="BI143" s="376">
        <f ca="1">IF(OFFSET(BI143,ROW(BI$2)-ROW(BI143),0)="TT",SUMIF(INDIRECT(ADDRESS(2,COLUMN($Q143)+1) &amp; ":" &amp; ADDRESS(2,COLUMN(BI143)-1),TRUE),"TBE",INDIRECT(ADDRESS(ROW(BI143), COLUMN($Q143)+1) &amp; ":" &amp; ADDRESS(ROW(BI143),COLUMN(BI143)-1),TRUE)),IF(OFFSET(BI143,ROW(BI$2)-ROW(BI143),0)="TBE",SUMIF(INDIRECT(ADDRESS(2,MATCH(INT(OFFSET(BI143,ROW(BI$2)-ROW(BI143),-2)),$2:$2,0)) &amp; ":" &amp; ADDRESS(2,COLUMN(BI143)-1),TRUE),"T",INDIRECT(ADDRESS(ROW(BI143), MATCH(INT(OFFSET(BI143,ROW(BI$2)-ROW(BI143),-2)),$2:$2,0)) &amp; ":" &amp; ADDRESS(ROW(BI143),COLUMN(BI143)-1),TRUE)),IF(OFFSET(BI143,0,COLUMN($M143)-COLUMN(BI143))="V",OFFSET(BI143,0,-2)*OFFSET(BI143,0,-1),"TOTAL")))</f>
        <v>0</v>
      </c>
      <c r="BJ143" s="373"/>
      <c r="BK143" s="374"/>
      <c r="BL143" s="375">
        <f t="shared" ca="1" si="211"/>
        <v>0</v>
      </c>
      <c r="BM143" s="376">
        <f ca="1">IF(OFFSET(BM143,ROW(BM$2)-ROW(BM143),0)="TT",SUMIF(INDIRECT(ADDRESS(2,COLUMN($Q143)+1) &amp; ":" &amp; ADDRESS(2,COLUMN(BM143)-1),TRUE),"TBE",INDIRECT(ADDRESS(ROW(BM143), COLUMN($Q143)+1) &amp; ":" &amp; ADDRESS(ROW(BM143),COLUMN(BM143)-1),TRUE)),IF(OFFSET(BM143,ROW(BM$2)-ROW(BM143),0)="TBE",SUMIF(INDIRECT(ADDRESS(2,MATCH(INT(OFFSET(BM143,ROW(BM$2)-ROW(BM143),-2)),$2:$2,0)) &amp; ":" &amp; ADDRESS(2,COLUMN(BM143)-1),TRUE),"T",INDIRECT(ADDRESS(ROW(BM143), MATCH(INT(OFFSET(BM143,ROW(BM$2)-ROW(BM143),-2)),$2:$2,0)) &amp; ":" &amp; ADDRESS(ROW(BM143),COLUMN(BM143)-1),TRUE)),IF(OFFSET(BM143,0,COLUMN($M143)-COLUMN(BM143))="V",OFFSET(BM143,0,-2)*OFFSET(BM143,0,-1),"TOTAL")))</f>
        <v>0</v>
      </c>
      <c r="BN143" s="376">
        <f ca="1">IF(OFFSET(BN143,ROW(BN$2)-ROW(BN143),0)="TT",SUMIF(INDIRECT(ADDRESS(2,COLUMN($Q143)+1) &amp; ":" &amp; ADDRESS(2,COLUMN(BN143)-1),TRUE),"TBE",INDIRECT(ADDRESS(ROW(BN143), COLUMN($Q143)+1) &amp; ":" &amp; ADDRESS(ROW(BN143),COLUMN(BN143)-1),TRUE)),IF(OFFSET(BN143,ROW(BN$2)-ROW(BN143),0)="TBE",SUMIF(INDIRECT(ADDRESS(2,MATCH(INT(OFFSET(BN143,ROW(BN$2)-ROW(BN143),-2)),$2:$2,0)) &amp; ":" &amp; ADDRESS(2,COLUMN(BN143)-1),TRUE),"T",INDIRECT(ADDRESS(ROW(BN143), MATCH(INT(OFFSET(BN143,ROW(BN$2)-ROW(BN143),-2)),$2:$2,0)) &amp; ":" &amp; ADDRESS(ROW(BN143),COLUMN(BN143)-1),TRUE)),IF(OFFSET(BN143,0,COLUMN($M143)-COLUMN(BN143))="V",OFFSET(BN143,0,-2)*OFFSET(BN143,0,-1),"TOTAL")))</f>
        <v>0</v>
      </c>
    </row>
    <row r="144" spans="1:66" ht="13.5" thickTop="1" thickBot="1">
      <c r="A144" s="221" t="s">
        <v>137</v>
      </c>
    </row>
    <row r="145" spans="1:68" ht="13.5" thickTop="1" thickBot="1">
      <c r="A145" s="221" t="str">
        <f ca="1">IF(ISNUMBER(OFFSET(A145,0,13)),"START",IF(AND(OFFSET(A145,0,2)=0,OFFSET(A145,0,4)="GT"),"END",""))&amp;OFFSET(A145,0,1)</f>
        <v>STARTWP005</v>
      </c>
      <c r="B145" s="221" t="str">
        <f ca="1">IF(ISNUMBER(OFFSET(B145,0,12)),"WP" &amp; TEXT(OFFSET(B145,0,12),"000"),OFFSET(B145,-1,0))</f>
        <v>WP005</v>
      </c>
      <c r="N145" s="244">
        <v>5</v>
      </c>
      <c r="O145" s="459" t="str">
        <f ca="1">""&amp;VLOOKUP(OFFSET(N145,1,0),'Work Packages List'!A:B,2,FALSE)</f>
        <v/>
      </c>
      <c r="P145" s="459"/>
      <c r="Q145" s="460"/>
      <c r="R145" s="349"/>
      <c r="S145" s="350"/>
      <c r="T145" s="351"/>
      <c r="U145" s="352"/>
      <c r="V145" s="349"/>
      <c r="W145" s="350"/>
      <c r="X145" s="351"/>
      <c r="Y145" s="352"/>
      <c r="Z145" s="349"/>
      <c r="AA145" s="350"/>
      <c r="AB145" s="351"/>
      <c r="AC145" s="352"/>
      <c r="AD145" s="349"/>
      <c r="AE145" s="350"/>
      <c r="AF145" s="351"/>
      <c r="AG145" s="352"/>
      <c r="AH145" s="349"/>
      <c r="AI145" s="350"/>
      <c r="AJ145" s="351"/>
      <c r="AK145" s="352"/>
      <c r="AL145" s="349"/>
      <c r="AM145" s="350"/>
      <c r="AN145" s="351"/>
      <c r="AO145" s="352"/>
      <c r="AP145" s="349"/>
      <c r="AQ145" s="350"/>
      <c r="AR145" s="351"/>
      <c r="AS145" s="352"/>
      <c r="AT145" s="349"/>
      <c r="AU145" s="350"/>
      <c r="AV145" s="351"/>
      <c r="AW145" s="352"/>
      <c r="AX145" s="349"/>
      <c r="AY145" s="350"/>
      <c r="AZ145" s="351"/>
      <c r="BA145" s="352"/>
      <c r="BB145" s="349"/>
      <c r="BC145" s="350"/>
      <c r="BD145" s="351"/>
      <c r="BE145" s="352"/>
      <c r="BF145" s="349"/>
      <c r="BG145" s="350"/>
      <c r="BH145" s="351"/>
      <c r="BI145" s="352"/>
      <c r="BJ145" s="349"/>
      <c r="BK145" s="350"/>
      <c r="BL145" s="351"/>
      <c r="BM145" s="352"/>
      <c r="BN145" s="352"/>
    </row>
    <row r="146" spans="1:68">
      <c r="A146" s="221" t="str">
        <f t="shared" ref="A146:A177" ca="1" si="248">IF(ISNUMBER(OFFSET(A146,0,12)),"START",IF(AND(OFFSET(A146,0,2)=0,OFFSET(A146,0,4)="GT"),"END",""))&amp;OFFSET(A146,0,1)</f>
        <v>WP005</v>
      </c>
      <c r="B146" s="221" t="str">
        <f t="shared" ref="B146:B177" ca="1" si="249">IF(ISNUMBER(OFFSET(B146,0,11)),"WP" &amp; TEXT(OFFSET(B146,0,11),"000"),OFFSET(B146,-1,0))</f>
        <v>WP005</v>
      </c>
      <c r="C146" s="221">
        <v>4</v>
      </c>
      <c r="D146" s="221" t="s">
        <v>73</v>
      </c>
      <c r="H146" s="221" t="s">
        <v>74</v>
      </c>
      <c r="I146" s="221" t="s">
        <v>75</v>
      </c>
      <c r="M146" s="221" t="s">
        <v>46</v>
      </c>
      <c r="N146" s="461" t="str">
        <f ca="1">"WP " &amp; TEXT(OFFSET(N146,-1,0),"000")</f>
        <v>WP 005</v>
      </c>
      <c r="O146" s="452" t="s">
        <v>37</v>
      </c>
      <c r="P146" s="453"/>
      <c r="Q146" s="463"/>
      <c r="R146" s="353">
        <f ca="1">IF(OFFSET(R146,ROW(R$2)-ROW(R146),0)="TT","TT",IF(OFFSET(R146,0,COLUMN($M146)-COLUMN(R146))="%",ROUND(OFFSET(R146,-2,0)*0.07,0),IF(OFFSET(R146,0,COLUMN($M146)-COLUMN(R146))="V","x",SUMIF(INDIRECT(ADDRESS(MATCH("START"&amp;OFFSET(R146,0,COLUMN($B146)-COLUMN(R146)),$A:$A,0),$C146+COLUMN($E146)+1)&amp;":"&amp;ADDRESS(MATCH("END"&amp;OFFSET(R146,0,COLUMN($B146)-COLUMN(R146)),$A:$A,0),$C146+COLUMN($E146)+1),TRUE),INDIRECT(ADDRESS(ROW(R146),$C146+COLUMN($E146)),TRUE),INDIRECT(ADDRESS(MATCH("START"&amp;OFFSET(R146,0,COLUMN($B146)-COLUMN(R146)),$A:$A,0),COLUMN(R146))&amp;":"&amp;ADDRESS(MATCH("END"&amp;OFFSET(R146,0,COLUMN($B146)-COLUMN(R146)),$A:$A,0),COLUMN(R146)),TRUE)))))</f>
        <v>0</v>
      </c>
      <c r="S146" s="354"/>
      <c r="T146" s="355">
        <f ca="1">IF(OFFSET(T146,ROW(T$2)-ROW(T146),0)="TT","TT",IF(OFFSET(T146,0,COLUMN($M146)-COLUMN(T146))="%",ROUND((OFFSET(T146,-2,0)-OFFSET(T146,-21,0))*0.07,2),IF(OFFSET(T146,0,COLUMN($M146)-COLUMN(T146))="V",ROUND(OFFSET(T146,0,-2)*OFFSET(T146,0,-1),2),SUMIF(INDIRECT(ADDRESS(MATCH("START"&amp;OFFSET(T146,0,COLUMN($B146)-COLUMN(T146)),$A:$A,0),$C146+COLUMN($E146)+1)&amp;":"&amp;ADDRESS(MATCH("END"&amp;OFFSET(T146,0,COLUMN($B146)-COLUMN(T146)),$A:$A,0),$C146+COLUMN($E146)+1),TRUE),INDIRECT(ADDRESS(ROW(T146),$C146+COLUMN($E146)),TRUE),INDIRECT(ADDRESS(MATCH("START"&amp;OFFSET(T146,0,COLUMN($B146)-COLUMN(T146)),$A:$A,0),COLUMN(T146))&amp;":"&amp;ADDRESS(MATCH("END"&amp;OFFSET(T146,0,COLUMN($B146)-COLUMN(T146)),$A:$A,0),COLUMN(T146)),TRUE)))))</f>
        <v>0</v>
      </c>
      <c r="U146" s="356">
        <f t="shared" ref="U146:U173" ca="1" si="250">IF(OFFSET(U146,ROW(U$2)-ROW(U146),0)="TT",SUMIF(INDIRECT(ADDRESS(2,COLUMN($Q146)+1) &amp; ":" &amp; ADDRESS(2,COLUMN(U146)-1),TRUE),"TBE",INDIRECT(ADDRESS(ROW(U146), COLUMN($Q146)+1) &amp; ":" &amp; ADDRESS(ROW(U146),COLUMN(U146)-1),TRUE)),IF(OFFSET(U146,ROW(U$2)-ROW(U146),0)="TBE",SUMIF(INDIRECT(ADDRESS(2,MATCH(INT(OFFSET(U146,ROW(U$2)-ROW(U146),-2)),$2:$2,0)) &amp; ":" &amp; ADDRESS(2,COLUMN(U146)-1),TRUE),"T",INDIRECT(ADDRESS(ROW(U146), MATCH(INT(OFFSET(U146,ROW(U$2)-ROW(U146),-2)),$2:$2,0)) &amp; ":" &amp; ADDRESS(ROW(U146),COLUMN(U146)-1),TRUE)),IF(OFFSET(U146,0,COLUMN($M146)-COLUMN(U146))="V",OFFSET(U146,0,-2)*OFFSET(U146,0,-1),"TOTAL")))</f>
        <v>0</v>
      </c>
      <c r="V146" s="353">
        <f ca="1">IF(OFFSET(V146,ROW(V$2)-ROW(V146),0)="TT","TT",IF(OFFSET(V146,0,COLUMN($M146)-COLUMN(V146))="%",ROUND(OFFSET(V146,-2,0)*0.07,0),IF(OFFSET(V146,0,COLUMN($M146)-COLUMN(V146))="V","x",SUMIF(INDIRECT(ADDRESS(MATCH("START"&amp;OFFSET(V146,0,COLUMN($B146)-COLUMN(V146)),$A:$A,0),$C146+COLUMN($E146)+1)&amp;":"&amp;ADDRESS(MATCH("END"&amp;OFFSET(V146,0,COLUMN($B146)-COLUMN(V146)),$A:$A,0),$C146+COLUMN($E146)+1),TRUE),INDIRECT(ADDRESS(ROW(V146),$C146+COLUMN($E146)),TRUE),INDIRECT(ADDRESS(MATCH("START"&amp;OFFSET(V146,0,COLUMN($B146)-COLUMN(V146)),$A:$A,0),COLUMN(V146))&amp;":"&amp;ADDRESS(MATCH("END"&amp;OFFSET(V146,0,COLUMN($B146)-COLUMN(V146)),$A:$A,0),COLUMN(V146)),TRUE)))))</f>
        <v>0</v>
      </c>
      <c r="W146" s="354"/>
      <c r="X146" s="355">
        <f ca="1">IF(OFFSET(X146,ROW(X$2)-ROW(X146),0)="TT","TT",IF(OFFSET(X146,0,COLUMN($M146)-COLUMN(X146))="%",ROUND((OFFSET(X146,-2,0)-OFFSET(X146,-21,0))*0.07,2),IF(OFFSET(X146,0,COLUMN($M146)-COLUMN(X146))="V",ROUND(OFFSET(X146,0,-2)*OFFSET(X146,0,-1),2),SUMIF(INDIRECT(ADDRESS(MATCH("START"&amp;OFFSET(X146,0,COLUMN($B146)-COLUMN(X146)),$A:$A,0),$C146+COLUMN($E146)+1)&amp;":"&amp;ADDRESS(MATCH("END"&amp;OFFSET(X146,0,COLUMN($B146)-COLUMN(X146)),$A:$A,0),$C146+COLUMN($E146)+1),TRUE),INDIRECT(ADDRESS(ROW(X146),$C146+COLUMN($E146)),TRUE),INDIRECT(ADDRESS(MATCH("START"&amp;OFFSET(X146,0,COLUMN($B146)-COLUMN(X146)),$A:$A,0),COLUMN(X146))&amp;":"&amp;ADDRESS(MATCH("END"&amp;OFFSET(X146,0,COLUMN($B146)-COLUMN(X146)),$A:$A,0),COLUMN(X146)),TRUE)))))</f>
        <v>0</v>
      </c>
      <c r="Y146" s="356">
        <f t="shared" ref="Y146:Y173" ca="1" si="251">IF(OFFSET(Y146,ROW(Y$2)-ROW(Y146),0)="TT",SUMIF(INDIRECT(ADDRESS(2,COLUMN($Q146)+1) &amp; ":" &amp; ADDRESS(2,COLUMN(Y146)-1),TRUE),"TBE",INDIRECT(ADDRESS(ROW(Y146), COLUMN($Q146)+1) &amp; ":" &amp; ADDRESS(ROW(Y146),COLUMN(Y146)-1),TRUE)),IF(OFFSET(Y146,ROW(Y$2)-ROW(Y146),0)="TBE",SUMIF(INDIRECT(ADDRESS(2,MATCH(INT(OFFSET(Y146,ROW(Y$2)-ROW(Y146),-2)),$2:$2,0)) &amp; ":" &amp; ADDRESS(2,COLUMN(Y146)-1),TRUE),"T",INDIRECT(ADDRESS(ROW(Y146), MATCH(INT(OFFSET(Y146,ROW(Y$2)-ROW(Y146),-2)),$2:$2,0)) &amp; ":" &amp; ADDRESS(ROW(Y146),COLUMN(Y146)-1),TRUE)),IF(OFFSET(Y146,0,COLUMN($M146)-COLUMN(Y146))="V",OFFSET(Y146,0,-2)*OFFSET(Y146,0,-1),"TOTAL")))</f>
        <v>0</v>
      </c>
      <c r="Z146" s="353">
        <f ca="1">IF(OFFSET(Z146,ROW(Z$2)-ROW(Z146),0)="TT","TT",IF(OFFSET(Z146,0,COLUMN($M146)-COLUMN(Z146))="%",ROUND(OFFSET(Z146,-2,0)*0.07,0),IF(OFFSET(Z146,0,COLUMN($M146)-COLUMN(Z146))="V","x",SUMIF(INDIRECT(ADDRESS(MATCH("START"&amp;OFFSET(Z146,0,COLUMN($B146)-COLUMN(Z146)),$A:$A,0),$C146+COLUMN($E146)+1)&amp;":"&amp;ADDRESS(MATCH("END"&amp;OFFSET(Z146,0,COLUMN($B146)-COLUMN(Z146)),$A:$A,0),$C146+COLUMN($E146)+1),TRUE),INDIRECT(ADDRESS(ROW(Z146),$C146+COLUMN($E146)),TRUE),INDIRECT(ADDRESS(MATCH("START"&amp;OFFSET(Z146,0,COLUMN($B146)-COLUMN(Z146)),$A:$A,0),COLUMN(Z146))&amp;":"&amp;ADDRESS(MATCH("END"&amp;OFFSET(Z146,0,COLUMN($B146)-COLUMN(Z146)),$A:$A,0),COLUMN(Z146)),TRUE)))))</f>
        <v>0</v>
      </c>
      <c r="AA146" s="354"/>
      <c r="AB146" s="355">
        <f ca="1">IF(OFFSET(AB146,ROW(AB$2)-ROW(AB146),0)="TT","TT",IF(OFFSET(AB146,0,COLUMN($M146)-COLUMN(AB146))="%",ROUND((OFFSET(AB146,-2,0)-OFFSET(AB146,-21,0))*0.07,2),IF(OFFSET(AB146,0,COLUMN($M146)-COLUMN(AB146))="V",ROUND(OFFSET(AB146,0,-2)*OFFSET(AB146,0,-1),2),SUMIF(INDIRECT(ADDRESS(MATCH("START"&amp;OFFSET(AB146,0,COLUMN($B146)-COLUMN(AB146)),$A:$A,0),$C146+COLUMN($E146)+1)&amp;":"&amp;ADDRESS(MATCH("END"&amp;OFFSET(AB146,0,COLUMN($B146)-COLUMN(AB146)),$A:$A,0),$C146+COLUMN($E146)+1),TRUE),INDIRECT(ADDRESS(ROW(AB146),$C146+COLUMN($E146)),TRUE),INDIRECT(ADDRESS(MATCH("START"&amp;OFFSET(AB146,0,COLUMN($B146)-COLUMN(AB146)),$A:$A,0),COLUMN(AB146))&amp;":"&amp;ADDRESS(MATCH("END"&amp;OFFSET(AB146,0,COLUMN($B146)-COLUMN(AB146)),$A:$A,0),COLUMN(AB146)),TRUE)))))</f>
        <v>0</v>
      </c>
      <c r="AC146" s="356">
        <f t="shared" ref="AC146:AC173" ca="1" si="252">IF(OFFSET(AC146,ROW(AC$2)-ROW(AC146),0)="TT",SUMIF(INDIRECT(ADDRESS(2,COLUMN($Q146)+1) &amp; ":" &amp; ADDRESS(2,COLUMN(AC146)-1),TRUE),"TBE",INDIRECT(ADDRESS(ROW(AC146), COLUMN($Q146)+1) &amp; ":" &amp; ADDRESS(ROW(AC146),COLUMN(AC146)-1),TRUE)),IF(OFFSET(AC146,ROW(AC$2)-ROW(AC146),0)="TBE",SUMIF(INDIRECT(ADDRESS(2,MATCH(INT(OFFSET(AC146,ROW(AC$2)-ROW(AC146),-2)),$2:$2,0)) &amp; ":" &amp; ADDRESS(2,COLUMN(AC146)-1),TRUE),"T",INDIRECT(ADDRESS(ROW(AC146), MATCH(INT(OFFSET(AC146,ROW(AC$2)-ROW(AC146),-2)),$2:$2,0)) &amp; ":" &amp; ADDRESS(ROW(AC146),COLUMN(AC146)-1),TRUE)),IF(OFFSET(AC146,0,COLUMN($M146)-COLUMN(AC146))="V",OFFSET(AC146,0,-2)*OFFSET(AC146,0,-1),"TOTAL")))</f>
        <v>0</v>
      </c>
      <c r="AD146" s="353">
        <f ca="1">IF(OFFSET(AD146,ROW(AD$2)-ROW(AD146),0)="TT","TT",IF(OFFSET(AD146,0,COLUMN($M146)-COLUMN(AD146))="%",ROUND(OFFSET(AD146,-2,0)*0.07,0),IF(OFFSET(AD146,0,COLUMN($M146)-COLUMN(AD146))="V","x",SUMIF(INDIRECT(ADDRESS(MATCH("START"&amp;OFFSET(AD146,0,COLUMN($B146)-COLUMN(AD146)),$A:$A,0),$C146+COLUMN($E146)+1)&amp;":"&amp;ADDRESS(MATCH("END"&amp;OFFSET(AD146,0,COLUMN($B146)-COLUMN(AD146)),$A:$A,0),$C146+COLUMN($E146)+1),TRUE),INDIRECT(ADDRESS(ROW(AD146),$C146+COLUMN($E146)),TRUE),INDIRECT(ADDRESS(MATCH("START"&amp;OFFSET(AD146,0,COLUMN($B146)-COLUMN(AD146)),$A:$A,0),COLUMN(AD146))&amp;":"&amp;ADDRESS(MATCH("END"&amp;OFFSET(AD146,0,COLUMN($B146)-COLUMN(AD146)),$A:$A,0),COLUMN(AD146)),TRUE)))))</f>
        <v>0</v>
      </c>
      <c r="AE146" s="354"/>
      <c r="AF146" s="355">
        <f ca="1">IF(OFFSET(AF146,ROW(AF$2)-ROW(AF146),0)="TT","TT",IF(OFFSET(AF146,0,COLUMN($M146)-COLUMN(AF146))="%",ROUND((OFFSET(AF146,-2,0)-OFFSET(AF146,-21,0))*0.07,2),IF(OFFSET(AF146,0,COLUMN($M146)-COLUMN(AF146))="V",ROUND(OFFSET(AF146,0,-2)*OFFSET(AF146,0,-1),2),SUMIF(INDIRECT(ADDRESS(MATCH("START"&amp;OFFSET(AF146,0,COLUMN($B146)-COLUMN(AF146)),$A:$A,0),$C146+COLUMN($E146)+1)&amp;":"&amp;ADDRESS(MATCH("END"&amp;OFFSET(AF146,0,COLUMN($B146)-COLUMN(AF146)),$A:$A,0),$C146+COLUMN($E146)+1),TRUE),INDIRECT(ADDRESS(ROW(AF146),$C146+COLUMN($E146)),TRUE),INDIRECT(ADDRESS(MATCH("START"&amp;OFFSET(AF146,0,COLUMN($B146)-COLUMN(AF146)),$A:$A,0),COLUMN(AF146))&amp;":"&amp;ADDRESS(MATCH("END"&amp;OFFSET(AF146,0,COLUMN($B146)-COLUMN(AF146)),$A:$A,0),COLUMN(AF146)),TRUE)))))</f>
        <v>0</v>
      </c>
      <c r="AG146" s="356">
        <f t="shared" ref="AG146:AG173" ca="1" si="253">IF(OFFSET(AG146,ROW(AG$2)-ROW(AG146),0)="TT",SUMIF(INDIRECT(ADDRESS(2,COLUMN($Q146)+1) &amp; ":" &amp; ADDRESS(2,COLUMN(AG146)-1),TRUE),"TBE",INDIRECT(ADDRESS(ROW(AG146), COLUMN($Q146)+1) &amp; ":" &amp; ADDRESS(ROW(AG146),COLUMN(AG146)-1),TRUE)),IF(OFFSET(AG146,ROW(AG$2)-ROW(AG146),0)="TBE",SUMIF(INDIRECT(ADDRESS(2,MATCH(INT(OFFSET(AG146,ROW(AG$2)-ROW(AG146),-2)),$2:$2,0)) &amp; ":" &amp; ADDRESS(2,COLUMN(AG146)-1),TRUE),"T",INDIRECT(ADDRESS(ROW(AG146), MATCH(INT(OFFSET(AG146,ROW(AG$2)-ROW(AG146),-2)),$2:$2,0)) &amp; ":" &amp; ADDRESS(ROW(AG146),COLUMN(AG146)-1),TRUE)),IF(OFFSET(AG146,0,COLUMN($M146)-COLUMN(AG146))="V",OFFSET(AG146,0,-2)*OFFSET(AG146,0,-1),"TOTAL")))</f>
        <v>0</v>
      </c>
      <c r="AH146" s="353">
        <f ca="1">IF(OFFSET(AH146,ROW(AH$2)-ROW(AH146),0)="TT","TT",IF(OFFSET(AH146,0,COLUMN($M146)-COLUMN(AH146))="%",ROUND(OFFSET(AH146,-2,0)*0.07,0),IF(OFFSET(AH146,0,COLUMN($M146)-COLUMN(AH146))="V","x",SUMIF(INDIRECT(ADDRESS(MATCH("START"&amp;OFFSET(AH146,0,COLUMN($B146)-COLUMN(AH146)),$A:$A,0),$C146+COLUMN($E146)+1)&amp;":"&amp;ADDRESS(MATCH("END"&amp;OFFSET(AH146,0,COLUMN($B146)-COLUMN(AH146)),$A:$A,0),$C146+COLUMN($E146)+1),TRUE),INDIRECT(ADDRESS(ROW(AH146),$C146+COLUMN($E146)),TRUE),INDIRECT(ADDRESS(MATCH("START"&amp;OFFSET(AH146,0,COLUMN($B146)-COLUMN(AH146)),$A:$A,0),COLUMN(AH146))&amp;":"&amp;ADDRESS(MATCH("END"&amp;OFFSET(AH146,0,COLUMN($B146)-COLUMN(AH146)),$A:$A,0),COLUMN(AH146)),TRUE)))))</f>
        <v>0</v>
      </c>
      <c r="AI146" s="354"/>
      <c r="AJ146" s="355">
        <f ca="1">IF(OFFSET(AJ146,ROW(AJ$2)-ROW(AJ146),0)="TT","TT",IF(OFFSET(AJ146,0,COLUMN($M146)-COLUMN(AJ146))="%",ROUND((OFFSET(AJ146,-2,0)-OFFSET(AJ146,-21,0))*0.07,2),IF(OFFSET(AJ146,0,COLUMN($M146)-COLUMN(AJ146))="V",ROUND(OFFSET(AJ146,0,-2)*OFFSET(AJ146,0,-1),2),SUMIF(INDIRECT(ADDRESS(MATCH("START"&amp;OFFSET(AJ146,0,COLUMN($B146)-COLUMN(AJ146)),$A:$A,0),$C146+COLUMN($E146)+1)&amp;":"&amp;ADDRESS(MATCH("END"&amp;OFFSET(AJ146,0,COLUMN($B146)-COLUMN(AJ146)),$A:$A,0),$C146+COLUMN($E146)+1),TRUE),INDIRECT(ADDRESS(ROW(AJ146),$C146+COLUMN($E146)),TRUE),INDIRECT(ADDRESS(MATCH("START"&amp;OFFSET(AJ146,0,COLUMN($B146)-COLUMN(AJ146)),$A:$A,0),COLUMN(AJ146))&amp;":"&amp;ADDRESS(MATCH("END"&amp;OFFSET(AJ146,0,COLUMN($B146)-COLUMN(AJ146)),$A:$A,0),COLUMN(AJ146)),TRUE)))))</f>
        <v>0</v>
      </c>
      <c r="AK146" s="356">
        <f t="shared" ref="AK146:AK173" ca="1" si="254">IF(OFFSET(AK146,ROW(AK$2)-ROW(AK146),0)="TT",SUMIF(INDIRECT(ADDRESS(2,COLUMN($Q146)+1) &amp; ":" &amp; ADDRESS(2,COLUMN(AK146)-1),TRUE),"TBE",INDIRECT(ADDRESS(ROW(AK146), COLUMN($Q146)+1) &amp; ":" &amp; ADDRESS(ROW(AK146),COLUMN(AK146)-1),TRUE)),IF(OFFSET(AK146,ROW(AK$2)-ROW(AK146),0)="TBE",SUMIF(INDIRECT(ADDRESS(2,MATCH(INT(OFFSET(AK146,ROW(AK$2)-ROW(AK146),-2)),$2:$2,0)) &amp; ":" &amp; ADDRESS(2,COLUMN(AK146)-1),TRUE),"T",INDIRECT(ADDRESS(ROW(AK146), MATCH(INT(OFFSET(AK146,ROW(AK$2)-ROW(AK146),-2)),$2:$2,0)) &amp; ":" &amp; ADDRESS(ROW(AK146),COLUMN(AK146)-1),TRUE)),IF(OFFSET(AK146,0,COLUMN($M146)-COLUMN(AK146))="V",OFFSET(AK146,0,-2)*OFFSET(AK146,0,-1),"TOTAL")))</f>
        <v>0</v>
      </c>
      <c r="AL146" s="353">
        <f ca="1">IF(OFFSET(AL146,ROW(AL$2)-ROW(AL146),0)="TT","TT",IF(OFFSET(AL146,0,COLUMN($M146)-COLUMN(AL146))="%",ROUND(OFFSET(AL146,-2,0)*0.07,0),IF(OFFSET(AL146,0,COLUMN($M146)-COLUMN(AL146))="V","x",SUMIF(INDIRECT(ADDRESS(MATCH("START"&amp;OFFSET(AL146,0,COLUMN($B146)-COLUMN(AL146)),$A:$A,0),$C146+COLUMN($E146)+1)&amp;":"&amp;ADDRESS(MATCH("END"&amp;OFFSET(AL146,0,COLUMN($B146)-COLUMN(AL146)),$A:$A,0),$C146+COLUMN($E146)+1),TRUE),INDIRECT(ADDRESS(ROW(AL146),$C146+COLUMN($E146)),TRUE),INDIRECT(ADDRESS(MATCH("START"&amp;OFFSET(AL146,0,COLUMN($B146)-COLUMN(AL146)),$A:$A,0),COLUMN(AL146))&amp;":"&amp;ADDRESS(MATCH("END"&amp;OFFSET(AL146,0,COLUMN($B146)-COLUMN(AL146)),$A:$A,0),COLUMN(AL146)),TRUE)))))</f>
        <v>0</v>
      </c>
      <c r="AM146" s="354"/>
      <c r="AN146" s="355">
        <f ca="1">IF(OFFSET(AN146,ROW(AN$2)-ROW(AN146),0)="TT","TT",IF(OFFSET(AN146,0,COLUMN($M146)-COLUMN(AN146))="%",ROUND((OFFSET(AN146,-2,0)-OFFSET(AN146,-21,0))*0.07,2),IF(OFFSET(AN146,0,COLUMN($M146)-COLUMN(AN146))="V",ROUND(OFFSET(AN146,0,-2)*OFFSET(AN146,0,-1),2),SUMIF(INDIRECT(ADDRESS(MATCH("START"&amp;OFFSET(AN146,0,COLUMN($B146)-COLUMN(AN146)),$A:$A,0),$C146+COLUMN($E146)+1)&amp;":"&amp;ADDRESS(MATCH("END"&amp;OFFSET(AN146,0,COLUMN($B146)-COLUMN(AN146)),$A:$A,0),$C146+COLUMN($E146)+1),TRUE),INDIRECT(ADDRESS(ROW(AN146),$C146+COLUMN($E146)),TRUE),INDIRECT(ADDRESS(MATCH("START"&amp;OFFSET(AN146,0,COLUMN($B146)-COLUMN(AN146)),$A:$A,0),COLUMN(AN146))&amp;":"&amp;ADDRESS(MATCH("END"&amp;OFFSET(AN146,0,COLUMN($B146)-COLUMN(AN146)),$A:$A,0),COLUMN(AN146)),TRUE)))))</f>
        <v>0</v>
      </c>
      <c r="AO146" s="356">
        <f t="shared" ref="AO146:AO173" ca="1" si="255">IF(OFFSET(AO146,ROW(AO$2)-ROW(AO146),0)="TT",SUMIF(INDIRECT(ADDRESS(2,COLUMN($Q146)+1) &amp; ":" &amp; ADDRESS(2,COLUMN(AO146)-1),TRUE),"TBE",INDIRECT(ADDRESS(ROW(AO146), COLUMN($Q146)+1) &amp; ":" &amp; ADDRESS(ROW(AO146),COLUMN(AO146)-1),TRUE)),IF(OFFSET(AO146,ROW(AO$2)-ROW(AO146),0)="TBE",SUMIF(INDIRECT(ADDRESS(2,MATCH(INT(OFFSET(AO146,ROW(AO$2)-ROW(AO146),-2)),$2:$2,0)) &amp; ":" &amp; ADDRESS(2,COLUMN(AO146)-1),TRUE),"T",INDIRECT(ADDRESS(ROW(AO146), MATCH(INT(OFFSET(AO146,ROW(AO$2)-ROW(AO146),-2)),$2:$2,0)) &amp; ":" &amp; ADDRESS(ROW(AO146),COLUMN(AO146)-1),TRUE)),IF(OFFSET(AO146,0,COLUMN($M146)-COLUMN(AO146))="V",OFFSET(AO146,0,-2)*OFFSET(AO146,0,-1),"TOTAL")))</f>
        <v>0</v>
      </c>
      <c r="AP146" s="353">
        <f ca="1">IF(OFFSET(AP146,ROW(AP$2)-ROW(AP146),0)="TT","TT",IF(OFFSET(AP146,0,COLUMN($M146)-COLUMN(AP146))="%",ROUND(OFFSET(AP146,-2,0)*0.07,0),IF(OFFSET(AP146,0,COLUMN($M146)-COLUMN(AP146))="V","x",SUMIF(INDIRECT(ADDRESS(MATCH("START"&amp;OFFSET(AP146,0,COLUMN($B146)-COLUMN(AP146)),$A:$A,0),$C146+COLUMN($E146)+1)&amp;":"&amp;ADDRESS(MATCH("END"&amp;OFFSET(AP146,0,COLUMN($B146)-COLUMN(AP146)),$A:$A,0),$C146+COLUMN($E146)+1),TRUE),INDIRECT(ADDRESS(ROW(AP146),$C146+COLUMN($E146)),TRUE),INDIRECT(ADDRESS(MATCH("START"&amp;OFFSET(AP146,0,COLUMN($B146)-COLUMN(AP146)),$A:$A,0),COLUMN(AP146))&amp;":"&amp;ADDRESS(MATCH("END"&amp;OFFSET(AP146,0,COLUMN($B146)-COLUMN(AP146)),$A:$A,0),COLUMN(AP146)),TRUE)))))</f>
        <v>0</v>
      </c>
      <c r="AQ146" s="354"/>
      <c r="AR146" s="355">
        <f ca="1">IF(OFFSET(AR146,ROW(AR$2)-ROW(AR146),0)="TT","TT",IF(OFFSET(AR146,0,COLUMN($M146)-COLUMN(AR146))="%",ROUND((OFFSET(AR146,-2,0)-OFFSET(AR146,-21,0))*0.07,2),IF(OFFSET(AR146,0,COLUMN($M146)-COLUMN(AR146))="V",ROUND(OFFSET(AR146,0,-2)*OFFSET(AR146,0,-1),2),SUMIF(INDIRECT(ADDRESS(MATCH("START"&amp;OFFSET(AR146,0,COLUMN($B146)-COLUMN(AR146)),$A:$A,0),$C146+COLUMN($E146)+1)&amp;":"&amp;ADDRESS(MATCH("END"&amp;OFFSET(AR146,0,COLUMN($B146)-COLUMN(AR146)),$A:$A,0),$C146+COLUMN($E146)+1),TRUE),INDIRECT(ADDRESS(ROW(AR146),$C146+COLUMN($E146)),TRUE),INDIRECT(ADDRESS(MATCH("START"&amp;OFFSET(AR146,0,COLUMN($B146)-COLUMN(AR146)),$A:$A,0),COLUMN(AR146))&amp;":"&amp;ADDRESS(MATCH("END"&amp;OFFSET(AR146,0,COLUMN($B146)-COLUMN(AR146)),$A:$A,0),COLUMN(AR146)),TRUE)))))</f>
        <v>0</v>
      </c>
      <c r="AS146" s="356">
        <f t="shared" ref="AS146:AS173" ca="1" si="256">IF(OFFSET(AS146,ROW(AS$2)-ROW(AS146),0)="TT",SUMIF(INDIRECT(ADDRESS(2,COLUMN($Q146)+1) &amp; ":" &amp; ADDRESS(2,COLUMN(AS146)-1),TRUE),"TBE",INDIRECT(ADDRESS(ROW(AS146), COLUMN($Q146)+1) &amp; ":" &amp; ADDRESS(ROW(AS146),COLUMN(AS146)-1),TRUE)),IF(OFFSET(AS146,ROW(AS$2)-ROW(AS146),0)="TBE",SUMIF(INDIRECT(ADDRESS(2,MATCH(INT(OFFSET(AS146,ROW(AS$2)-ROW(AS146),-2)),$2:$2,0)) &amp; ":" &amp; ADDRESS(2,COLUMN(AS146)-1),TRUE),"T",INDIRECT(ADDRESS(ROW(AS146), MATCH(INT(OFFSET(AS146,ROW(AS$2)-ROW(AS146),-2)),$2:$2,0)) &amp; ":" &amp; ADDRESS(ROW(AS146),COLUMN(AS146)-1),TRUE)),IF(OFFSET(AS146,0,COLUMN($M146)-COLUMN(AS146))="V",OFFSET(AS146,0,-2)*OFFSET(AS146,0,-1),"TOTAL")))</f>
        <v>0</v>
      </c>
      <c r="AT146" s="353">
        <f ca="1">IF(OFFSET(AT146,ROW(AT$2)-ROW(AT146),0)="TT","TT",IF(OFFSET(AT146,0,COLUMN($M146)-COLUMN(AT146))="%",ROUND(OFFSET(AT146,-2,0)*0.07,0),IF(OFFSET(AT146,0,COLUMN($M146)-COLUMN(AT146))="V","x",SUMIF(INDIRECT(ADDRESS(MATCH("START"&amp;OFFSET(AT146,0,COLUMN($B146)-COLUMN(AT146)),$A:$A,0),$C146+COLUMN($E146)+1)&amp;":"&amp;ADDRESS(MATCH("END"&amp;OFFSET(AT146,0,COLUMN($B146)-COLUMN(AT146)),$A:$A,0),$C146+COLUMN($E146)+1),TRUE),INDIRECT(ADDRESS(ROW(AT146),$C146+COLUMN($E146)),TRUE),INDIRECT(ADDRESS(MATCH("START"&amp;OFFSET(AT146,0,COLUMN($B146)-COLUMN(AT146)),$A:$A,0),COLUMN(AT146))&amp;":"&amp;ADDRESS(MATCH("END"&amp;OFFSET(AT146,0,COLUMN($B146)-COLUMN(AT146)),$A:$A,0),COLUMN(AT146)),TRUE)))))</f>
        <v>0</v>
      </c>
      <c r="AU146" s="354"/>
      <c r="AV146" s="355">
        <f ca="1">IF(OFFSET(AV146,ROW(AV$2)-ROW(AV146),0)="TT","TT",IF(OFFSET(AV146,0,COLUMN($M146)-COLUMN(AV146))="%",ROUND((OFFSET(AV146,-2,0)-OFFSET(AV146,-21,0))*0.07,2),IF(OFFSET(AV146,0,COLUMN($M146)-COLUMN(AV146))="V",ROUND(OFFSET(AV146,0,-2)*OFFSET(AV146,0,-1),2),SUMIF(INDIRECT(ADDRESS(MATCH("START"&amp;OFFSET(AV146,0,COLUMN($B146)-COLUMN(AV146)),$A:$A,0),$C146+COLUMN($E146)+1)&amp;":"&amp;ADDRESS(MATCH("END"&amp;OFFSET(AV146,0,COLUMN($B146)-COLUMN(AV146)),$A:$A,0),$C146+COLUMN($E146)+1),TRUE),INDIRECT(ADDRESS(ROW(AV146),$C146+COLUMN($E146)),TRUE),INDIRECT(ADDRESS(MATCH("START"&amp;OFFSET(AV146,0,COLUMN($B146)-COLUMN(AV146)),$A:$A,0),COLUMN(AV146))&amp;":"&amp;ADDRESS(MATCH("END"&amp;OFFSET(AV146,0,COLUMN($B146)-COLUMN(AV146)),$A:$A,0),COLUMN(AV146)),TRUE)))))</f>
        <v>0</v>
      </c>
      <c r="AW146" s="356">
        <f t="shared" ref="AW146:AW173" ca="1" si="257">IF(OFFSET(AW146,ROW(AW$2)-ROW(AW146),0)="TT",SUMIF(INDIRECT(ADDRESS(2,COLUMN($Q146)+1) &amp; ":" &amp; ADDRESS(2,COLUMN(AW146)-1),TRUE),"TBE",INDIRECT(ADDRESS(ROW(AW146), COLUMN($Q146)+1) &amp; ":" &amp; ADDRESS(ROW(AW146),COLUMN(AW146)-1),TRUE)),IF(OFFSET(AW146,ROW(AW$2)-ROW(AW146),0)="TBE",SUMIF(INDIRECT(ADDRESS(2,MATCH(INT(OFFSET(AW146,ROW(AW$2)-ROW(AW146),-2)),$2:$2,0)) &amp; ":" &amp; ADDRESS(2,COLUMN(AW146)-1),TRUE),"T",INDIRECT(ADDRESS(ROW(AW146), MATCH(INT(OFFSET(AW146,ROW(AW$2)-ROW(AW146),-2)),$2:$2,0)) &amp; ":" &amp; ADDRESS(ROW(AW146),COLUMN(AW146)-1),TRUE)),IF(OFFSET(AW146,0,COLUMN($M146)-COLUMN(AW146))="V",OFFSET(AW146,0,-2)*OFFSET(AW146,0,-1),"TOTAL")))</f>
        <v>0</v>
      </c>
      <c r="AX146" s="353">
        <f ca="1">IF(OFFSET(AX146,ROW(AX$2)-ROW(AX146),0)="TT","TT",IF(OFFSET(AX146,0,COLUMN($M146)-COLUMN(AX146))="%",ROUND(OFFSET(AX146,-2,0)*0.07,0),IF(OFFSET(AX146,0,COLUMN($M146)-COLUMN(AX146))="V","x",SUMIF(INDIRECT(ADDRESS(MATCH("START"&amp;OFFSET(AX146,0,COLUMN($B146)-COLUMN(AX146)),$A:$A,0),$C146+COLUMN($E146)+1)&amp;":"&amp;ADDRESS(MATCH("END"&amp;OFFSET(AX146,0,COLUMN($B146)-COLUMN(AX146)),$A:$A,0),$C146+COLUMN($E146)+1),TRUE),INDIRECT(ADDRESS(ROW(AX146),$C146+COLUMN($E146)),TRUE),INDIRECT(ADDRESS(MATCH("START"&amp;OFFSET(AX146,0,COLUMN($B146)-COLUMN(AX146)),$A:$A,0),COLUMN(AX146))&amp;":"&amp;ADDRESS(MATCH("END"&amp;OFFSET(AX146,0,COLUMN($B146)-COLUMN(AX146)),$A:$A,0),COLUMN(AX146)),TRUE)))))</f>
        <v>0</v>
      </c>
      <c r="AY146" s="354"/>
      <c r="AZ146" s="355">
        <f ca="1">IF(OFFSET(AZ146,ROW(AZ$2)-ROW(AZ146),0)="TT","TT",IF(OFFSET(AZ146,0,COLUMN($M146)-COLUMN(AZ146))="%",ROUND((OFFSET(AZ146,-2,0)-OFFSET(AZ146,-21,0))*0.07,2),IF(OFFSET(AZ146,0,COLUMN($M146)-COLUMN(AZ146))="V",ROUND(OFFSET(AZ146,0,-2)*OFFSET(AZ146,0,-1),2),SUMIF(INDIRECT(ADDRESS(MATCH("START"&amp;OFFSET(AZ146,0,COLUMN($B146)-COLUMN(AZ146)),$A:$A,0),$C146+COLUMN($E146)+1)&amp;":"&amp;ADDRESS(MATCH("END"&amp;OFFSET(AZ146,0,COLUMN($B146)-COLUMN(AZ146)),$A:$A,0),$C146+COLUMN($E146)+1),TRUE),INDIRECT(ADDRESS(ROW(AZ146),$C146+COLUMN($E146)),TRUE),INDIRECT(ADDRESS(MATCH("START"&amp;OFFSET(AZ146,0,COLUMN($B146)-COLUMN(AZ146)),$A:$A,0),COLUMN(AZ146))&amp;":"&amp;ADDRESS(MATCH("END"&amp;OFFSET(AZ146,0,COLUMN($B146)-COLUMN(AZ146)),$A:$A,0),COLUMN(AZ146)),TRUE)))))</f>
        <v>0</v>
      </c>
      <c r="BA146" s="356">
        <f t="shared" ref="BA146:BA173" ca="1" si="258">IF(OFFSET(BA146,ROW(BA$2)-ROW(BA146),0)="TT",SUMIF(INDIRECT(ADDRESS(2,COLUMN($Q146)+1) &amp; ":" &amp; ADDRESS(2,COLUMN(BA146)-1),TRUE),"TBE",INDIRECT(ADDRESS(ROW(BA146), COLUMN($Q146)+1) &amp; ":" &amp; ADDRESS(ROW(BA146),COLUMN(BA146)-1),TRUE)),IF(OFFSET(BA146,ROW(BA$2)-ROW(BA146),0)="TBE",SUMIF(INDIRECT(ADDRESS(2,MATCH(INT(OFFSET(BA146,ROW(BA$2)-ROW(BA146),-2)),$2:$2,0)) &amp; ":" &amp; ADDRESS(2,COLUMN(BA146)-1),TRUE),"T",INDIRECT(ADDRESS(ROW(BA146), MATCH(INT(OFFSET(BA146,ROW(BA$2)-ROW(BA146),-2)),$2:$2,0)) &amp; ":" &amp; ADDRESS(ROW(BA146),COLUMN(BA146)-1),TRUE)),IF(OFFSET(BA146,0,COLUMN($M146)-COLUMN(BA146))="V",OFFSET(BA146,0,-2)*OFFSET(BA146,0,-1),"TOTAL")))</f>
        <v>0</v>
      </c>
      <c r="BB146" s="353">
        <f ca="1">IF(OFFSET(BB146,ROW(BB$2)-ROW(BB146),0)="TT","TT",IF(OFFSET(BB146,0,COLUMN($M146)-COLUMN(BB146))="%",ROUND(OFFSET(BB146,-2,0)*0.07,0),IF(OFFSET(BB146,0,COLUMN($M146)-COLUMN(BB146))="V","x",SUMIF(INDIRECT(ADDRESS(MATCH("START"&amp;OFFSET(BB146,0,COLUMN($B146)-COLUMN(BB146)),$A:$A,0),$C146+COLUMN($E146)+1)&amp;":"&amp;ADDRESS(MATCH("END"&amp;OFFSET(BB146,0,COLUMN($B146)-COLUMN(BB146)),$A:$A,0),$C146+COLUMN($E146)+1),TRUE),INDIRECT(ADDRESS(ROW(BB146),$C146+COLUMN($E146)),TRUE),INDIRECT(ADDRESS(MATCH("START"&amp;OFFSET(BB146,0,COLUMN($B146)-COLUMN(BB146)),$A:$A,0),COLUMN(BB146))&amp;":"&amp;ADDRESS(MATCH("END"&amp;OFFSET(BB146,0,COLUMN($B146)-COLUMN(BB146)),$A:$A,0),COLUMN(BB146)),TRUE)))))</f>
        <v>0</v>
      </c>
      <c r="BC146" s="354"/>
      <c r="BD146" s="355">
        <f ca="1">IF(OFFSET(BD146,ROW(BD$2)-ROW(BD146),0)="TT","TT",IF(OFFSET(BD146,0,COLUMN($M146)-COLUMN(BD146))="%",ROUND((OFFSET(BD146,-2,0)-OFFSET(BD146,-21,0))*0.07,2),IF(OFFSET(BD146,0,COLUMN($M146)-COLUMN(BD146))="V",ROUND(OFFSET(BD146,0,-2)*OFFSET(BD146,0,-1),2),SUMIF(INDIRECT(ADDRESS(MATCH("START"&amp;OFFSET(BD146,0,COLUMN($B146)-COLUMN(BD146)),$A:$A,0),$C146+COLUMN($E146)+1)&amp;":"&amp;ADDRESS(MATCH("END"&amp;OFFSET(BD146,0,COLUMN($B146)-COLUMN(BD146)),$A:$A,0),$C146+COLUMN($E146)+1),TRUE),INDIRECT(ADDRESS(ROW(BD146),$C146+COLUMN($E146)),TRUE),INDIRECT(ADDRESS(MATCH("START"&amp;OFFSET(BD146,0,COLUMN($B146)-COLUMN(BD146)),$A:$A,0),COLUMN(BD146))&amp;":"&amp;ADDRESS(MATCH("END"&amp;OFFSET(BD146,0,COLUMN($B146)-COLUMN(BD146)),$A:$A,0),COLUMN(BD146)),TRUE)))))</f>
        <v>0</v>
      </c>
      <c r="BE146" s="356">
        <f t="shared" ref="BE146:BE173" ca="1" si="259">IF(OFFSET(BE146,ROW(BE$2)-ROW(BE146),0)="TT",SUMIF(INDIRECT(ADDRESS(2,COLUMN($Q146)+1) &amp; ":" &amp; ADDRESS(2,COLUMN(BE146)-1),TRUE),"TBE",INDIRECT(ADDRESS(ROW(BE146), COLUMN($Q146)+1) &amp; ":" &amp; ADDRESS(ROW(BE146),COLUMN(BE146)-1),TRUE)),IF(OFFSET(BE146,ROW(BE$2)-ROW(BE146),0)="TBE",SUMIF(INDIRECT(ADDRESS(2,MATCH(INT(OFFSET(BE146,ROW(BE$2)-ROW(BE146),-2)),$2:$2,0)) &amp; ":" &amp; ADDRESS(2,COLUMN(BE146)-1),TRUE),"T",INDIRECT(ADDRESS(ROW(BE146), MATCH(INT(OFFSET(BE146,ROW(BE$2)-ROW(BE146),-2)),$2:$2,0)) &amp; ":" &amp; ADDRESS(ROW(BE146),COLUMN(BE146)-1),TRUE)),IF(OFFSET(BE146,0,COLUMN($M146)-COLUMN(BE146))="V",OFFSET(BE146,0,-2)*OFFSET(BE146,0,-1),"TOTAL")))</f>
        <v>0</v>
      </c>
      <c r="BF146" s="353">
        <f ca="1">IF(OFFSET(BF146,ROW(BF$2)-ROW(BF146),0)="TT","TT",IF(OFFSET(BF146,0,COLUMN($M146)-COLUMN(BF146))="%",ROUND(OFFSET(BF146,-2,0)*0.07,0),IF(OFFSET(BF146,0,COLUMN($M146)-COLUMN(BF146))="V","x",SUMIF(INDIRECT(ADDRESS(MATCH("START"&amp;OFFSET(BF146,0,COLUMN($B146)-COLUMN(BF146)),$A:$A,0),$C146+COLUMN($E146)+1)&amp;":"&amp;ADDRESS(MATCH("END"&amp;OFFSET(BF146,0,COLUMN($B146)-COLUMN(BF146)),$A:$A,0),$C146+COLUMN($E146)+1),TRUE),INDIRECT(ADDRESS(ROW(BF146),$C146+COLUMN($E146)),TRUE),INDIRECT(ADDRESS(MATCH("START"&amp;OFFSET(BF146,0,COLUMN($B146)-COLUMN(BF146)),$A:$A,0),COLUMN(BF146))&amp;":"&amp;ADDRESS(MATCH("END"&amp;OFFSET(BF146,0,COLUMN($B146)-COLUMN(BF146)),$A:$A,0),COLUMN(BF146)),TRUE)))))</f>
        <v>0</v>
      </c>
      <c r="BG146" s="354"/>
      <c r="BH146" s="355">
        <f ca="1">IF(OFFSET(BH146,ROW(BH$2)-ROW(BH146),0)="TT","TT",IF(OFFSET(BH146,0,COLUMN($M146)-COLUMN(BH146))="%",ROUND((OFFSET(BH146,-2,0)-OFFSET(BH146,-21,0))*0.07,2),IF(OFFSET(BH146,0,COLUMN($M146)-COLUMN(BH146))="V",ROUND(OFFSET(BH146,0,-2)*OFFSET(BH146,0,-1),2),SUMIF(INDIRECT(ADDRESS(MATCH("START"&amp;OFFSET(BH146,0,COLUMN($B146)-COLUMN(BH146)),$A:$A,0),$C146+COLUMN($E146)+1)&amp;":"&amp;ADDRESS(MATCH("END"&amp;OFFSET(BH146,0,COLUMN($B146)-COLUMN(BH146)),$A:$A,0),$C146+COLUMN($E146)+1),TRUE),INDIRECT(ADDRESS(ROW(BH146),$C146+COLUMN($E146)),TRUE),INDIRECT(ADDRESS(MATCH("START"&amp;OFFSET(BH146,0,COLUMN($B146)-COLUMN(BH146)),$A:$A,0),COLUMN(BH146))&amp;":"&amp;ADDRESS(MATCH("END"&amp;OFFSET(BH146,0,COLUMN($B146)-COLUMN(BH146)),$A:$A,0),COLUMN(BH146)),TRUE)))))</f>
        <v>0</v>
      </c>
      <c r="BI146" s="356">
        <f t="shared" ref="BI146:BI173" ca="1" si="260">IF(OFFSET(BI146,ROW(BI$2)-ROW(BI146),0)="TT",SUMIF(INDIRECT(ADDRESS(2,COLUMN($Q146)+1) &amp; ":" &amp; ADDRESS(2,COLUMN(BI146)-1),TRUE),"TBE",INDIRECT(ADDRESS(ROW(BI146), COLUMN($Q146)+1) &amp; ":" &amp; ADDRESS(ROW(BI146),COLUMN(BI146)-1),TRUE)),IF(OFFSET(BI146,ROW(BI$2)-ROW(BI146),0)="TBE",SUMIF(INDIRECT(ADDRESS(2,MATCH(INT(OFFSET(BI146,ROW(BI$2)-ROW(BI146),-2)),$2:$2,0)) &amp; ":" &amp; ADDRESS(2,COLUMN(BI146)-1),TRUE),"T",INDIRECT(ADDRESS(ROW(BI146), MATCH(INT(OFFSET(BI146,ROW(BI$2)-ROW(BI146),-2)),$2:$2,0)) &amp; ":" &amp; ADDRESS(ROW(BI146),COLUMN(BI146)-1),TRUE)),IF(OFFSET(BI146,0,COLUMN($M146)-COLUMN(BI146))="V",OFFSET(BI146,0,-2)*OFFSET(BI146,0,-1),"TOTAL")))</f>
        <v>0</v>
      </c>
      <c r="BJ146" s="353">
        <f ca="1">IF(OFFSET(BJ146,ROW(BJ$2)-ROW(BJ146),0)="TT","TT",IF(OFFSET(BJ146,0,COLUMN($M146)-COLUMN(BJ146))="%",ROUND(OFFSET(BJ146,-2,0)*0.07,0),IF(OFFSET(BJ146,0,COLUMN($M146)-COLUMN(BJ146))="V","x",SUMIF(INDIRECT(ADDRESS(MATCH("START"&amp;OFFSET(BJ146,0,COLUMN($B146)-COLUMN(BJ146)),$A:$A,0),$C146+COLUMN($E146)+1)&amp;":"&amp;ADDRESS(MATCH("END"&amp;OFFSET(BJ146,0,COLUMN($B146)-COLUMN(BJ146)),$A:$A,0),$C146+COLUMN($E146)+1),TRUE),INDIRECT(ADDRESS(ROW(BJ146),$C146+COLUMN($E146)),TRUE),INDIRECT(ADDRESS(MATCH("START"&amp;OFFSET(BJ146,0,COLUMN($B146)-COLUMN(BJ146)),$A:$A,0),COLUMN(BJ146))&amp;":"&amp;ADDRESS(MATCH("END"&amp;OFFSET(BJ146,0,COLUMN($B146)-COLUMN(BJ146)),$A:$A,0),COLUMN(BJ146)),TRUE)))))</f>
        <v>0</v>
      </c>
      <c r="BK146" s="354"/>
      <c r="BL146" s="355">
        <f ca="1">IF(OFFSET(BL146,ROW(BL$2)-ROW(BL146),0)="TT","TT",IF(OFFSET(BL146,0,COLUMN($M146)-COLUMN(BL146))="%",ROUND((OFFSET(BL146,-2,0)-OFFSET(BL146,-21,0))*0.07,2),IF(OFFSET(BL146,0,COLUMN($M146)-COLUMN(BL146))="V",ROUND(OFFSET(BL146,0,-2)*OFFSET(BL146,0,-1),2),SUMIF(INDIRECT(ADDRESS(MATCH("START"&amp;OFFSET(BL146,0,COLUMN($B146)-COLUMN(BL146)),$A:$A,0),$C146+COLUMN($E146)+1)&amp;":"&amp;ADDRESS(MATCH("END"&amp;OFFSET(BL146,0,COLUMN($B146)-COLUMN(BL146)),$A:$A,0),$C146+COLUMN($E146)+1),TRUE),INDIRECT(ADDRESS(ROW(BL146),$C146+COLUMN($E146)),TRUE),INDIRECT(ADDRESS(MATCH("START"&amp;OFFSET(BL146,0,COLUMN($B146)-COLUMN(BL146)),$A:$A,0),COLUMN(BL146))&amp;":"&amp;ADDRESS(MATCH("END"&amp;OFFSET(BL146,0,COLUMN($B146)-COLUMN(BL146)),$A:$A,0),COLUMN(BL146)),TRUE)))))</f>
        <v>0</v>
      </c>
      <c r="BM146" s="356">
        <f t="shared" ref="BM146:BN173" ca="1" si="261">IF(OFFSET(BM146,ROW(BM$2)-ROW(BM146),0)="TT",SUMIF(INDIRECT(ADDRESS(2,COLUMN($Q146)+1) &amp; ":" &amp; ADDRESS(2,COLUMN(BM146)-1),TRUE),"TBE",INDIRECT(ADDRESS(ROW(BM146), COLUMN($Q146)+1) &amp; ":" &amp; ADDRESS(ROW(BM146),COLUMN(BM146)-1),TRUE)),IF(OFFSET(BM146,ROW(BM$2)-ROW(BM146),0)="TBE",SUMIF(INDIRECT(ADDRESS(2,MATCH(INT(OFFSET(BM146,ROW(BM$2)-ROW(BM146),-2)),$2:$2,0)) &amp; ":" &amp; ADDRESS(2,COLUMN(BM146)-1),TRUE),"T",INDIRECT(ADDRESS(ROW(BM146), MATCH(INT(OFFSET(BM146,ROW(BM$2)-ROW(BM146),-2)),$2:$2,0)) &amp; ":" &amp; ADDRESS(ROW(BM146),COLUMN(BM146)-1),TRUE)),IF(OFFSET(BM146,0,COLUMN($M146)-COLUMN(BM146))="V",OFFSET(BM146,0,-2)*OFFSET(BM146,0,-1),"TOTAL")))</f>
        <v>0</v>
      </c>
      <c r="BN146" s="356">
        <f t="shared" ca="1" si="261"/>
        <v>0</v>
      </c>
    </row>
    <row r="147" spans="1:68">
      <c r="A147" s="221" t="str">
        <f t="shared" ca="1" si="248"/>
        <v>WP005</v>
      </c>
      <c r="B147" s="221" t="str">
        <f t="shared" ca="1" si="249"/>
        <v>WP005</v>
      </c>
      <c r="C147" s="221">
        <v>6</v>
      </c>
      <c r="D147" s="221" t="s">
        <v>76</v>
      </c>
      <c r="J147" s="222" t="s">
        <v>75</v>
      </c>
      <c r="K147" s="221" t="s">
        <v>77</v>
      </c>
      <c r="M147" s="221" t="s">
        <v>46</v>
      </c>
      <c r="N147" s="461"/>
      <c r="O147" s="245"/>
      <c r="P147" s="464" t="s">
        <v>78</v>
      </c>
      <c r="Q147" s="465"/>
      <c r="R147" s="357">
        <f ca="1">IF(OFFSET(R147,ROW(R$2)-ROW(R147),0)="TT","TT",IF(OFFSET(R147,0,COLUMN($M147)-COLUMN(R147))="%",ROUND(OFFSET(R147,-2,0)*0.07,0),IF(OFFSET(R147,0,COLUMN($M147)-COLUMN(R147))="V","x",SUMIF(INDIRECT(ADDRESS(MATCH("START"&amp;OFFSET(R147,0,COLUMN($B147)-COLUMN(R147)),$A:$A,0),$C147+COLUMN($E147)+1)&amp;":"&amp;ADDRESS(MATCH("END"&amp;OFFSET(R147,0,COLUMN($B147)-COLUMN(R147)),$A:$A,0),$C147+COLUMN($E147)+1),TRUE),INDIRECT(ADDRESS(ROW(R147),$C147+COLUMN($E147)),TRUE),INDIRECT(ADDRESS(MATCH("START"&amp;OFFSET(R147,0,COLUMN($B147)-COLUMN(R147)),$A:$A,0),COLUMN(R147))&amp;":"&amp;ADDRESS(MATCH("END"&amp;OFFSET(R147,0,COLUMN($B147)-COLUMN(R147)),$A:$A,0),COLUMN(R147)),TRUE)))))</f>
        <v>0</v>
      </c>
      <c r="S147" s="358"/>
      <c r="T147" s="359">
        <f t="shared" ref="T147:T177" ca="1" si="262">IF(OFFSET(T147,ROW(T$2)-ROW(T147),0)="TT","TT",IF(OFFSET(T147,0,COLUMN($M147)-COLUMN(T147))="%",ROUND((OFFSET(T147,-2,0)-OFFSET(T147,-21,0))*0.07,2),IF(OFFSET(T147,0,COLUMN($M147)-COLUMN(T147))="V",ROUND(OFFSET(T147,0,-2)*OFFSET(T147,0,-1),2),SUMIF(INDIRECT(ADDRESS(MATCH("START"&amp;OFFSET(T147,0,COLUMN($B147)-COLUMN(T147)),$A:$A,0),$C147+COLUMN($E147)+1)&amp;":"&amp;ADDRESS(MATCH("END"&amp;OFFSET(T147,0,COLUMN($B147)-COLUMN(T147)),$A:$A,0),$C147+COLUMN($E147)+1),TRUE),INDIRECT(ADDRESS(ROW(T147),$C147+COLUMN($E147)),TRUE),INDIRECT(ADDRESS(MATCH("START"&amp;OFFSET(T147,0,COLUMN($B147)-COLUMN(T147)),$A:$A,0),COLUMN(T147))&amp;":"&amp;ADDRESS(MATCH("END"&amp;OFFSET(T147,0,COLUMN($B147)-COLUMN(T147)),$A:$A,0),COLUMN(T147)),TRUE)))))</f>
        <v>0</v>
      </c>
      <c r="U147" s="360">
        <f t="shared" ca="1" si="250"/>
        <v>0</v>
      </c>
      <c r="V147" s="357">
        <f ca="1">IF(OFFSET(V147,ROW(V$2)-ROW(V147),0)="TT","TT",IF(OFFSET(V147,0,COLUMN($M147)-COLUMN(V147))="%",ROUND(OFFSET(V147,-2,0)*0.07,0),IF(OFFSET(V147,0,COLUMN($M147)-COLUMN(V147))="V","x",SUMIF(INDIRECT(ADDRESS(MATCH("START"&amp;OFFSET(V147,0,COLUMN($B147)-COLUMN(V147)),$A:$A,0),$C147+COLUMN($E147)+1)&amp;":"&amp;ADDRESS(MATCH("END"&amp;OFFSET(V147,0,COLUMN($B147)-COLUMN(V147)),$A:$A,0),$C147+COLUMN($E147)+1),TRUE),INDIRECT(ADDRESS(ROW(V147),$C147+COLUMN($E147)),TRUE),INDIRECT(ADDRESS(MATCH("START"&amp;OFFSET(V147,0,COLUMN($B147)-COLUMN(V147)),$A:$A,0),COLUMN(V147))&amp;":"&amp;ADDRESS(MATCH("END"&amp;OFFSET(V147,0,COLUMN($B147)-COLUMN(V147)),$A:$A,0),COLUMN(V147)),TRUE)))))</f>
        <v>0</v>
      </c>
      <c r="W147" s="358"/>
      <c r="X147" s="359">
        <f t="shared" ref="X147:X177" ca="1" si="263">IF(OFFSET(X147,ROW(X$2)-ROW(X147),0)="TT","TT",IF(OFFSET(X147,0,COLUMN($M147)-COLUMN(X147))="%",ROUND((OFFSET(X147,-2,0)-OFFSET(X147,-21,0))*0.07,2),IF(OFFSET(X147,0,COLUMN($M147)-COLUMN(X147))="V",ROUND(OFFSET(X147,0,-2)*OFFSET(X147,0,-1),2),SUMIF(INDIRECT(ADDRESS(MATCH("START"&amp;OFFSET(X147,0,COLUMN($B147)-COLUMN(X147)),$A:$A,0),$C147+COLUMN($E147)+1)&amp;":"&amp;ADDRESS(MATCH("END"&amp;OFFSET(X147,0,COLUMN($B147)-COLUMN(X147)),$A:$A,0),$C147+COLUMN($E147)+1),TRUE),INDIRECT(ADDRESS(ROW(X147),$C147+COLUMN($E147)),TRUE),INDIRECT(ADDRESS(MATCH("START"&amp;OFFSET(X147,0,COLUMN($B147)-COLUMN(X147)),$A:$A,0),COLUMN(X147))&amp;":"&amp;ADDRESS(MATCH("END"&amp;OFFSET(X147,0,COLUMN($B147)-COLUMN(X147)),$A:$A,0),COLUMN(X147)),TRUE)))))</f>
        <v>0</v>
      </c>
      <c r="Y147" s="360">
        <f t="shared" ca="1" si="251"/>
        <v>0</v>
      </c>
      <c r="Z147" s="357">
        <f ca="1">IF(OFFSET(Z147,ROW(Z$2)-ROW(Z147),0)="TT","TT",IF(OFFSET(Z147,0,COLUMN($M147)-COLUMN(Z147))="%",ROUND(OFFSET(Z147,-2,0)*0.07,0),IF(OFFSET(Z147,0,COLUMN($M147)-COLUMN(Z147))="V","x",SUMIF(INDIRECT(ADDRESS(MATCH("START"&amp;OFFSET(Z147,0,COLUMN($B147)-COLUMN(Z147)),$A:$A,0),$C147+COLUMN($E147)+1)&amp;":"&amp;ADDRESS(MATCH("END"&amp;OFFSET(Z147,0,COLUMN($B147)-COLUMN(Z147)),$A:$A,0),$C147+COLUMN($E147)+1),TRUE),INDIRECT(ADDRESS(ROW(Z147),$C147+COLUMN($E147)),TRUE),INDIRECT(ADDRESS(MATCH("START"&amp;OFFSET(Z147,0,COLUMN($B147)-COLUMN(Z147)),$A:$A,0),COLUMN(Z147))&amp;":"&amp;ADDRESS(MATCH("END"&amp;OFFSET(Z147,0,COLUMN($B147)-COLUMN(Z147)),$A:$A,0),COLUMN(Z147)),TRUE)))))</f>
        <v>0</v>
      </c>
      <c r="AA147" s="358"/>
      <c r="AB147" s="359">
        <f t="shared" ref="AB147:AB177" ca="1" si="264">IF(OFFSET(AB147,ROW(AB$2)-ROW(AB147),0)="TT","TT",IF(OFFSET(AB147,0,COLUMN($M147)-COLUMN(AB147))="%",ROUND((OFFSET(AB147,-2,0)-OFFSET(AB147,-21,0))*0.07,2),IF(OFFSET(AB147,0,COLUMN($M147)-COLUMN(AB147))="V",ROUND(OFFSET(AB147,0,-2)*OFFSET(AB147,0,-1),2),SUMIF(INDIRECT(ADDRESS(MATCH("START"&amp;OFFSET(AB147,0,COLUMN($B147)-COLUMN(AB147)),$A:$A,0),$C147+COLUMN($E147)+1)&amp;":"&amp;ADDRESS(MATCH("END"&amp;OFFSET(AB147,0,COLUMN($B147)-COLUMN(AB147)),$A:$A,0),$C147+COLUMN($E147)+1),TRUE),INDIRECT(ADDRESS(ROW(AB147),$C147+COLUMN($E147)),TRUE),INDIRECT(ADDRESS(MATCH("START"&amp;OFFSET(AB147,0,COLUMN($B147)-COLUMN(AB147)),$A:$A,0),COLUMN(AB147))&amp;":"&amp;ADDRESS(MATCH("END"&amp;OFFSET(AB147,0,COLUMN($B147)-COLUMN(AB147)),$A:$A,0),COLUMN(AB147)),TRUE)))))</f>
        <v>0</v>
      </c>
      <c r="AC147" s="360">
        <f t="shared" ca="1" si="252"/>
        <v>0</v>
      </c>
      <c r="AD147" s="357">
        <f ca="1">IF(OFFSET(AD147,ROW(AD$2)-ROW(AD147),0)="TT","TT",IF(OFFSET(AD147,0,COLUMN($M147)-COLUMN(AD147))="%",ROUND(OFFSET(AD147,-2,0)*0.07,0),IF(OFFSET(AD147,0,COLUMN($M147)-COLUMN(AD147))="V","x",SUMIF(INDIRECT(ADDRESS(MATCH("START"&amp;OFFSET(AD147,0,COLUMN($B147)-COLUMN(AD147)),$A:$A,0),$C147+COLUMN($E147)+1)&amp;":"&amp;ADDRESS(MATCH("END"&amp;OFFSET(AD147,0,COLUMN($B147)-COLUMN(AD147)),$A:$A,0),$C147+COLUMN($E147)+1),TRUE),INDIRECT(ADDRESS(ROW(AD147),$C147+COLUMN($E147)),TRUE),INDIRECT(ADDRESS(MATCH("START"&amp;OFFSET(AD147,0,COLUMN($B147)-COLUMN(AD147)),$A:$A,0),COLUMN(AD147))&amp;":"&amp;ADDRESS(MATCH("END"&amp;OFFSET(AD147,0,COLUMN($B147)-COLUMN(AD147)),$A:$A,0),COLUMN(AD147)),TRUE)))))</f>
        <v>0</v>
      </c>
      <c r="AE147" s="358"/>
      <c r="AF147" s="359">
        <f t="shared" ref="AF147:AF177" ca="1" si="265">IF(OFFSET(AF147,ROW(AF$2)-ROW(AF147),0)="TT","TT",IF(OFFSET(AF147,0,COLUMN($M147)-COLUMN(AF147))="%",ROUND((OFFSET(AF147,-2,0)-OFFSET(AF147,-21,0))*0.07,2),IF(OFFSET(AF147,0,COLUMN($M147)-COLUMN(AF147))="V",ROUND(OFFSET(AF147,0,-2)*OFFSET(AF147,0,-1),2),SUMIF(INDIRECT(ADDRESS(MATCH("START"&amp;OFFSET(AF147,0,COLUMN($B147)-COLUMN(AF147)),$A:$A,0),$C147+COLUMN($E147)+1)&amp;":"&amp;ADDRESS(MATCH("END"&amp;OFFSET(AF147,0,COLUMN($B147)-COLUMN(AF147)),$A:$A,0),$C147+COLUMN($E147)+1),TRUE),INDIRECT(ADDRESS(ROW(AF147),$C147+COLUMN($E147)),TRUE),INDIRECT(ADDRESS(MATCH("START"&amp;OFFSET(AF147,0,COLUMN($B147)-COLUMN(AF147)),$A:$A,0),COLUMN(AF147))&amp;":"&amp;ADDRESS(MATCH("END"&amp;OFFSET(AF147,0,COLUMN($B147)-COLUMN(AF147)),$A:$A,0),COLUMN(AF147)),TRUE)))))</f>
        <v>0</v>
      </c>
      <c r="AG147" s="360">
        <f t="shared" ca="1" si="253"/>
        <v>0</v>
      </c>
      <c r="AH147" s="357">
        <f ca="1">IF(OFFSET(AH147,ROW(AH$2)-ROW(AH147),0)="TT","TT",IF(OFFSET(AH147,0,COLUMN($M147)-COLUMN(AH147))="%",ROUND(OFFSET(AH147,-2,0)*0.07,0),IF(OFFSET(AH147,0,COLUMN($M147)-COLUMN(AH147))="V","x",SUMIF(INDIRECT(ADDRESS(MATCH("START"&amp;OFFSET(AH147,0,COLUMN($B147)-COLUMN(AH147)),$A:$A,0),$C147+COLUMN($E147)+1)&amp;":"&amp;ADDRESS(MATCH("END"&amp;OFFSET(AH147,0,COLUMN($B147)-COLUMN(AH147)),$A:$A,0),$C147+COLUMN($E147)+1),TRUE),INDIRECT(ADDRESS(ROW(AH147),$C147+COLUMN($E147)),TRUE),INDIRECT(ADDRESS(MATCH("START"&amp;OFFSET(AH147,0,COLUMN($B147)-COLUMN(AH147)),$A:$A,0),COLUMN(AH147))&amp;":"&amp;ADDRESS(MATCH("END"&amp;OFFSET(AH147,0,COLUMN($B147)-COLUMN(AH147)),$A:$A,0),COLUMN(AH147)),TRUE)))))</f>
        <v>0</v>
      </c>
      <c r="AI147" s="358"/>
      <c r="AJ147" s="359">
        <f t="shared" ref="AJ147:AJ177" ca="1" si="266">IF(OFFSET(AJ147,ROW(AJ$2)-ROW(AJ147),0)="TT","TT",IF(OFFSET(AJ147,0,COLUMN($M147)-COLUMN(AJ147))="%",ROUND((OFFSET(AJ147,-2,0)-OFFSET(AJ147,-21,0))*0.07,2),IF(OFFSET(AJ147,0,COLUMN($M147)-COLUMN(AJ147))="V",ROUND(OFFSET(AJ147,0,-2)*OFFSET(AJ147,0,-1),2),SUMIF(INDIRECT(ADDRESS(MATCH("START"&amp;OFFSET(AJ147,0,COLUMN($B147)-COLUMN(AJ147)),$A:$A,0),$C147+COLUMN($E147)+1)&amp;":"&amp;ADDRESS(MATCH("END"&amp;OFFSET(AJ147,0,COLUMN($B147)-COLUMN(AJ147)),$A:$A,0),$C147+COLUMN($E147)+1),TRUE),INDIRECT(ADDRESS(ROW(AJ147),$C147+COLUMN($E147)),TRUE),INDIRECT(ADDRESS(MATCH("START"&amp;OFFSET(AJ147,0,COLUMN($B147)-COLUMN(AJ147)),$A:$A,0),COLUMN(AJ147))&amp;":"&amp;ADDRESS(MATCH("END"&amp;OFFSET(AJ147,0,COLUMN($B147)-COLUMN(AJ147)),$A:$A,0),COLUMN(AJ147)),TRUE)))))</f>
        <v>0</v>
      </c>
      <c r="AK147" s="360">
        <f t="shared" ca="1" si="254"/>
        <v>0</v>
      </c>
      <c r="AL147" s="357">
        <f ca="1">IF(OFFSET(AL147,ROW(AL$2)-ROW(AL147),0)="TT","TT",IF(OFFSET(AL147,0,COLUMN($M147)-COLUMN(AL147))="%",ROUND(OFFSET(AL147,-2,0)*0.07,0),IF(OFFSET(AL147,0,COLUMN($M147)-COLUMN(AL147))="V","x",SUMIF(INDIRECT(ADDRESS(MATCH("START"&amp;OFFSET(AL147,0,COLUMN($B147)-COLUMN(AL147)),$A:$A,0),$C147+COLUMN($E147)+1)&amp;":"&amp;ADDRESS(MATCH("END"&amp;OFFSET(AL147,0,COLUMN($B147)-COLUMN(AL147)),$A:$A,0),$C147+COLUMN($E147)+1),TRUE),INDIRECT(ADDRESS(ROW(AL147),$C147+COLUMN($E147)),TRUE),INDIRECT(ADDRESS(MATCH("START"&amp;OFFSET(AL147,0,COLUMN($B147)-COLUMN(AL147)),$A:$A,0),COLUMN(AL147))&amp;":"&amp;ADDRESS(MATCH("END"&amp;OFFSET(AL147,0,COLUMN($B147)-COLUMN(AL147)),$A:$A,0),COLUMN(AL147)),TRUE)))))</f>
        <v>0</v>
      </c>
      <c r="AM147" s="358"/>
      <c r="AN147" s="359">
        <f t="shared" ref="AN147:AN177" ca="1" si="267">IF(OFFSET(AN147,ROW(AN$2)-ROW(AN147),0)="TT","TT",IF(OFFSET(AN147,0,COLUMN($M147)-COLUMN(AN147))="%",ROUND((OFFSET(AN147,-2,0)-OFFSET(AN147,-21,0))*0.07,2),IF(OFFSET(AN147,0,COLUMN($M147)-COLUMN(AN147))="V",ROUND(OFFSET(AN147,0,-2)*OFFSET(AN147,0,-1),2),SUMIF(INDIRECT(ADDRESS(MATCH("START"&amp;OFFSET(AN147,0,COLUMN($B147)-COLUMN(AN147)),$A:$A,0),$C147+COLUMN($E147)+1)&amp;":"&amp;ADDRESS(MATCH("END"&amp;OFFSET(AN147,0,COLUMN($B147)-COLUMN(AN147)),$A:$A,0),$C147+COLUMN($E147)+1),TRUE),INDIRECT(ADDRESS(ROW(AN147),$C147+COLUMN($E147)),TRUE),INDIRECT(ADDRESS(MATCH("START"&amp;OFFSET(AN147,0,COLUMN($B147)-COLUMN(AN147)),$A:$A,0),COLUMN(AN147))&amp;":"&amp;ADDRESS(MATCH("END"&amp;OFFSET(AN147,0,COLUMN($B147)-COLUMN(AN147)),$A:$A,0),COLUMN(AN147)),TRUE)))))</f>
        <v>0</v>
      </c>
      <c r="AO147" s="360">
        <f t="shared" ca="1" si="255"/>
        <v>0</v>
      </c>
      <c r="AP147" s="357">
        <f ca="1">IF(OFFSET(AP147,ROW(AP$2)-ROW(AP147),0)="TT","TT",IF(OFFSET(AP147,0,COLUMN($M147)-COLUMN(AP147))="%",ROUND(OFFSET(AP147,-2,0)*0.07,0),IF(OFFSET(AP147,0,COLUMN($M147)-COLUMN(AP147))="V","x",SUMIF(INDIRECT(ADDRESS(MATCH("START"&amp;OFFSET(AP147,0,COLUMN($B147)-COLUMN(AP147)),$A:$A,0),$C147+COLUMN($E147)+1)&amp;":"&amp;ADDRESS(MATCH("END"&amp;OFFSET(AP147,0,COLUMN($B147)-COLUMN(AP147)),$A:$A,0),$C147+COLUMN($E147)+1),TRUE),INDIRECT(ADDRESS(ROW(AP147),$C147+COLUMN($E147)),TRUE),INDIRECT(ADDRESS(MATCH("START"&amp;OFFSET(AP147,0,COLUMN($B147)-COLUMN(AP147)),$A:$A,0),COLUMN(AP147))&amp;":"&amp;ADDRESS(MATCH("END"&amp;OFFSET(AP147,0,COLUMN($B147)-COLUMN(AP147)),$A:$A,0),COLUMN(AP147)),TRUE)))))</f>
        <v>0</v>
      </c>
      <c r="AQ147" s="358"/>
      <c r="AR147" s="359">
        <f t="shared" ref="AR147:AR177" ca="1" si="268">IF(OFFSET(AR147,ROW(AR$2)-ROW(AR147),0)="TT","TT",IF(OFFSET(AR147,0,COLUMN($M147)-COLUMN(AR147))="%",ROUND((OFFSET(AR147,-2,0)-OFFSET(AR147,-21,0))*0.07,2),IF(OFFSET(AR147,0,COLUMN($M147)-COLUMN(AR147))="V",ROUND(OFFSET(AR147,0,-2)*OFFSET(AR147,0,-1),2),SUMIF(INDIRECT(ADDRESS(MATCH("START"&amp;OFFSET(AR147,0,COLUMN($B147)-COLUMN(AR147)),$A:$A,0),$C147+COLUMN($E147)+1)&amp;":"&amp;ADDRESS(MATCH("END"&amp;OFFSET(AR147,0,COLUMN($B147)-COLUMN(AR147)),$A:$A,0),$C147+COLUMN($E147)+1),TRUE),INDIRECT(ADDRESS(ROW(AR147),$C147+COLUMN($E147)),TRUE),INDIRECT(ADDRESS(MATCH("START"&amp;OFFSET(AR147,0,COLUMN($B147)-COLUMN(AR147)),$A:$A,0),COLUMN(AR147))&amp;":"&amp;ADDRESS(MATCH("END"&amp;OFFSET(AR147,0,COLUMN($B147)-COLUMN(AR147)),$A:$A,0),COLUMN(AR147)),TRUE)))))</f>
        <v>0</v>
      </c>
      <c r="AS147" s="360">
        <f t="shared" ca="1" si="256"/>
        <v>0</v>
      </c>
      <c r="AT147" s="357">
        <f ca="1">IF(OFFSET(AT147,ROW(AT$2)-ROW(AT147),0)="TT","TT",IF(OFFSET(AT147,0,COLUMN($M147)-COLUMN(AT147))="%",ROUND(OFFSET(AT147,-2,0)*0.07,0),IF(OFFSET(AT147,0,COLUMN($M147)-COLUMN(AT147))="V","x",SUMIF(INDIRECT(ADDRESS(MATCH("START"&amp;OFFSET(AT147,0,COLUMN($B147)-COLUMN(AT147)),$A:$A,0),$C147+COLUMN($E147)+1)&amp;":"&amp;ADDRESS(MATCH("END"&amp;OFFSET(AT147,0,COLUMN($B147)-COLUMN(AT147)),$A:$A,0),$C147+COLUMN($E147)+1),TRUE),INDIRECT(ADDRESS(ROW(AT147),$C147+COLUMN($E147)),TRUE),INDIRECT(ADDRESS(MATCH("START"&amp;OFFSET(AT147,0,COLUMN($B147)-COLUMN(AT147)),$A:$A,0),COLUMN(AT147))&amp;":"&amp;ADDRESS(MATCH("END"&amp;OFFSET(AT147,0,COLUMN($B147)-COLUMN(AT147)),$A:$A,0),COLUMN(AT147)),TRUE)))))</f>
        <v>0</v>
      </c>
      <c r="AU147" s="358"/>
      <c r="AV147" s="359">
        <f t="shared" ref="AV147:AV177" ca="1" si="269">IF(OFFSET(AV147,ROW(AV$2)-ROW(AV147),0)="TT","TT",IF(OFFSET(AV147,0,COLUMN($M147)-COLUMN(AV147))="%",ROUND((OFFSET(AV147,-2,0)-OFFSET(AV147,-21,0))*0.07,2),IF(OFFSET(AV147,0,COLUMN($M147)-COLUMN(AV147))="V",ROUND(OFFSET(AV147,0,-2)*OFFSET(AV147,0,-1),2),SUMIF(INDIRECT(ADDRESS(MATCH("START"&amp;OFFSET(AV147,0,COLUMN($B147)-COLUMN(AV147)),$A:$A,0),$C147+COLUMN($E147)+1)&amp;":"&amp;ADDRESS(MATCH("END"&amp;OFFSET(AV147,0,COLUMN($B147)-COLUMN(AV147)),$A:$A,0),$C147+COLUMN($E147)+1),TRUE),INDIRECT(ADDRESS(ROW(AV147),$C147+COLUMN($E147)),TRUE),INDIRECT(ADDRESS(MATCH("START"&amp;OFFSET(AV147,0,COLUMN($B147)-COLUMN(AV147)),$A:$A,0),COLUMN(AV147))&amp;":"&amp;ADDRESS(MATCH("END"&amp;OFFSET(AV147,0,COLUMN($B147)-COLUMN(AV147)),$A:$A,0),COLUMN(AV147)),TRUE)))))</f>
        <v>0</v>
      </c>
      <c r="AW147" s="360">
        <f t="shared" ca="1" si="257"/>
        <v>0</v>
      </c>
      <c r="AX147" s="357">
        <f ca="1">IF(OFFSET(AX147,ROW(AX$2)-ROW(AX147),0)="TT","TT",IF(OFFSET(AX147,0,COLUMN($M147)-COLUMN(AX147))="%",ROUND(OFFSET(AX147,-2,0)*0.07,0),IF(OFFSET(AX147,0,COLUMN($M147)-COLUMN(AX147))="V","x",SUMIF(INDIRECT(ADDRESS(MATCH("START"&amp;OFFSET(AX147,0,COLUMN($B147)-COLUMN(AX147)),$A:$A,0),$C147+COLUMN($E147)+1)&amp;":"&amp;ADDRESS(MATCH("END"&amp;OFFSET(AX147,0,COLUMN($B147)-COLUMN(AX147)),$A:$A,0),$C147+COLUMN($E147)+1),TRUE),INDIRECT(ADDRESS(ROW(AX147),$C147+COLUMN($E147)),TRUE),INDIRECT(ADDRESS(MATCH("START"&amp;OFFSET(AX147,0,COLUMN($B147)-COLUMN(AX147)),$A:$A,0),COLUMN(AX147))&amp;":"&amp;ADDRESS(MATCH("END"&amp;OFFSET(AX147,0,COLUMN($B147)-COLUMN(AX147)),$A:$A,0),COLUMN(AX147)),TRUE)))))</f>
        <v>0</v>
      </c>
      <c r="AY147" s="358"/>
      <c r="AZ147" s="359">
        <f t="shared" ref="AZ147:AZ177" ca="1" si="270">IF(OFFSET(AZ147,ROW(AZ$2)-ROW(AZ147),0)="TT","TT",IF(OFFSET(AZ147,0,COLUMN($M147)-COLUMN(AZ147))="%",ROUND((OFFSET(AZ147,-2,0)-OFFSET(AZ147,-21,0))*0.07,2),IF(OFFSET(AZ147,0,COLUMN($M147)-COLUMN(AZ147))="V",ROUND(OFFSET(AZ147,0,-2)*OFFSET(AZ147,0,-1),2),SUMIF(INDIRECT(ADDRESS(MATCH("START"&amp;OFFSET(AZ147,0,COLUMN($B147)-COLUMN(AZ147)),$A:$A,0),$C147+COLUMN($E147)+1)&amp;":"&amp;ADDRESS(MATCH("END"&amp;OFFSET(AZ147,0,COLUMN($B147)-COLUMN(AZ147)),$A:$A,0),$C147+COLUMN($E147)+1),TRUE),INDIRECT(ADDRESS(ROW(AZ147),$C147+COLUMN($E147)),TRUE),INDIRECT(ADDRESS(MATCH("START"&amp;OFFSET(AZ147,0,COLUMN($B147)-COLUMN(AZ147)),$A:$A,0),COLUMN(AZ147))&amp;":"&amp;ADDRESS(MATCH("END"&amp;OFFSET(AZ147,0,COLUMN($B147)-COLUMN(AZ147)),$A:$A,0),COLUMN(AZ147)),TRUE)))))</f>
        <v>0</v>
      </c>
      <c r="BA147" s="360">
        <f t="shared" ca="1" si="258"/>
        <v>0</v>
      </c>
      <c r="BB147" s="357">
        <f ca="1">IF(OFFSET(BB147,ROW(BB$2)-ROW(BB147),0)="TT","TT",IF(OFFSET(BB147,0,COLUMN($M147)-COLUMN(BB147))="%",ROUND(OFFSET(BB147,-2,0)*0.07,0),IF(OFFSET(BB147,0,COLUMN($M147)-COLUMN(BB147))="V","x",SUMIF(INDIRECT(ADDRESS(MATCH("START"&amp;OFFSET(BB147,0,COLUMN($B147)-COLUMN(BB147)),$A:$A,0),$C147+COLUMN($E147)+1)&amp;":"&amp;ADDRESS(MATCH("END"&amp;OFFSET(BB147,0,COLUMN($B147)-COLUMN(BB147)),$A:$A,0),$C147+COLUMN($E147)+1),TRUE),INDIRECT(ADDRESS(ROW(BB147),$C147+COLUMN($E147)),TRUE),INDIRECT(ADDRESS(MATCH("START"&amp;OFFSET(BB147,0,COLUMN($B147)-COLUMN(BB147)),$A:$A,0),COLUMN(BB147))&amp;":"&amp;ADDRESS(MATCH("END"&amp;OFFSET(BB147,0,COLUMN($B147)-COLUMN(BB147)),$A:$A,0),COLUMN(BB147)),TRUE)))))</f>
        <v>0</v>
      </c>
      <c r="BC147" s="358"/>
      <c r="BD147" s="359">
        <f t="shared" ref="BD147:BD177" ca="1" si="271">IF(OFFSET(BD147,ROW(BD$2)-ROW(BD147),0)="TT","TT",IF(OFFSET(BD147,0,COLUMN($M147)-COLUMN(BD147))="%",ROUND((OFFSET(BD147,-2,0)-OFFSET(BD147,-21,0))*0.07,2),IF(OFFSET(BD147,0,COLUMN($M147)-COLUMN(BD147))="V",ROUND(OFFSET(BD147,0,-2)*OFFSET(BD147,0,-1),2),SUMIF(INDIRECT(ADDRESS(MATCH("START"&amp;OFFSET(BD147,0,COLUMN($B147)-COLUMN(BD147)),$A:$A,0),$C147+COLUMN($E147)+1)&amp;":"&amp;ADDRESS(MATCH("END"&amp;OFFSET(BD147,0,COLUMN($B147)-COLUMN(BD147)),$A:$A,0),$C147+COLUMN($E147)+1),TRUE),INDIRECT(ADDRESS(ROW(BD147),$C147+COLUMN($E147)),TRUE),INDIRECT(ADDRESS(MATCH("START"&amp;OFFSET(BD147,0,COLUMN($B147)-COLUMN(BD147)),$A:$A,0),COLUMN(BD147))&amp;":"&amp;ADDRESS(MATCH("END"&amp;OFFSET(BD147,0,COLUMN($B147)-COLUMN(BD147)),$A:$A,0),COLUMN(BD147)),TRUE)))))</f>
        <v>0</v>
      </c>
      <c r="BE147" s="360">
        <f t="shared" ca="1" si="259"/>
        <v>0</v>
      </c>
      <c r="BF147" s="357">
        <f ca="1">IF(OFFSET(BF147,ROW(BF$2)-ROW(BF147),0)="TT","TT",IF(OFFSET(BF147,0,COLUMN($M147)-COLUMN(BF147))="%",ROUND(OFFSET(BF147,-2,0)*0.07,0),IF(OFFSET(BF147,0,COLUMN($M147)-COLUMN(BF147))="V","x",SUMIF(INDIRECT(ADDRESS(MATCH("START"&amp;OFFSET(BF147,0,COLUMN($B147)-COLUMN(BF147)),$A:$A,0),$C147+COLUMN($E147)+1)&amp;":"&amp;ADDRESS(MATCH("END"&amp;OFFSET(BF147,0,COLUMN($B147)-COLUMN(BF147)),$A:$A,0),$C147+COLUMN($E147)+1),TRUE),INDIRECT(ADDRESS(ROW(BF147),$C147+COLUMN($E147)),TRUE),INDIRECT(ADDRESS(MATCH("START"&amp;OFFSET(BF147,0,COLUMN($B147)-COLUMN(BF147)),$A:$A,0),COLUMN(BF147))&amp;":"&amp;ADDRESS(MATCH("END"&amp;OFFSET(BF147,0,COLUMN($B147)-COLUMN(BF147)),$A:$A,0),COLUMN(BF147)),TRUE)))))</f>
        <v>0</v>
      </c>
      <c r="BG147" s="358"/>
      <c r="BH147" s="359">
        <f t="shared" ref="BH147:BH177" ca="1" si="272">IF(OFFSET(BH147,ROW(BH$2)-ROW(BH147),0)="TT","TT",IF(OFFSET(BH147,0,COLUMN($M147)-COLUMN(BH147))="%",ROUND((OFFSET(BH147,-2,0)-OFFSET(BH147,-21,0))*0.07,2),IF(OFFSET(BH147,0,COLUMN($M147)-COLUMN(BH147))="V",ROUND(OFFSET(BH147,0,-2)*OFFSET(BH147,0,-1),2),SUMIF(INDIRECT(ADDRESS(MATCH("START"&amp;OFFSET(BH147,0,COLUMN($B147)-COLUMN(BH147)),$A:$A,0),$C147+COLUMN($E147)+1)&amp;":"&amp;ADDRESS(MATCH("END"&amp;OFFSET(BH147,0,COLUMN($B147)-COLUMN(BH147)),$A:$A,0),$C147+COLUMN($E147)+1),TRUE),INDIRECT(ADDRESS(ROW(BH147),$C147+COLUMN($E147)),TRUE),INDIRECT(ADDRESS(MATCH("START"&amp;OFFSET(BH147,0,COLUMN($B147)-COLUMN(BH147)),$A:$A,0),COLUMN(BH147))&amp;":"&amp;ADDRESS(MATCH("END"&amp;OFFSET(BH147,0,COLUMN($B147)-COLUMN(BH147)),$A:$A,0),COLUMN(BH147)),TRUE)))))</f>
        <v>0</v>
      </c>
      <c r="BI147" s="360">
        <f t="shared" ca="1" si="260"/>
        <v>0</v>
      </c>
      <c r="BJ147" s="357">
        <f ca="1">IF(OFFSET(BJ147,ROW(BJ$2)-ROW(BJ147),0)="TT","TT",IF(OFFSET(BJ147,0,COLUMN($M147)-COLUMN(BJ147))="%",ROUND(OFFSET(BJ147,-2,0)*0.07,0),IF(OFFSET(BJ147,0,COLUMN($M147)-COLUMN(BJ147))="V","x",SUMIF(INDIRECT(ADDRESS(MATCH("START"&amp;OFFSET(BJ147,0,COLUMN($B147)-COLUMN(BJ147)),$A:$A,0),$C147+COLUMN($E147)+1)&amp;":"&amp;ADDRESS(MATCH("END"&amp;OFFSET(BJ147,0,COLUMN($B147)-COLUMN(BJ147)),$A:$A,0),$C147+COLUMN($E147)+1),TRUE),INDIRECT(ADDRESS(ROW(BJ147),$C147+COLUMN($E147)),TRUE),INDIRECT(ADDRESS(MATCH("START"&amp;OFFSET(BJ147,0,COLUMN($B147)-COLUMN(BJ147)),$A:$A,0),COLUMN(BJ147))&amp;":"&amp;ADDRESS(MATCH("END"&amp;OFFSET(BJ147,0,COLUMN($B147)-COLUMN(BJ147)),$A:$A,0),COLUMN(BJ147)),TRUE)))))</f>
        <v>0</v>
      </c>
      <c r="BK147" s="358"/>
      <c r="BL147" s="359">
        <f t="shared" ref="BL147:BL177" ca="1" si="273">IF(OFFSET(BL147,ROW(BL$2)-ROW(BL147),0)="TT","TT",IF(OFFSET(BL147,0,COLUMN($M147)-COLUMN(BL147))="%",ROUND((OFFSET(BL147,-2,0)-OFFSET(BL147,-21,0))*0.07,2),IF(OFFSET(BL147,0,COLUMN($M147)-COLUMN(BL147))="V",ROUND(OFFSET(BL147,0,-2)*OFFSET(BL147,0,-1),2),SUMIF(INDIRECT(ADDRESS(MATCH("START"&amp;OFFSET(BL147,0,COLUMN($B147)-COLUMN(BL147)),$A:$A,0),$C147+COLUMN($E147)+1)&amp;":"&amp;ADDRESS(MATCH("END"&amp;OFFSET(BL147,0,COLUMN($B147)-COLUMN(BL147)),$A:$A,0),$C147+COLUMN($E147)+1),TRUE),INDIRECT(ADDRESS(ROW(BL147),$C147+COLUMN($E147)),TRUE),INDIRECT(ADDRESS(MATCH("START"&amp;OFFSET(BL147,0,COLUMN($B147)-COLUMN(BL147)),$A:$A,0),COLUMN(BL147))&amp;":"&amp;ADDRESS(MATCH("END"&amp;OFFSET(BL147,0,COLUMN($B147)-COLUMN(BL147)),$A:$A,0),COLUMN(BL147)),TRUE)))))</f>
        <v>0</v>
      </c>
      <c r="BM147" s="360">
        <f t="shared" ca="1" si="261"/>
        <v>0</v>
      </c>
      <c r="BN147" s="360">
        <f t="shared" ca="1" si="261"/>
        <v>0</v>
      </c>
      <c r="BP147" s="246"/>
    </row>
    <row r="148" spans="1:68">
      <c r="A148" s="221" t="str">
        <f t="shared" ca="1" si="248"/>
        <v>WP005</v>
      </c>
      <c r="B148" s="221" t="str">
        <f t="shared" ca="1" si="249"/>
        <v>WP005</v>
      </c>
      <c r="C148" s="221">
        <v>7</v>
      </c>
      <c r="D148" s="221" t="s">
        <v>79</v>
      </c>
      <c r="L148" s="221" t="s">
        <v>77</v>
      </c>
      <c r="M148" s="221" t="s">
        <v>80</v>
      </c>
      <c r="N148" s="461"/>
      <c r="O148" s="247"/>
      <c r="P148" s="248"/>
      <c r="Q148" s="249" t="str">
        <f>EMP_TYPE1</f>
        <v>Type 1</v>
      </c>
      <c r="R148" s="361">
        <f t="shared" ref="R148:S157" ca="1" si="274">INDIRECT("'"&amp; MID(OFFSET(R148,ROW(R$3)-ROW(R148),IF(OFFSET(R148,ROW(R$2)-ROW(R148),2)="T",0,IF(OFFSET(R148,ROW(R$2)-ROW(R148),1)="T",-1,-2))),1,6) &amp; "'!" &amp; ADDRESS(ROW(R148),MATCH(INDIRECT(ADDRESS(2,COLUMN(R148)+IF(OFFSET(R148,ROW(R$2)-ROW(R148),2)="T",1,IF(OFFSET(R148,ROW(R$2)-ROW(R148),1)="T",0,-1))),TRUE),INDIRECT("'"&amp; MID(OFFSET(R148,ROW(R$3)-ROW(R148),IF(OFFSET(R148,ROW(R$2)-ROW(R148),2)="T",0,IF(OFFSET(R148,ROW(R$2)-ROW(R148),1)="T",-1,-2))),1,6) &amp; "'!2:2",TRUE),0)-IF(OFFSET(R148,ROW(R$2)-ROW(R148),2)="T",1,IF(OFFSET(R148,ROW(R$2)-ROW(R148),1)="T",0,-1))),TRUE)</f>
        <v>0</v>
      </c>
      <c r="S148" s="362">
        <f t="shared" ca="1" si="274"/>
        <v>0</v>
      </c>
      <c r="T148" s="363">
        <f t="shared" ca="1" si="262"/>
        <v>0</v>
      </c>
      <c r="U148" s="360">
        <f t="shared" ca="1" si="250"/>
        <v>0</v>
      </c>
      <c r="V148" s="361">
        <f t="shared" ref="V148:W157" ca="1" si="275">INDIRECT("'"&amp; MID(OFFSET(V148,ROW(V$3)-ROW(V148),IF(OFFSET(V148,ROW(V$2)-ROW(V148),2)="T",0,IF(OFFSET(V148,ROW(V$2)-ROW(V148),1)="T",-1,-2))),1,6) &amp; "'!" &amp; ADDRESS(ROW(V148),MATCH(INDIRECT(ADDRESS(2,COLUMN(V148)+IF(OFFSET(V148,ROW(V$2)-ROW(V148),2)="T",1,IF(OFFSET(V148,ROW(V$2)-ROW(V148),1)="T",0,-1))),TRUE),INDIRECT("'"&amp; MID(OFFSET(V148,ROW(V$3)-ROW(V148),IF(OFFSET(V148,ROW(V$2)-ROW(V148),2)="T",0,IF(OFFSET(V148,ROW(V$2)-ROW(V148),1)="T",-1,-2))),1,6) &amp; "'!2:2",TRUE),0)-IF(OFFSET(V148,ROW(V$2)-ROW(V148),2)="T",1,IF(OFFSET(V148,ROW(V$2)-ROW(V148),1)="T",0,-1))),TRUE)</f>
        <v>0</v>
      </c>
      <c r="W148" s="362">
        <f t="shared" ca="1" si="275"/>
        <v>0</v>
      </c>
      <c r="X148" s="363">
        <f t="shared" ca="1" si="263"/>
        <v>0</v>
      </c>
      <c r="Y148" s="360">
        <f t="shared" ca="1" si="251"/>
        <v>0</v>
      </c>
      <c r="Z148" s="361">
        <f t="shared" ref="Z148:AA157" ca="1" si="276">INDIRECT("'"&amp; MID(OFFSET(Z148,ROW(Z$3)-ROW(Z148),IF(OFFSET(Z148,ROW(Z$2)-ROW(Z148),2)="T",0,IF(OFFSET(Z148,ROW(Z$2)-ROW(Z148),1)="T",-1,-2))),1,6) &amp; "'!" &amp; ADDRESS(ROW(Z148),MATCH(INDIRECT(ADDRESS(2,COLUMN(Z148)+IF(OFFSET(Z148,ROW(Z$2)-ROW(Z148),2)="T",1,IF(OFFSET(Z148,ROW(Z$2)-ROW(Z148),1)="T",0,-1))),TRUE),INDIRECT("'"&amp; MID(OFFSET(Z148,ROW(Z$3)-ROW(Z148),IF(OFFSET(Z148,ROW(Z$2)-ROW(Z148),2)="T",0,IF(OFFSET(Z148,ROW(Z$2)-ROW(Z148),1)="T",-1,-2))),1,6) &amp; "'!2:2",TRUE),0)-IF(OFFSET(Z148,ROW(Z$2)-ROW(Z148),2)="T",1,IF(OFFSET(Z148,ROW(Z$2)-ROW(Z148),1)="T",0,-1))),TRUE)</f>
        <v>0</v>
      </c>
      <c r="AA148" s="362">
        <f t="shared" ca="1" si="276"/>
        <v>0</v>
      </c>
      <c r="AB148" s="363">
        <f t="shared" ca="1" si="264"/>
        <v>0</v>
      </c>
      <c r="AC148" s="360">
        <f t="shared" ca="1" si="252"/>
        <v>0</v>
      </c>
      <c r="AD148" s="361">
        <f t="shared" ref="AD148:AE157" ca="1" si="277">INDIRECT("'"&amp; MID(OFFSET(AD148,ROW(AD$3)-ROW(AD148),IF(OFFSET(AD148,ROW(AD$2)-ROW(AD148),2)="T",0,IF(OFFSET(AD148,ROW(AD$2)-ROW(AD148),1)="T",-1,-2))),1,6) &amp; "'!" &amp; ADDRESS(ROW(AD148),MATCH(INDIRECT(ADDRESS(2,COLUMN(AD148)+IF(OFFSET(AD148,ROW(AD$2)-ROW(AD148),2)="T",1,IF(OFFSET(AD148,ROW(AD$2)-ROW(AD148),1)="T",0,-1))),TRUE),INDIRECT("'"&amp; MID(OFFSET(AD148,ROW(AD$3)-ROW(AD148),IF(OFFSET(AD148,ROW(AD$2)-ROW(AD148),2)="T",0,IF(OFFSET(AD148,ROW(AD$2)-ROW(AD148),1)="T",-1,-2))),1,6) &amp; "'!2:2",TRUE),0)-IF(OFFSET(AD148,ROW(AD$2)-ROW(AD148),2)="T",1,IF(OFFSET(AD148,ROW(AD$2)-ROW(AD148),1)="T",0,-1))),TRUE)</f>
        <v>0</v>
      </c>
      <c r="AE148" s="362">
        <f t="shared" ca="1" si="277"/>
        <v>0</v>
      </c>
      <c r="AF148" s="363">
        <f t="shared" ca="1" si="265"/>
        <v>0</v>
      </c>
      <c r="AG148" s="360">
        <f t="shared" ca="1" si="253"/>
        <v>0</v>
      </c>
      <c r="AH148" s="361">
        <f t="shared" ref="AH148:AI157" ca="1" si="278">INDIRECT("'"&amp; MID(OFFSET(AH148,ROW(AH$3)-ROW(AH148),IF(OFFSET(AH148,ROW(AH$2)-ROW(AH148),2)="T",0,IF(OFFSET(AH148,ROW(AH$2)-ROW(AH148),1)="T",-1,-2))),1,6) &amp; "'!" &amp; ADDRESS(ROW(AH148),MATCH(INDIRECT(ADDRESS(2,COLUMN(AH148)+IF(OFFSET(AH148,ROW(AH$2)-ROW(AH148),2)="T",1,IF(OFFSET(AH148,ROW(AH$2)-ROW(AH148),1)="T",0,-1))),TRUE),INDIRECT("'"&amp; MID(OFFSET(AH148,ROW(AH$3)-ROW(AH148),IF(OFFSET(AH148,ROW(AH$2)-ROW(AH148),2)="T",0,IF(OFFSET(AH148,ROW(AH$2)-ROW(AH148),1)="T",-1,-2))),1,6) &amp; "'!2:2",TRUE),0)-IF(OFFSET(AH148,ROW(AH$2)-ROW(AH148),2)="T",1,IF(OFFSET(AH148,ROW(AH$2)-ROW(AH148),1)="T",0,-1))),TRUE)</f>
        <v>0</v>
      </c>
      <c r="AI148" s="362">
        <f t="shared" ca="1" si="278"/>
        <v>0</v>
      </c>
      <c r="AJ148" s="363">
        <f t="shared" ca="1" si="266"/>
        <v>0</v>
      </c>
      <c r="AK148" s="360">
        <f t="shared" ca="1" si="254"/>
        <v>0</v>
      </c>
      <c r="AL148" s="361">
        <f t="shared" ref="AL148:AM157" ca="1" si="279">INDIRECT("'"&amp; MID(OFFSET(AL148,ROW(AL$3)-ROW(AL148),IF(OFFSET(AL148,ROW(AL$2)-ROW(AL148),2)="T",0,IF(OFFSET(AL148,ROW(AL$2)-ROW(AL148),1)="T",-1,-2))),1,6) &amp; "'!" &amp; ADDRESS(ROW(AL148),MATCH(INDIRECT(ADDRESS(2,COLUMN(AL148)+IF(OFFSET(AL148,ROW(AL$2)-ROW(AL148),2)="T",1,IF(OFFSET(AL148,ROW(AL$2)-ROW(AL148),1)="T",0,-1))),TRUE),INDIRECT("'"&amp; MID(OFFSET(AL148,ROW(AL$3)-ROW(AL148),IF(OFFSET(AL148,ROW(AL$2)-ROW(AL148),2)="T",0,IF(OFFSET(AL148,ROW(AL$2)-ROW(AL148),1)="T",-1,-2))),1,6) &amp; "'!2:2",TRUE),0)-IF(OFFSET(AL148,ROW(AL$2)-ROW(AL148),2)="T",1,IF(OFFSET(AL148,ROW(AL$2)-ROW(AL148),1)="T",0,-1))),TRUE)</f>
        <v>0</v>
      </c>
      <c r="AM148" s="362">
        <f t="shared" ca="1" si="279"/>
        <v>0</v>
      </c>
      <c r="AN148" s="363">
        <f t="shared" ca="1" si="267"/>
        <v>0</v>
      </c>
      <c r="AO148" s="360">
        <f t="shared" ca="1" si="255"/>
        <v>0</v>
      </c>
      <c r="AP148" s="361">
        <f t="shared" ref="AP148:AQ157" ca="1" si="280">INDIRECT("'"&amp; MID(OFFSET(AP148,ROW(AP$3)-ROW(AP148),IF(OFFSET(AP148,ROW(AP$2)-ROW(AP148),2)="T",0,IF(OFFSET(AP148,ROW(AP$2)-ROW(AP148),1)="T",-1,-2))),1,6) &amp; "'!" &amp; ADDRESS(ROW(AP148),MATCH(INDIRECT(ADDRESS(2,COLUMN(AP148)+IF(OFFSET(AP148,ROW(AP$2)-ROW(AP148),2)="T",1,IF(OFFSET(AP148,ROW(AP$2)-ROW(AP148),1)="T",0,-1))),TRUE),INDIRECT("'"&amp; MID(OFFSET(AP148,ROW(AP$3)-ROW(AP148),IF(OFFSET(AP148,ROW(AP$2)-ROW(AP148),2)="T",0,IF(OFFSET(AP148,ROW(AP$2)-ROW(AP148),1)="T",-1,-2))),1,6) &amp; "'!2:2",TRUE),0)-IF(OFFSET(AP148,ROW(AP$2)-ROW(AP148),2)="T",1,IF(OFFSET(AP148,ROW(AP$2)-ROW(AP148),1)="T",0,-1))),TRUE)</f>
        <v>0</v>
      </c>
      <c r="AQ148" s="362">
        <f t="shared" ca="1" si="280"/>
        <v>0</v>
      </c>
      <c r="AR148" s="363">
        <f t="shared" ca="1" si="268"/>
        <v>0</v>
      </c>
      <c r="AS148" s="360">
        <f t="shared" ca="1" si="256"/>
        <v>0</v>
      </c>
      <c r="AT148" s="361">
        <f t="shared" ref="AT148:AU157" ca="1" si="281">INDIRECT("'"&amp; MID(OFFSET(AT148,ROW(AT$3)-ROW(AT148),IF(OFFSET(AT148,ROW(AT$2)-ROW(AT148),2)="T",0,IF(OFFSET(AT148,ROW(AT$2)-ROW(AT148),1)="T",-1,-2))),1,6) &amp; "'!" &amp; ADDRESS(ROW(AT148),MATCH(INDIRECT(ADDRESS(2,COLUMN(AT148)+IF(OFFSET(AT148,ROW(AT$2)-ROW(AT148),2)="T",1,IF(OFFSET(AT148,ROW(AT$2)-ROW(AT148),1)="T",0,-1))),TRUE),INDIRECT("'"&amp; MID(OFFSET(AT148,ROW(AT$3)-ROW(AT148),IF(OFFSET(AT148,ROW(AT$2)-ROW(AT148),2)="T",0,IF(OFFSET(AT148,ROW(AT$2)-ROW(AT148),1)="T",-1,-2))),1,6) &amp; "'!2:2",TRUE),0)-IF(OFFSET(AT148,ROW(AT$2)-ROW(AT148),2)="T",1,IF(OFFSET(AT148,ROW(AT$2)-ROW(AT148),1)="T",0,-1))),TRUE)</f>
        <v>0</v>
      </c>
      <c r="AU148" s="362">
        <f t="shared" ca="1" si="281"/>
        <v>0</v>
      </c>
      <c r="AV148" s="363">
        <f t="shared" ca="1" si="269"/>
        <v>0</v>
      </c>
      <c r="AW148" s="360">
        <f t="shared" ca="1" si="257"/>
        <v>0</v>
      </c>
      <c r="AX148" s="361">
        <f t="shared" ref="AX148:AY157" ca="1" si="282">INDIRECT("'"&amp; MID(OFFSET(AX148,ROW(AX$3)-ROW(AX148),IF(OFFSET(AX148,ROW(AX$2)-ROW(AX148),2)="T",0,IF(OFFSET(AX148,ROW(AX$2)-ROW(AX148),1)="T",-1,-2))),1,6) &amp; "'!" &amp; ADDRESS(ROW(AX148),MATCH(INDIRECT(ADDRESS(2,COLUMN(AX148)+IF(OFFSET(AX148,ROW(AX$2)-ROW(AX148),2)="T",1,IF(OFFSET(AX148,ROW(AX$2)-ROW(AX148),1)="T",0,-1))),TRUE),INDIRECT("'"&amp; MID(OFFSET(AX148,ROW(AX$3)-ROW(AX148),IF(OFFSET(AX148,ROW(AX$2)-ROW(AX148),2)="T",0,IF(OFFSET(AX148,ROW(AX$2)-ROW(AX148),1)="T",-1,-2))),1,6) &amp; "'!2:2",TRUE),0)-IF(OFFSET(AX148,ROW(AX$2)-ROW(AX148),2)="T",1,IF(OFFSET(AX148,ROW(AX$2)-ROW(AX148),1)="T",0,-1))),TRUE)</f>
        <v>0</v>
      </c>
      <c r="AY148" s="362">
        <f t="shared" ca="1" si="282"/>
        <v>0</v>
      </c>
      <c r="AZ148" s="363">
        <f t="shared" ca="1" si="270"/>
        <v>0</v>
      </c>
      <c r="BA148" s="360">
        <f t="shared" ca="1" si="258"/>
        <v>0</v>
      </c>
      <c r="BB148" s="361">
        <f t="shared" ref="BB148:BC157" ca="1" si="283">INDIRECT("'"&amp; MID(OFFSET(BB148,ROW(BB$3)-ROW(BB148),IF(OFFSET(BB148,ROW(BB$2)-ROW(BB148),2)="T",0,IF(OFFSET(BB148,ROW(BB$2)-ROW(BB148),1)="T",-1,-2))),1,6) &amp; "'!" &amp; ADDRESS(ROW(BB148),MATCH(INDIRECT(ADDRESS(2,COLUMN(BB148)+IF(OFFSET(BB148,ROW(BB$2)-ROW(BB148),2)="T",1,IF(OFFSET(BB148,ROW(BB$2)-ROW(BB148),1)="T",0,-1))),TRUE),INDIRECT("'"&amp; MID(OFFSET(BB148,ROW(BB$3)-ROW(BB148),IF(OFFSET(BB148,ROW(BB$2)-ROW(BB148),2)="T",0,IF(OFFSET(BB148,ROW(BB$2)-ROW(BB148),1)="T",-1,-2))),1,6) &amp; "'!2:2",TRUE),0)-IF(OFFSET(BB148,ROW(BB$2)-ROW(BB148),2)="T",1,IF(OFFSET(BB148,ROW(BB$2)-ROW(BB148),1)="T",0,-1))),TRUE)</f>
        <v>0</v>
      </c>
      <c r="BC148" s="362">
        <f t="shared" ca="1" si="283"/>
        <v>0</v>
      </c>
      <c r="BD148" s="363">
        <f t="shared" ca="1" si="271"/>
        <v>0</v>
      </c>
      <c r="BE148" s="360">
        <f t="shared" ca="1" si="259"/>
        <v>0</v>
      </c>
      <c r="BF148" s="361">
        <f t="shared" ref="BF148:BG157" ca="1" si="284">INDIRECT("'"&amp; MID(OFFSET(BF148,ROW(BF$3)-ROW(BF148),IF(OFFSET(BF148,ROW(BF$2)-ROW(BF148),2)="T",0,IF(OFFSET(BF148,ROW(BF$2)-ROW(BF148),1)="T",-1,-2))),1,6) &amp; "'!" &amp; ADDRESS(ROW(BF148),MATCH(INDIRECT(ADDRESS(2,COLUMN(BF148)+IF(OFFSET(BF148,ROW(BF$2)-ROW(BF148),2)="T",1,IF(OFFSET(BF148,ROW(BF$2)-ROW(BF148),1)="T",0,-1))),TRUE),INDIRECT("'"&amp; MID(OFFSET(BF148,ROW(BF$3)-ROW(BF148),IF(OFFSET(BF148,ROW(BF$2)-ROW(BF148),2)="T",0,IF(OFFSET(BF148,ROW(BF$2)-ROW(BF148),1)="T",-1,-2))),1,6) &amp; "'!2:2",TRUE),0)-IF(OFFSET(BF148,ROW(BF$2)-ROW(BF148),2)="T",1,IF(OFFSET(BF148,ROW(BF$2)-ROW(BF148),1)="T",0,-1))),TRUE)</f>
        <v>0</v>
      </c>
      <c r="BG148" s="362">
        <f t="shared" ca="1" si="284"/>
        <v>0</v>
      </c>
      <c r="BH148" s="363">
        <f t="shared" ca="1" si="272"/>
        <v>0</v>
      </c>
      <c r="BI148" s="360">
        <f t="shared" ca="1" si="260"/>
        <v>0</v>
      </c>
      <c r="BJ148" s="361">
        <f t="shared" ref="BJ148:BK157" ca="1" si="285">INDIRECT("'"&amp; MID(OFFSET(BJ148,ROW(BJ$3)-ROW(BJ148),IF(OFFSET(BJ148,ROW(BJ$2)-ROW(BJ148),2)="T",0,IF(OFFSET(BJ148,ROW(BJ$2)-ROW(BJ148),1)="T",-1,-2))),1,6) &amp; "'!" &amp; ADDRESS(ROW(BJ148),MATCH(INDIRECT(ADDRESS(2,COLUMN(BJ148)+IF(OFFSET(BJ148,ROW(BJ$2)-ROW(BJ148),2)="T",1,IF(OFFSET(BJ148,ROW(BJ$2)-ROW(BJ148),1)="T",0,-1))),TRUE),INDIRECT("'"&amp; MID(OFFSET(BJ148,ROW(BJ$3)-ROW(BJ148),IF(OFFSET(BJ148,ROW(BJ$2)-ROW(BJ148),2)="T",0,IF(OFFSET(BJ148,ROW(BJ$2)-ROW(BJ148),1)="T",-1,-2))),1,6) &amp; "'!2:2",TRUE),0)-IF(OFFSET(BJ148,ROW(BJ$2)-ROW(BJ148),2)="T",1,IF(OFFSET(BJ148,ROW(BJ$2)-ROW(BJ148),1)="T",0,-1))),TRUE)</f>
        <v>0</v>
      </c>
      <c r="BK148" s="362">
        <f t="shared" ca="1" si="285"/>
        <v>0</v>
      </c>
      <c r="BL148" s="363">
        <f t="shared" ca="1" si="273"/>
        <v>0</v>
      </c>
      <c r="BM148" s="360">
        <f t="shared" ca="1" si="261"/>
        <v>0</v>
      </c>
      <c r="BN148" s="360">
        <f t="shared" ca="1" si="261"/>
        <v>0</v>
      </c>
      <c r="BP148" s="246"/>
    </row>
    <row r="149" spans="1:68">
      <c r="A149" s="221" t="str">
        <f t="shared" ca="1" si="248"/>
        <v>WP005</v>
      </c>
      <c r="B149" s="221" t="str">
        <f t="shared" ca="1" si="249"/>
        <v>WP005</v>
      </c>
      <c r="C149" s="221">
        <v>7</v>
      </c>
      <c r="D149" s="221" t="s">
        <v>81</v>
      </c>
      <c r="L149" s="221" t="s">
        <v>77</v>
      </c>
      <c r="M149" s="221" t="s">
        <v>80</v>
      </c>
      <c r="N149" s="461"/>
      <c r="O149" s="247"/>
      <c r="P149" s="248"/>
      <c r="Q149" s="249" t="str">
        <f>EMP_TYPE2</f>
        <v>Type 2</v>
      </c>
      <c r="R149" s="361">
        <f t="shared" ca="1" si="274"/>
        <v>0</v>
      </c>
      <c r="S149" s="362">
        <f t="shared" ca="1" si="274"/>
        <v>0</v>
      </c>
      <c r="T149" s="363">
        <f t="shared" ca="1" si="262"/>
        <v>0</v>
      </c>
      <c r="U149" s="360">
        <f t="shared" ca="1" si="250"/>
        <v>0</v>
      </c>
      <c r="V149" s="361">
        <f t="shared" ca="1" si="275"/>
        <v>0</v>
      </c>
      <c r="W149" s="362">
        <f t="shared" ca="1" si="275"/>
        <v>0</v>
      </c>
      <c r="X149" s="363">
        <f t="shared" ca="1" si="263"/>
        <v>0</v>
      </c>
      <c r="Y149" s="360">
        <f t="shared" ca="1" si="251"/>
        <v>0</v>
      </c>
      <c r="Z149" s="361">
        <f t="shared" ca="1" si="276"/>
        <v>0</v>
      </c>
      <c r="AA149" s="362">
        <f t="shared" ca="1" si="276"/>
        <v>0</v>
      </c>
      <c r="AB149" s="363">
        <f t="shared" ca="1" si="264"/>
        <v>0</v>
      </c>
      <c r="AC149" s="360">
        <f t="shared" ca="1" si="252"/>
        <v>0</v>
      </c>
      <c r="AD149" s="361">
        <f t="shared" ca="1" si="277"/>
        <v>0</v>
      </c>
      <c r="AE149" s="362">
        <f t="shared" ca="1" si="277"/>
        <v>0</v>
      </c>
      <c r="AF149" s="363">
        <f t="shared" ca="1" si="265"/>
        <v>0</v>
      </c>
      <c r="AG149" s="360">
        <f t="shared" ca="1" si="253"/>
        <v>0</v>
      </c>
      <c r="AH149" s="361">
        <f t="shared" ca="1" si="278"/>
        <v>0</v>
      </c>
      <c r="AI149" s="362">
        <f t="shared" ca="1" si="278"/>
        <v>0</v>
      </c>
      <c r="AJ149" s="363">
        <f t="shared" ca="1" si="266"/>
        <v>0</v>
      </c>
      <c r="AK149" s="360">
        <f t="shared" ca="1" si="254"/>
        <v>0</v>
      </c>
      <c r="AL149" s="361">
        <f t="shared" ca="1" si="279"/>
        <v>0</v>
      </c>
      <c r="AM149" s="362">
        <f t="shared" ca="1" si="279"/>
        <v>0</v>
      </c>
      <c r="AN149" s="363">
        <f t="shared" ca="1" si="267"/>
        <v>0</v>
      </c>
      <c r="AO149" s="360">
        <f t="shared" ca="1" si="255"/>
        <v>0</v>
      </c>
      <c r="AP149" s="361">
        <f t="shared" ca="1" si="280"/>
        <v>0</v>
      </c>
      <c r="AQ149" s="362">
        <f t="shared" ca="1" si="280"/>
        <v>0</v>
      </c>
      <c r="AR149" s="363">
        <f t="shared" ca="1" si="268"/>
        <v>0</v>
      </c>
      <c r="AS149" s="360">
        <f t="shared" ca="1" si="256"/>
        <v>0</v>
      </c>
      <c r="AT149" s="361">
        <f t="shared" ca="1" si="281"/>
        <v>0</v>
      </c>
      <c r="AU149" s="362">
        <f t="shared" ca="1" si="281"/>
        <v>0</v>
      </c>
      <c r="AV149" s="363">
        <f t="shared" ca="1" si="269"/>
        <v>0</v>
      </c>
      <c r="AW149" s="360">
        <f t="shared" ca="1" si="257"/>
        <v>0</v>
      </c>
      <c r="AX149" s="361">
        <f t="shared" ca="1" si="282"/>
        <v>0</v>
      </c>
      <c r="AY149" s="362">
        <f t="shared" ca="1" si="282"/>
        <v>0</v>
      </c>
      <c r="AZ149" s="363">
        <f t="shared" ca="1" si="270"/>
        <v>0</v>
      </c>
      <c r="BA149" s="360">
        <f t="shared" ca="1" si="258"/>
        <v>0</v>
      </c>
      <c r="BB149" s="361">
        <f t="shared" ca="1" si="283"/>
        <v>0</v>
      </c>
      <c r="BC149" s="362">
        <f t="shared" ca="1" si="283"/>
        <v>0</v>
      </c>
      <c r="BD149" s="363">
        <f t="shared" ca="1" si="271"/>
        <v>0</v>
      </c>
      <c r="BE149" s="360">
        <f t="shared" ca="1" si="259"/>
        <v>0</v>
      </c>
      <c r="BF149" s="361">
        <f t="shared" ca="1" si="284"/>
        <v>0</v>
      </c>
      <c r="BG149" s="362">
        <f t="shared" ca="1" si="284"/>
        <v>0</v>
      </c>
      <c r="BH149" s="363">
        <f t="shared" ca="1" si="272"/>
        <v>0</v>
      </c>
      <c r="BI149" s="360">
        <f t="shared" ca="1" si="260"/>
        <v>0</v>
      </c>
      <c r="BJ149" s="361">
        <f t="shared" ca="1" si="285"/>
        <v>0</v>
      </c>
      <c r="BK149" s="362">
        <f t="shared" ca="1" si="285"/>
        <v>0</v>
      </c>
      <c r="BL149" s="363">
        <f t="shared" ca="1" si="273"/>
        <v>0</v>
      </c>
      <c r="BM149" s="360">
        <f t="shared" ca="1" si="261"/>
        <v>0</v>
      </c>
      <c r="BN149" s="360">
        <f t="shared" ca="1" si="261"/>
        <v>0</v>
      </c>
      <c r="BP149" s="246"/>
    </row>
    <row r="150" spans="1:68">
      <c r="A150" s="221" t="str">
        <f t="shared" ca="1" si="248"/>
        <v>WP005</v>
      </c>
      <c r="B150" s="221" t="str">
        <f t="shared" ca="1" si="249"/>
        <v>WP005</v>
      </c>
      <c r="C150" s="221">
        <v>7</v>
      </c>
      <c r="D150" s="221" t="s">
        <v>82</v>
      </c>
      <c r="L150" s="221" t="s">
        <v>77</v>
      </c>
      <c r="M150" s="221" t="s">
        <v>80</v>
      </c>
      <c r="N150" s="461"/>
      <c r="O150" s="247"/>
      <c r="P150" s="248"/>
      <c r="Q150" s="249" t="str">
        <f>EMP_TYPE3</f>
        <v>Type 3</v>
      </c>
      <c r="R150" s="361">
        <f t="shared" ca="1" si="274"/>
        <v>0</v>
      </c>
      <c r="S150" s="362">
        <f t="shared" ca="1" si="274"/>
        <v>0</v>
      </c>
      <c r="T150" s="363">
        <f t="shared" ca="1" si="262"/>
        <v>0</v>
      </c>
      <c r="U150" s="360">
        <f t="shared" ca="1" si="250"/>
        <v>0</v>
      </c>
      <c r="V150" s="361">
        <f t="shared" ca="1" si="275"/>
        <v>0</v>
      </c>
      <c r="W150" s="362">
        <f t="shared" ca="1" si="275"/>
        <v>0</v>
      </c>
      <c r="X150" s="363">
        <f t="shared" ca="1" si="263"/>
        <v>0</v>
      </c>
      <c r="Y150" s="360">
        <f t="shared" ca="1" si="251"/>
        <v>0</v>
      </c>
      <c r="Z150" s="361">
        <f t="shared" ca="1" si="276"/>
        <v>0</v>
      </c>
      <c r="AA150" s="362">
        <f t="shared" ca="1" si="276"/>
        <v>0</v>
      </c>
      <c r="AB150" s="363">
        <f t="shared" ca="1" si="264"/>
        <v>0</v>
      </c>
      <c r="AC150" s="360">
        <f t="shared" ca="1" si="252"/>
        <v>0</v>
      </c>
      <c r="AD150" s="361">
        <f t="shared" ca="1" si="277"/>
        <v>0</v>
      </c>
      <c r="AE150" s="362">
        <f t="shared" ca="1" si="277"/>
        <v>0</v>
      </c>
      <c r="AF150" s="363">
        <f t="shared" ca="1" si="265"/>
        <v>0</v>
      </c>
      <c r="AG150" s="360">
        <f t="shared" ca="1" si="253"/>
        <v>0</v>
      </c>
      <c r="AH150" s="361">
        <f t="shared" ca="1" si="278"/>
        <v>0</v>
      </c>
      <c r="AI150" s="362">
        <f t="shared" ca="1" si="278"/>
        <v>0</v>
      </c>
      <c r="AJ150" s="363">
        <f t="shared" ca="1" si="266"/>
        <v>0</v>
      </c>
      <c r="AK150" s="360">
        <f t="shared" ca="1" si="254"/>
        <v>0</v>
      </c>
      <c r="AL150" s="361">
        <f t="shared" ca="1" si="279"/>
        <v>0</v>
      </c>
      <c r="AM150" s="362">
        <f t="shared" ca="1" si="279"/>
        <v>0</v>
      </c>
      <c r="AN150" s="363">
        <f t="shared" ca="1" si="267"/>
        <v>0</v>
      </c>
      <c r="AO150" s="360">
        <f t="shared" ca="1" si="255"/>
        <v>0</v>
      </c>
      <c r="AP150" s="361">
        <f t="shared" ca="1" si="280"/>
        <v>0</v>
      </c>
      <c r="AQ150" s="362">
        <f t="shared" ca="1" si="280"/>
        <v>0</v>
      </c>
      <c r="AR150" s="363">
        <f t="shared" ca="1" si="268"/>
        <v>0</v>
      </c>
      <c r="AS150" s="360">
        <f t="shared" ca="1" si="256"/>
        <v>0</v>
      </c>
      <c r="AT150" s="361">
        <f t="shared" ca="1" si="281"/>
        <v>0</v>
      </c>
      <c r="AU150" s="362">
        <f t="shared" ca="1" si="281"/>
        <v>0</v>
      </c>
      <c r="AV150" s="363">
        <f t="shared" ca="1" si="269"/>
        <v>0</v>
      </c>
      <c r="AW150" s="360">
        <f t="shared" ca="1" si="257"/>
        <v>0</v>
      </c>
      <c r="AX150" s="361">
        <f t="shared" ca="1" si="282"/>
        <v>0</v>
      </c>
      <c r="AY150" s="362">
        <f t="shared" ca="1" si="282"/>
        <v>0</v>
      </c>
      <c r="AZ150" s="363">
        <f t="shared" ca="1" si="270"/>
        <v>0</v>
      </c>
      <c r="BA150" s="360">
        <f t="shared" ca="1" si="258"/>
        <v>0</v>
      </c>
      <c r="BB150" s="361">
        <f t="shared" ca="1" si="283"/>
        <v>0</v>
      </c>
      <c r="BC150" s="362">
        <f t="shared" ca="1" si="283"/>
        <v>0</v>
      </c>
      <c r="BD150" s="363">
        <f t="shared" ca="1" si="271"/>
        <v>0</v>
      </c>
      <c r="BE150" s="360">
        <f t="shared" ca="1" si="259"/>
        <v>0</v>
      </c>
      <c r="BF150" s="361">
        <f t="shared" ca="1" si="284"/>
        <v>0</v>
      </c>
      <c r="BG150" s="362">
        <f t="shared" ca="1" si="284"/>
        <v>0</v>
      </c>
      <c r="BH150" s="363">
        <f t="shared" ca="1" si="272"/>
        <v>0</v>
      </c>
      <c r="BI150" s="360">
        <f t="shared" ca="1" si="260"/>
        <v>0</v>
      </c>
      <c r="BJ150" s="361">
        <f t="shared" ca="1" si="285"/>
        <v>0</v>
      </c>
      <c r="BK150" s="362">
        <f t="shared" ca="1" si="285"/>
        <v>0</v>
      </c>
      <c r="BL150" s="363">
        <f t="shared" ca="1" si="273"/>
        <v>0</v>
      </c>
      <c r="BM150" s="360">
        <f t="shared" ca="1" si="261"/>
        <v>0</v>
      </c>
      <c r="BN150" s="360">
        <f t="shared" ca="1" si="261"/>
        <v>0</v>
      </c>
      <c r="BP150" s="246"/>
    </row>
    <row r="151" spans="1:68">
      <c r="A151" s="221" t="str">
        <f t="shared" ca="1" si="248"/>
        <v>WP005</v>
      </c>
      <c r="B151" s="221" t="str">
        <f t="shared" ca="1" si="249"/>
        <v>WP005</v>
      </c>
      <c r="C151" s="221">
        <v>7</v>
      </c>
      <c r="D151" s="221" t="s">
        <v>83</v>
      </c>
      <c r="L151" s="221" t="s">
        <v>77</v>
      </c>
      <c r="M151" s="221" t="s">
        <v>80</v>
      </c>
      <c r="N151" s="461"/>
      <c r="O151" s="247"/>
      <c r="P151" s="248"/>
      <c r="Q151" s="249" t="str">
        <f>EMP_TYPE4</f>
        <v>Type 4</v>
      </c>
      <c r="R151" s="361">
        <f t="shared" ca="1" si="274"/>
        <v>0</v>
      </c>
      <c r="S151" s="362">
        <f t="shared" ca="1" si="274"/>
        <v>0</v>
      </c>
      <c r="T151" s="363">
        <f t="shared" ca="1" si="262"/>
        <v>0</v>
      </c>
      <c r="U151" s="360">
        <f t="shared" ca="1" si="250"/>
        <v>0</v>
      </c>
      <c r="V151" s="361">
        <f t="shared" ca="1" si="275"/>
        <v>0</v>
      </c>
      <c r="W151" s="362">
        <f t="shared" ca="1" si="275"/>
        <v>0</v>
      </c>
      <c r="X151" s="363">
        <f t="shared" ca="1" si="263"/>
        <v>0</v>
      </c>
      <c r="Y151" s="360">
        <f t="shared" ca="1" si="251"/>
        <v>0</v>
      </c>
      <c r="Z151" s="361">
        <f t="shared" ca="1" si="276"/>
        <v>0</v>
      </c>
      <c r="AA151" s="362">
        <f t="shared" ca="1" si="276"/>
        <v>0</v>
      </c>
      <c r="AB151" s="363">
        <f t="shared" ca="1" si="264"/>
        <v>0</v>
      </c>
      <c r="AC151" s="360">
        <f t="shared" ca="1" si="252"/>
        <v>0</v>
      </c>
      <c r="AD151" s="361">
        <f t="shared" ca="1" si="277"/>
        <v>0</v>
      </c>
      <c r="AE151" s="362">
        <f t="shared" ca="1" si="277"/>
        <v>0</v>
      </c>
      <c r="AF151" s="363">
        <f t="shared" ca="1" si="265"/>
        <v>0</v>
      </c>
      <c r="AG151" s="360">
        <f t="shared" ca="1" si="253"/>
        <v>0</v>
      </c>
      <c r="AH151" s="361">
        <f t="shared" ca="1" si="278"/>
        <v>0</v>
      </c>
      <c r="AI151" s="362">
        <f t="shared" ca="1" si="278"/>
        <v>0</v>
      </c>
      <c r="AJ151" s="363">
        <f t="shared" ca="1" si="266"/>
        <v>0</v>
      </c>
      <c r="AK151" s="360">
        <f t="shared" ca="1" si="254"/>
        <v>0</v>
      </c>
      <c r="AL151" s="361">
        <f t="shared" ca="1" si="279"/>
        <v>0</v>
      </c>
      <c r="AM151" s="362">
        <f t="shared" ca="1" si="279"/>
        <v>0</v>
      </c>
      <c r="AN151" s="363">
        <f t="shared" ca="1" si="267"/>
        <v>0</v>
      </c>
      <c r="AO151" s="360">
        <f t="shared" ca="1" si="255"/>
        <v>0</v>
      </c>
      <c r="AP151" s="361">
        <f t="shared" ca="1" si="280"/>
        <v>0</v>
      </c>
      <c r="AQ151" s="362">
        <f t="shared" ca="1" si="280"/>
        <v>0</v>
      </c>
      <c r="AR151" s="363">
        <f t="shared" ca="1" si="268"/>
        <v>0</v>
      </c>
      <c r="AS151" s="360">
        <f t="shared" ca="1" si="256"/>
        <v>0</v>
      </c>
      <c r="AT151" s="361">
        <f t="shared" ca="1" si="281"/>
        <v>0</v>
      </c>
      <c r="AU151" s="362">
        <f t="shared" ca="1" si="281"/>
        <v>0</v>
      </c>
      <c r="AV151" s="363">
        <f t="shared" ca="1" si="269"/>
        <v>0</v>
      </c>
      <c r="AW151" s="360">
        <f t="shared" ca="1" si="257"/>
        <v>0</v>
      </c>
      <c r="AX151" s="361">
        <f t="shared" ca="1" si="282"/>
        <v>0</v>
      </c>
      <c r="AY151" s="362">
        <f t="shared" ca="1" si="282"/>
        <v>0</v>
      </c>
      <c r="AZ151" s="363">
        <f t="shared" ca="1" si="270"/>
        <v>0</v>
      </c>
      <c r="BA151" s="360">
        <f t="shared" ca="1" si="258"/>
        <v>0</v>
      </c>
      <c r="BB151" s="361">
        <f t="shared" ca="1" si="283"/>
        <v>0</v>
      </c>
      <c r="BC151" s="362">
        <f t="shared" ca="1" si="283"/>
        <v>0</v>
      </c>
      <c r="BD151" s="363">
        <f t="shared" ca="1" si="271"/>
        <v>0</v>
      </c>
      <c r="BE151" s="360">
        <f t="shared" ca="1" si="259"/>
        <v>0</v>
      </c>
      <c r="BF151" s="361">
        <f t="shared" ca="1" si="284"/>
        <v>0</v>
      </c>
      <c r="BG151" s="362">
        <f t="shared" ca="1" si="284"/>
        <v>0</v>
      </c>
      <c r="BH151" s="363">
        <f t="shared" ca="1" si="272"/>
        <v>0</v>
      </c>
      <c r="BI151" s="360">
        <f t="shared" ca="1" si="260"/>
        <v>0</v>
      </c>
      <c r="BJ151" s="361">
        <f t="shared" ca="1" si="285"/>
        <v>0</v>
      </c>
      <c r="BK151" s="362">
        <f t="shared" ca="1" si="285"/>
        <v>0</v>
      </c>
      <c r="BL151" s="363">
        <f t="shared" ca="1" si="273"/>
        <v>0</v>
      </c>
      <c r="BM151" s="360">
        <f t="shared" ca="1" si="261"/>
        <v>0</v>
      </c>
      <c r="BN151" s="360">
        <f t="shared" ca="1" si="261"/>
        <v>0</v>
      </c>
      <c r="BP151" s="246"/>
    </row>
    <row r="152" spans="1:68">
      <c r="A152" s="221" t="str">
        <f t="shared" ca="1" si="248"/>
        <v>WP005</v>
      </c>
      <c r="B152" s="221" t="str">
        <f t="shared" ca="1" si="249"/>
        <v>WP005</v>
      </c>
      <c r="C152" s="221">
        <v>7</v>
      </c>
      <c r="D152" s="221" t="s">
        <v>84</v>
      </c>
      <c r="L152" s="221" t="s">
        <v>77</v>
      </c>
      <c r="M152" s="221" t="s">
        <v>80</v>
      </c>
      <c r="N152" s="461"/>
      <c r="O152" s="247"/>
      <c r="P152" s="248"/>
      <c r="Q152" s="249" t="str">
        <f>EMP_OTHER</f>
        <v>Type 5</v>
      </c>
      <c r="R152" s="361">
        <f t="shared" ca="1" si="274"/>
        <v>0</v>
      </c>
      <c r="S152" s="362">
        <f t="shared" ca="1" si="274"/>
        <v>0</v>
      </c>
      <c r="T152" s="363">
        <f t="shared" ca="1" si="262"/>
        <v>0</v>
      </c>
      <c r="U152" s="360">
        <f t="shared" ca="1" si="250"/>
        <v>0</v>
      </c>
      <c r="V152" s="361">
        <f t="shared" ca="1" si="275"/>
        <v>0</v>
      </c>
      <c r="W152" s="362">
        <f t="shared" ca="1" si="275"/>
        <v>0</v>
      </c>
      <c r="X152" s="363">
        <f t="shared" ca="1" si="263"/>
        <v>0</v>
      </c>
      <c r="Y152" s="360">
        <f t="shared" ca="1" si="251"/>
        <v>0</v>
      </c>
      <c r="Z152" s="361">
        <f t="shared" ca="1" si="276"/>
        <v>0</v>
      </c>
      <c r="AA152" s="362">
        <f t="shared" ca="1" si="276"/>
        <v>0</v>
      </c>
      <c r="AB152" s="363">
        <f t="shared" ca="1" si="264"/>
        <v>0</v>
      </c>
      <c r="AC152" s="360">
        <f t="shared" ca="1" si="252"/>
        <v>0</v>
      </c>
      <c r="AD152" s="361">
        <f t="shared" ca="1" si="277"/>
        <v>0</v>
      </c>
      <c r="AE152" s="362">
        <f t="shared" ca="1" si="277"/>
        <v>0</v>
      </c>
      <c r="AF152" s="363">
        <f t="shared" ca="1" si="265"/>
        <v>0</v>
      </c>
      <c r="AG152" s="360">
        <f t="shared" ca="1" si="253"/>
        <v>0</v>
      </c>
      <c r="AH152" s="361">
        <f t="shared" ca="1" si="278"/>
        <v>0</v>
      </c>
      <c r="AI152" s="362">
        <f t="shared" ca="1" si="278"/>
        <v>0</v>
      </c>
      <c r="AJ152" s="363">
        <f t="shared" ca="1" si="266"/>
        <v>0</v>
      </c>
      <c r="AK152" s="360">
        <f t="shared" ca="1" si="254"/>
        <v>0</v>
      </c>
      <c r="AL152" s="361">
        <f t="shared" ca="1" si="279"/>
        <v>0</v>
      </c>
      <c r="AM152" s="362">
        <f t="shared" ca="1" si="279"/>
        <v>0</v>
      </c>
      <c r="AN152" s="363">
        <f t="shared" ca="1" si="267"/>
        <v>0</v>
      </c>
      <c r="AO152" s="360">
        <f t="shared" ca="1" si="255"/>
        <v>0</v>
      </c>
      <c r="AP152" s="361">
        <f t="shared" ca="1" si="280"/>
        <v>0</v>
      </c>
      <c r="AQ152" s="362">
        <f t="shared" ca="1" si="280"/>
        <v>0</v>
      </c>
      <c r="AR152" s="363">
        <f t="shared" ca="1" si="268"/>
        <v>0</v>
      </c>
      <c r="AS152" s="360">
        <f t="shared" ca="1" si="256"/>
        <v>0</v>
      </c>
      <c r="AT152" s="361">
        <f t="shared" ca="1" si="281"/>
        <v>0</v>
      </c>
      <c r="AU152" s="362">
        <f t="shared" ca="1" si="281"/>
        <v>0</v>
      </c>
      <c r="AV152" s="363">
        <f t="shared" ca="1" si="269"/>
        <v>0</v>
      </c>
      <c r="AW152" s="360">
        <f t="shared" ca="1" si="257"/>
        <v>0</v>
      </c>
      <c r="AX152" s="361">
        <f t="shared" ca="1" si="282"/>
        <v>0</v>
      </c>
      <c r="AY152" s="362">
        <f t="shared" ca="1" si="282"/>
        <v>0</v>
      </c>
      <c r="AZ152" s="363">
        <f t="shared" ca="1" si="270"/>
        <v>0</v>
      </c>
      <c r="BA152" s="360">
        <f t="shared" ca="1" si="258"/>
        <v>0</v>
      </c>
      <c r="BB152" s="361">
        <f t="shared" ca="1" si="283"/>
        <v>0</v>
      </c>
      <c r="BC152" s="362">
        <f t="shared" ca="1" si="283"/>
        <v>0</v>
      </c>
      <c r="BD152" s="363">
        <f t="shared" ca="1" si="271"/>
        <v>0</v>
      </c>
      <c r="BE152" s="360">
        <f t="shared" ca="1" si="259"/>
        <v>0</v>
      </c>
      <c r="BF152" s="361">
        <f t="shared" ca="1" si="284"/>
        <v>0</v>
      </c>
      <c r="BG152" s="362">
        <f t="shared" ca="1" si="284"/>
        <v>0</v>
      </c>
      <c r="BH152" s="363">
        <f t="shared" ca="1" si="272"/>
        <v>0</v>
      </c>
      <c r="BI152" s="360">
        <f t="shared" ca="1" si="260"/>
        <v>0</v>
      </c>
      <c r="BJ152" s="361">
        <f t="shared" ca="1" si="285"/>
        <v>0</v>
      </c>
      <c r="BK152" s="362">
        <f t="shared" ca="1" si="285"/>
        <v>0</v>
      </c>
      <c r="BL152" s="363">
        <f t="shared" ca="1" si="273"/>
        <v>0</v>
      </c>
      <c r="BM152" s="360">
        <f t="shared" ca="1" si="261"/>
        <v>0</v>
      </c>
      <c r="BN152" s="360">
        <f t="shared" ca="1" si="261"/>
        <v>0</v>
      </c>
      <c r="BP152" s="246"/>
    </row>
    <row r="153" spans="1:68">
      <c r="A153" s="221" t="str">
        <f t="shared" ca="1" si="248"/>
        <v>WP005</v>
      </c>
      <c r="B153" s="221" t="str">
        <f t="shared" ca="1" si="249"/>
        <v>WP005</v>
      </c>
      <c r="C153" s="221">
        <v>6</v>
      </c>
      <c r="D153" s="221" t="s">
        <v>85</v>
      </c>
      <c r="J153" s="222" t="s">
        <v>75</v>
      </c>
      <c r="M153" s="221" t="s">
        <v>80</v>
      </c>
      <c r="N153" s="461"/>
      <c r="O153" s="250"/>
      <c r="P153" s="458" t="s">
        <v>86</v>
      </c>
      <c r="Q153" s="456"/>
      <c r="R153" s="364">
        <f t="shared" ca="1" si="274"/>
        <v>0</v>
      </c>
      <c r="S153" s="358">
        <f t="shared" ca="1" si="274"/>
        <v>0</v>
      </c>
      <c r="T153" s="359">
        <f t="shared" ca="1" si="262"/>
        <v>0</v>
      </c>
      <c r="U153" s="360">
        <f t="shared" ca="1" si="250"/>
        <v>0</v>
      </c>
      <c r="V153" s="364">
        <f t="shared" ca="1" si="275"/>
        <v>0</v>
      </c>
      <c r="W153" s="358">
        <f t="shared" ca="1" si="275"/>
        <v>0</v>
      </c>
      <c r="X153" s="359">
        <f t="shared" ca="1" si="263"/>
        <v>0</v>
      </c>
      <c r="Y153" s="360">
        <f t="shared" ca="1" si="251"/>
        <v>0</v>
      </c>
      <c r="Z153" s="364">
        <f t="shared" ca="1" si="276"/>
        <v>0</v>
      </c>
      <c r="AA153" s="358">
        <f t="shared" ca="1" si="276"/>
        <v>0</v>
      </c>
      <c r="AB153" s="359">
        <f t="shared" ca="1" si="264"/>
        <v>0</v>
      </c>
      <c r="AC153" s="360">
        <f t="shared" ca="1" si="252"/>
        <v>0</v>
      </c>
      <c r="AD153" s="364">
        <f t="shared" ca="1" si="277"/>
        <v>0</v>
      </c>
      <c r="AE153" s="358">
        <f t="shared" ca="1" si="277"/>
        <v>0</v>
      </c>
      <c r="AF153" s="359">
        <f t="shared" ca="1" si="265"/>
        <v>0</v>
      </c>
      <c r="AG153" s="360">
        <f t="shared" ca="1" si="253"/>
        <v>0</v>
      </c>
      <c r="AH153" s="364">
        <f t="shared" ca="1" si="278"/>
        <v>0</v>
      </c>
      <c r="AI153" s="358">
        <f t="shared" ca="1" si="278"/>
        <v>0</v>
      </c>
      <c r="AJ153" s="359">
        <f t="shared" ca="1" si="266"/>
        <v>0</v>
      </c>
      <c r="AK153" s="360">
        <f t="shared" ca="1" si="254"/>
        <v>0</v>
      </c>
      <c r="AL153" s="364">
        <f t="shared" ca="1" si="279"/>
        <v>0</v>
      </c>
      <c r="AM153" s="358">
        <f t="shared" ca="1" si="279"/>
        <v>0</v>
      </c>
      <c r="AN153" s="359">
        <f t="shared" ca="1" si="267"/>
        <v>0</v>
      </c>
      <c r="AO153" s="360">
        <f t="shared" ca="1" si="255"/>
        <v>0</v>
      </c>
      <c r="AP153" s="364">
        <f t="shared" ca="1" si="280"/>
        <v>0</v>
      </c>
      <c r="AQ153" s="358">
        <f t="shared" ca="1" si="280"/>
        <v>0</v>
      </c>
      <c r="AR153" s="359">
        <f t="shared" ca="1" si="268"/>
        <v>0</v>
      </c>
      <c r="AS153" s="360">
        <f t="shared" ca="1" si="256"/>
        <v>0</v>
      </c>
      <c r="AT153" s="364">
        <f t="shared" ca="1" si="281"/>
        <v>0</v>
      </c>
      <c r="AU153" s="358">
        <f t="shared" ca="1" si="281"/>
        <v>0</v>
      </c>
      <c r="AV153" s="359">
        <f t="shared" ca="1" si="269"/>
        <v>0</v>
      </c>
      <c r="AW153" s="360">
        <f t="shared" ca="1" si="257"/>
        <v>0</v>
      </c>
      <c r="AX153" s="364">
        <f t="shared" ca="1" si="282"/>
        <v>0</v>
      </c>
      <c r="AY153" s="358">
        <f t="shared" ca="1" si="282"/>
        <v>0</v>
      </c>
      <c r="AZ153" s="359">
        <f t="shared" ca="1" si="270"/>
        <v>0</v>
      </c>
      <c r="BA153" s="360">
        <f t="shared" ca="1" si="258"/>
        <v>0</v>
      </c>
      <c r="BB153" s="364">
        <f t="shared" ca="1" si="283"/>
        <v>0</v>
      </c>
      <c r="BC153" s="358">
        <f t="shared" ca="1" si="283"/>
        <v>0</v>
      </c>
      <c r="BD153" s="359">
        <f t="shared" ca="1" si="271"/>
        <v>0</v>
      </c>
      <c r="BE153" s="360">
        <f t="shared" ca="1" si="259"/>
        <v>0</v>
      </c>
      <c r="BF153" s="364">
        <f t="shared" ca="1" si="284"/>
        <v>0</v>
      </c>
      <c r="BG153" s="358">
        <f t="shared" ca="1" si="284"/>
        <v>0</v>
      </c>
      <c r="BH153" s="359">
        <f t="shared" ca="1" si="272"/>
        <v>0</v>
      </c>
      <c r="BI153" s="360">
        <f t="shared" ca="1" si="260"/>
        <v>0</v>
      </c>
      <c r="BJ153" s="364">
        <f t="shared" ca="1" si="285"/>
        <v>0</v>
      </c>
      <c r="BK153" s="358">
        <f t="shared" ca="1" si="285"/>
        <v>0</v>
      </c>
      <c r="BL153" s="359">
        <f t="shared" ca="1" si="273"/>
        <v>0</v>
      </c>
      <c r="BM153" s="360">
        <f t="shared" ca="1" si="261"/>
        <v>0</v>
      </c>
      <c r="BN153" s="360">
        <f t="shared" ca="1" si="261"/>
        <v>0</v>
      </c>
      <c r="BP153" s="246"/>
    </row>
    <row r="154" spans="1:68">
      <c r="A154" s="221" t="str">
        <f t="shared" ca="1" si="248"/>
        <v>WP005</v>
      </c>
      <c r="B154" s="221" t="str">
        <f t="shared" ca="1" si="249"/>
        <v>WP005</v>
      </c>
      <c r="C154" s="221">
        <v>6</v>
      </c>
      <c r="D154" s="221" t="s">
        <v>87</v>
      </c>
      <c r="J154" s="222" t="s">
        <v>75</v>
      </c>
      <c r="M154" s="221" t="s">
        <v>80</v>
      </c>
      <c r="N154" s="461"/>
      <c r="O154" s="250"/>
      <c r="P154" s="458" t="s">
        <v>88</v>
      </c>
      <c r="Q154" s="456"/>
      <c r="R154" s="364">
        <f t="shared" ca="1" si="274"/>
        <v>0</v>
      </c>
      <c r="S154" s="358">
        <f t="shared" ca="1" si="274"/>
        <v>0</v>
      </c>
      <c r="T154" s="359">
        <f t="shared" ca="1" si="262"/>
        <v>0</v>
      </c>
      <c r="U154" s="360">
        <f t="shared" ca="1" si="250"/>
        <v>0</v>
      </c>
      <c r="V154" s="364">
        <f t="shared" ca="1" si="275"/>
        <v>0</v>
      </c>
      <c r="W154" s="358">
        <f t="shared" ca="1" si="275"/>
        <v>0</v>
      </c>
      <c r="X154" s="359">
        <f t="shared" ca="1" si="263"/>
        <v>0</v>
      </c>
      <c r="Y154" s="360">
        <f t="shared" ca="1" si="251"/>
        <v>0</v>
      </c>
      <c r="Z154" s="364">
        <f t="shared" ca="1" si="276"/>
        <v>0</v>
      </c>
      <c r="AA154" s="358">
        <f t="shared" ca="1" si="276"/>
        <v>0</v>
      </c>
      <c r="AB154" s="359">
        <f t="shared" ca="1" si="264"/>
        <v>0</v>
      </c>
      <c r="AC154" s="360">
        <f t="shared" ca="1" si="252"/>
        <v>0</v>
      </c>
      <c r="AD154" s="364">
        <f t="shared" ca="1" si="277"/>
        <v>0</v>
      </c>
      <c r="AE154" s="358">
        <f t="shared" ca="1" si="277"/>
        <v>0</v>
      </c>
      <c r="AF154" s="359">
        <f t="shared" ca="1" si="265"/>
        <v>0</v>
      </c>
      <c r="AG154" s="360">
        <f t="shared" ca="1" si="253"/>
        <v>0</v>
      </c>
      <c r="AH154" s="364">
        <f t="shared" ca="1" si="278"/>
        <v>0</v>
      </c>
      <c r="AI154" s="358">
        <f t="shared" ca="1" si="278"/>
        <v>0</v>
      </c>
      <c r="AJ154" s="359">
        <f t="shared" ca="1" si="266"/>
        <v>0</v>
      </c>
      <c r="AK154" s="360">
        <f t="shared" ca="1" si="254"/>
        <v>0</v>
      </c>
      <c r="AL154" s="364">
        <f t="shared" ca="1" si="279"/>
        <v>0</v>
      </c>
      <c r="AM154" s="358">
        <f t="shared" ca="1" si="279"/>
        <v>0</v>
      </c>
      <c r="AN154" s="359">
        <f t="shared" ca="1" si="267"/>
        <v>0</v>
      </c>
      <c r="AO154" s="360">
        <f t="shared" ca="1" si="255"/>
        <v>0</v>
      </c>
      <c r="AP154" s="364">
        <f t="shared" ca="1" si="280"/>
        <v>0</v>
      </c>
      <c r="AQ154" s="358">
        <f t="shared" ca="1" si="280"/>
        <v>0</v>
      </c>
      <c r="AR154" s="359">
        <f t="shared" ca="1" si="268"/>
        <v>0</v>
      </c>
      <c r="AS154" s="360">
        <f t="shared" ca="1" si="256"/>
        <v>0</v>
      </c>
      <c r="AT154" s="364">
        <f t="shared" ca="1" si="281"/>
        <v>0</v>
      </c>
      <c r="AU154" s="358">
        <f t="shared" ca="1" si="281"/>
        <v>0</v>
      </c>
      <c r="AV154" s="359">
        <f t="shared" ca="1" si="269"/>
        <v>0</v>
      </c>
      <c r="AW154" s="360">
        <f t="shared" ca="1" si="257"/>
        <v>0</v>
      </c>
      <c r="AX154" s="364">
        <f t="shared" ca="1" si="282"/>
        <v>0</v>
      </c>
      <c r="AY154" s="358">
        <f t="shared" ca="1" si="282"/>
        <v>0</v>
      </c>
      <c r="AZ154" s="359">
        <f t="shared" ca="1" si="270"/>
        <v>0</v>
      </c>
      <c r="BA154" s="360">
        <f t="shared" ca="1" si="258"/>
        <v>0</v>
      </c>
      <c r="BB154" s="364">
        <f t="shared" ca="1" si="283"/>
        <v>0</v>
      </c>
      <c r="BC154" s="358">
        <f t="shared" ca="1" si="283"/>
        <v>0</v>
      </c>
      <c r="BD154" s="359">
        <f t="shared" ca="1" si="271"/>
        <v>0</v>
      </c>
      <c r="BE154" s="360">
        <f t="shared" ca="1" si="259"/>
        <v>0</v>
      </c>
      <c r="BF154" s="364">
        <f t="shared" ca="1" si="284"/>
        <v>0</v>
      </c>
      <c r="BG154" s="358">
        <f t="shared" ca="1" si="284"/>
        <v>0</v>
      </c>
      <c r="BH154" s="359">
        <f t="shared" ca="1" si="272"/>
        <v>0</v>
      </c>
      <c r="BI154" s="360">
        <f t="shared" ca="1" si="260"/>
        <v>0</v>
      </c>
      <c r="BJ154" s="364">
        <f t="shared" ca="1" si="285"/>
        <v>0</v>
      </c>
      <c r="BK154" s="358">
        <f t="shared" ca="1" si="285"/>
        <v>0</v>
      </c>
      <c r="BL154" s="359">
        <f t="shared" ca="1" si="273"/>
        <v>0</v>
      </c>
      <c r="BM154" s="360">
        <f t="shared" ca="1" si="261"/>
        <v>0</v>
      </c>
      <c r="BN154" s="360">
        <f t="shared" ca="1" si="261"/>
        <v>0</v>
      </c>
      <c r="BP154" s="246"/>
    </row>
    <row r="155" spans="1:68">
      <c r="A155" s="221" t="str">
        <f t="shared" ca="1" si="248"/>
        <v>WP005</v>
      </c>
      <c r="B155" s="221" t="str">
        <f t="shared" ca="1" si="249"/>
        <v>WP005</v>
      </c>
      <c r="C155" s="221">
        <v>6</v>
      </c>
      <c r="D155" s="221" t="s">
        <v>89</v>
      </c>
      <c r="J155" s="222" t="s">
        <v>75</v>
      </c>
      <c r="M155" s="221" t="s">
        <v>80</v>
      </c>
      <c r="N155" s="461"/>
      <c r="O155" s="250"/>
      <c r="P155" s="458" t="s">
        <v>90</v>
      </c>
      <c r="Q155" s="456"/>
      <c r="R155" s="364">
        <f t="shared" ca="1" si="274"/>
        <v>0</v>
      </c>
      <c r="S155" s="358">
        <f t="shared" ca="1" si="274"/>
        <v>0</v>
      </c>
      <c r="T155" s="359">
        <f t="shared" ca="1" si="262"/>
        <v>0</v>
      </c>
      <c r="U155" s="360">
        <f t="shared" ca="1" si="250"/>
        <v>0</v>
      </c>
      <c r="V155" s="364">
        <f t="shared" ca="1" si="275"/>
        <v>0</v>
      </c>
      <c r="W155" s="358">
        <f t="shared" ca="1" si="275"/>
        <v>0</v>
      </c>
      <c r="X155" s="359">
        <f t="shared" ca="1" si="263"/>
        <v>0</v>
      </c>
      <c r="Y155" s="360">
        <f t="shared" ca="1" si="251"/>
        <v>0</v>
      </c>
      <c r="Z155" s="364">
        <f t="shared" ca="1" si="276"/>
        <v>0</v>
      </c>
      <c r="AA155" s="358">
        <f t="shared" ca="1" si="276"/>
        <v>0</v>
      </c>
      <c r="AB155" s="359">
        <f t="shared" ca="1" si="264"/>
        <v>0</v>
      </c>
      <c r="AC155" s="360">
        <f t="shared" ca="1" si="252"/>
        <v>0</v>
      </c>
      <c r="AD155" s="364">
        <f t="shared" ca="1" si="277"/>
        <v>0</v>
      </c>
      <c r="AE155" s="358">
        <f t="shared" ca="1" si="277"/>
        <v>0</v>
      </c>
      <c r="AF155" s="359">
        <f t="shared" ca="1" si="265"/>
        <v>0</v>
      </c>
      <c r="AG155" s="360">
        <f t="shared" ca="1" si="253"/>
        <v>0</v>
      </c>
      <c r="AH155" s="364">
        <f t="shared" ca="1" si="278"/>
        <v>0</v>
      </c>
      <c r="AI155" s="358">
        <f t="shared" ca="1" si="278"/>
        <v>0</v>
      </c>
      <c r="AJ155" s="359">
        <f t="shared" ca="1" si="266"/>
        <v>0</v>
      </c>
      <c r="AK155" s="360">
        <f t="shared" ca="1" si="254"/>
        <v>0</v>
      </c>
      <c r="AL155" s="364">
        <f t="shared" ca="1" si="279"/>
        <v>0</v>
      </c>
      <c r="AM155" s="358">
        <f t="shared" ca="1" si="279"/>
        <v>0</v>
      </c>
      <c r="AN155" s="359">
        <f t="shared" ca="1" si="267"/>
        <v>0</v>
      </c>
      <c r="AO155" s="360">
        <f t="shared" ca="1" si="255"/>
        <v>0</v>
      </c>
      <c r="AP155" s="364">
        <f t="shared" ca="1" si="280"/>
        <v>0</v>
      </c>
      <c r="AQ155" s="358">
        <f t="shared" ca="1" si="280"/>
        <v>0</v>
      </c>
      <c r="AR155" s="359">
        <f t="shared" ca="1" si="268"/>
        <v>0</v>
      </c>
      <c r="AS155" s="360">
        <f t="shared" ca="1" si="256"/>
        <v>0</v>
      </c>
      <c r="AT155" s="364">
        <f t="shared" ca="1" si="281"/>
        <v>0</v>
      </c>
      <c r="AU155" s="358">
        <f t="shared" ca="1" si="281"/>
        <v>0</v>
      </c>
      <c r="AV155" s="359">
        <f t="shared" ca="1" si="269"/>
        <v>0</v>
      </c>
      <c r="AW155" s="360">
        <f t="shared" ca="1" si="257"/>
        <v>0</v>
      </c>
      <c r="AX155" s="364">
        <f t="shared" ca="1" si="282"/>
        <v>0</v>
      </c>
      <c r="AY155" s="358">
        <f t="shared" ca="1" si="282"/>
        <v>0</v>
      </c>
      <c r="AZ155" s="359">
        <f t="shared" ca="1" si="270"/>
        <v>0</v>
      </c>
      <c r="BA155" s="360">
        <f t="shared" ca="1" si="258"/>
        <v>0</v>
      </c>
      <c r="BB155" s="364">
        <f t="shared" ca="1" si="283"/>
        <v>0</v>
      </c>
      <c r="BC155" s="358">
        <f t="shared" ca="1" si="283"/>
        <v>0</v>
      </c>
      <c r="BD155" s="359">
        <f t="shared" ca="1" si="271"/>
        <v>0</v>
      </c>
      <c r="BE155" s="360">
        <f t="shared" ca="1" si="259"/>
        <v>0</v>
      </c>
      <c r="BF155" s="364">
        <f t="shared" ca="1" si="284"/>
        <v>0</v>
      </c>
      <c r="BG155" s="358">
        <f t="shared" ca="1" si="284"/>
        <v>0</v>
      </c>
      <c r="BH155" s="359">
        <f t="shared" ca="1" si="272"/>
        <v>0</v>
      </c>
      <c r="BI155" s="360">
        <f t="shared" ca="1" si="260"/>
        <v>0</v>
      </c>
      <c r="BJ155" s="364">
        <f t="shared" ca="1" si="285"/>
        <v>0</v>
      </c>
      <c r="BK155" s="358">
        <f t="shared" ca="1" si="285"/>
        <v>0</v>
      </c>
      <c r="BL155" s="359">
        <f t="shared" ca="1" si="273"/>
        <v>0</v>
      </c>
      <c r="BM155" s="360">
        <f t="shared" ca="1" si="261"/>
        <v>0</v>
      </c>
      <c r="BN155" s="360">
        <f t="shared" ca="1" si="261"/>
        <v>0</v>
      </c>
      <c r="BP155" s="246"/>
    </row>
    <row r="156" spans="1:68">
      <c r="A156" s="221" t="str">
        <f t="shared" ca="1" si="248"/>
        <v>WP005</v>
      </c>
      <c r="B156" s="221" t="str">
        <f t="shared" ca="1" si="249"/>
        <v>WP005</v>
      </c>
      <c r="C156" s="221">
        <v>6</v>
      </c>
      <c r="D156" s="221" t="s">
        <v>91</v>
      </c>
      <c r="J156" s="222" t="s">
        <v>75</v>
      </c>
      <c r="M156" s="221" t="s">
        <v>80</v>
      </c>
      <c r="N156" s="461"/>
      <c r="O156" s="250"/>
      <c r="P156" s="458" t="s">
        <v>92</v>
      </c>
      <c r="Q156" s="456"/>
      <c r="R156" s="364">
        <f t="shared" ca="1" si="274"/>
        <v>0</v>
      </c>
      <c r="S156" s="358">
        <f t="shared" ca="1" si="274"/>
        <v>0</v>
      </c>
      <c r="T156" s="359">
        <f t="shared" ca="1" si="262"/>
        <v>0</v>
      </c>
      <c r="U156" s="360">
        <f t="shared" ca="1" si="250"/>
        <v>0</v>
      </c>
      <c r="V156" s="364">
        <f t="shared" ca="1" si="275"/>
        <v>0</v>
      </c>
      <c r="W156" s="358">
        <f t="shared" ca="1" si="275"/>
        <v>0</v>
      </c>
      <c r="X156" s="359">
        <f t="shared" ca="1" si="263"/>
        <v>0</v>
      </c>
      <c r="Y156" s="360">
        <f t="shared" ca="1" si="251"/>
        <v>0</v>
      </c>
      <c r="Z156" s="364">
        <f t="shared" ca="1" si="276"/>
        <v>0</v>
      </c>
      <c r="AA156" s="358">
        <f t="shared" ca="1" si="276"/>
        <v>0</v>
      </c>
      <c r="AB156" s="359">
        <f t="shared" ca="1" si="264"/>
        <v>0</v>
      </c>
      <c r="AC156" s="360">
        <f t="shared" ca="1" si="252"/>
        <v>0</v>
      </c>
      <c r="AD156" s="364">
        <f t="shared" ca="1" si="277"/>
        <v>0</v>
      </c>
      <c r="AE156" s="358">
        <f t="shared" ca="1" si="277"/>
        <v>0</v>
      </c>
      <c r="AF156" s="359">
        <f t="shared" ca="1" si="265"/>
        <v>0</v>
      </c>
      <c r="AG156" s="360">
        <f t="shared" ca="1" si="253"/>
        <v>0</v>
      </c>
      <c r="AH156" s="364">
        <f t="shared" ca="1" si="278"/>
        <v>0</v>
      </c>
      <c r="AI156" s="358">
        <f t="shared" ca="1" si="278"/>
        <v>0</v>
      </c>
      <c r="AJ156" s="359">
        <f t="shared" ca="1" si="266"/>
        <v>0</v>
      </c>
      <c r="AK156" s="360">
        <f t="shared" ca="1" si="254"/>
        <v>0</v>
      </c>
      <c r="AL156" s="364">
        <f t="shared" ca="1" si="279"/>
        <v>0</v>
      </c>
      <c r="AM156" s="358">
        <f t="shared" ca="1" si="279"/>
        <v>0</v>
      </c>
      <c r="AN156" s="359">
        <f t="shared" ca="1" si="267"/>
        <v>0</v>
      </c>
      <c r="AO156" s="360">
        <f t="shared" ca="1" si="255"/>
        <v>0</v>
      </c>
      <c r="AP156" s="364">
        <f t="shared" ca="1" si="280"/>
        <v>0</v>
      </c>
      <c r="AQ156" s="358">
        <f t="shared" ca="1" si="280"/>
        <v>0</v>
      </c>
      <c r="AR156" s="359">
        <f t="shared" ca="1" si="268"/>
        <v>0</v>
      </c>
      <c r="AS156" s="360">
        <f t="shared" ca="1" si="256"/>
        <v>0</v>
      </c>
      <c r="AT156" s="364">
        <f t="shared" ca="1" si="281"/>
        <v>0</v>
      </c>
      <c r="AU156" s="358">
        <f t="shared" ca="1" si="281"/>
        <v>0</v>
      </c>
      <c r="AV156" s="359">
        <f t="shared" ca="1" si="269"/>
        <v>0</v>
      </c>
      <c r="AW156" s="360">
        <f t="shared" ca="1" si="257"/>
        <v>0</v>
      </c>
      <c r="AX156" s="364">
        <f t="shared" ca="1" si="282"/>
        <v>0</v>
      </c>
      <c r="AY156" s="358">
        <f t="shared" ca="1" si="282"/>
        <v>0</v>
      </c>
      <c r="AZ156" s="359">
        <f t="shared" ca="1" si="270"/>
        <v>0</v>
      </c>
      <c r="BA156" s="360">
        <f t="shared" ca="1" si="258"/>
        <v>0</v>
      </c>
      <c r="BB156" s="364">
        <f t="shared" ca="1" si="283"/>
        <v>0</v>
      </c>
      <c r="BC156" s="358">
        <f t="shared" ca="1" si="283"/>
        <v>0</v>
      </c>
      <c r="BD156" s="359">
        <f t="shared" ca="1" si="271"/>
        <v>0</v>
      </c>
      <c r="BE156" s="360">
        <f t="shared" ca="1" si="259"/>
        <v>0</v>
      </c>
      <c r="BF156" s="364">
        <f t="shared" ca="1" si="284"/>
        <v>0</v>
      </c>
      <c r="BG156" s="358">
        <f t="shared" ca="1" si="284"/>
        <v>0</v>
      </c>
      <c r="BH156" s="359">
        <f t="shared" ca="1" si="272"/>
        <v>0</v>
      </c>
      <c r="BI156" s="360">
        <f t="shared" ca="1" si="260"/>
        <v>0</v>
      </c>
      <c r="BJ156" s="364">
        <f t="shared" ca="1" si="285"/>
        <v>0</v>
      </c>
      <c r="BK156" s="358">
        <f t="shared" ca="1" si="285"/>
        <v>0</v>
      </c>
      <c r="BL156" s="359">
        <f t="shared" ca="1" si="273"/>
        <v>0</v>
      </c>
      <c r="BM156" s="360">
        <f t="shared" ca="1" si="261"/>
        <v>0</v>
      </c>
      <c r="BN156" s="360">
        <f t="shared" ca="1" si="261"/>
        <v>0</v>
      </c>
    </row>
    <row r="157" spans="1:68">
      <c r="A157" s="221" t="str">
        <f t="shared" ca="1" si="248"/>
        <v>WP005</v>
      </c>
      <c r="B157" s="221" t="str">
        <f t="shared" ca="1" si="249"/>
        <v>WP005</v>
      </c>
      <c r="C157" s="221">
        <v>4</v>
      </c>
      <c r="D157" s="221" t="s">
        <v>93</v>
      </c>
      <c r="H157" s="221" t="s">
        <v>74</v>
      </c>
      <c r="I157" s="221" t="s">
        <v>94</v>
      </c>
      <c r="M157" s="221" t="s">
        <v>80</v>
      </c>
      <c r="N157" s="461"/>
      <c r="O157" s="452" t="s">
        <v>65</v>
      </c>
      <c r="P157" s="453"/>
      <c r="Q157" s="453"/>
      <c r="R157" s="365">
        <f t="shared" ca="1" si="274"/>
        <v>0</v>
      </c>
      <c r="S157" s="354">
        <f t="shared" ca="1" si="274"/>
        <v>0</v>
      </c>
      <c r="T157" s="355">
        <f t="shared" ca="1" si="262"/>
        <v>0</v>
      </c>
      <c r="U157" s="356">
        <f t="shared" ca="1" si="250"/>
        <v>0</v>
      </c>
      <c r="V157" s="365">
        <f t="shared" ca="1" si="275"/>
        <v>0</v>
      </c>
      <c r="W157" s="354">
        <f t="shared" ca="1" si="275"/>
        <v>0</v>
      </c>
      <c r="X157" s="355">
        <f t="shared" ca="1" si="263"/>
        <v>0</v>
      </c>
      <c r="Y157" s="356">
        <f t="shared" ca="1" si="251"/>
        <v>0</v>
      </c>
      <c r="Z157" s="365">
        <f t="shared" ca="1" si="276"/>
        <v>0</v>
      </c>
      <c r="AA157" s="354">
        <f t="shared" ca="1" si="276"/>
        <v>0</v>
      </c>
      <c r="AB157" s="355">
        <f t="shared" ca="1" si="264"/>
        <v>0</v>
      </c>
      <c r="AC157" s="356">
        <f t="shared" ca="1" si="252"/>
        <v>0</v>
      </c>
      <c r="AD157" s="365">
        <f t="shared" ca="1" si="277"/>
        <v>0</v>
      </c>
      <c r="AE157" s="354">
        <f t="shared" ca="1" si="277"/>
        <v>0</v>
      </c>
      <c r="AF157" s="355">
        <f t="shared" ca="1" si="265"/>
        <v>0</v>
      </c>
      <c r="AG157" s="356">
        <f t="shared" ca="1" si="253"/>
        <v>0</v>
      </c>
      <c r="AH157" s="365">
        <f t="shared" ca="1" si="278"/>
        <v>0</v>
      </c>
      <c r="AI157" s="354">
        <f t="shared" ca="1" si="278"/>
        <v>0</v>
      </c>
      <c r="AJ157" s="355">
        <f t="shared" ca="1" si="266"/>
        <v>0</v>
      </c>
      <c r="AK157" s="356">
        <f t="shared" ca="1" si="254"/>
        <v>0</v>
      </c>
      <c r="AL157" s="365">
        <f t="shared" ca="1" si="279"/>
        <v>0</v>
      </c>
      <c r="AM157" s="354">
        <f t="shared" ca="1" si="279"/>
        <v>0</v>
      </c>
      <c r="AN157" s="355">
        <f t="shared" ca="1" si="267"/>
        <v>0</v>
      </c>
      <c r="AO157" s="356">
        <f t="shared" ca="1" si="255"/>
        <v>0</v>
      </c>
      <c r="AP157" s="365">
        <f t="shared" ca="1" si="280"/>
        <v>0</v>
      </c>
      <c r="AQ157" s="354">
        <f t="shared" ca="1" si="280"/>
        <v>0</v>
      </c>
      <c r="AR157" s="355">
        <f t="shared" ca="1" si="268"/>
        <v>0</v>
      </c>
      <c r="AS157" s="356">
        <f t="shared" ca="1" si="256"/>
        <v>0</v>
      </c>
      <c r="AT157" s="365">
        <f t="shared" ca="1" si="281"/>
        <v>0</v>
      </c>
      <c r="AU157" s="354">
        <f t="shared" ca="1" si="281"/>
        <v>0</v>
      </c>
      <c r="AV157" s="355">
        <f t="shared" ca="1" si="269"/>
        <v>0</v>
      </c>
      <c r="AW157" s="356">
        <f t="shared" ca="1" si="257"/>
        <v>0</v>
      </c>
      <c r="AX157" s="365">
        <f t="shared" ca="1" si="282"/>
        <v>0</v>
      </c>
      <c r="AY157" s="354">
        <f t="shared" ca="1" si="282"/>
        <v>0</v>
      </c>
      <c r="AZ157" s="355">
        <f t="shared" ca="1" si="270"/>
        <v>0</v>
      </c>
      <c r="BA157" s="356">
        <f t="shared" ca="1" si="258"/>
        <v>0</v>
      </c>
      <c r="BB157" s="365">
        <f t="shared" ca="1" si="283"/>
        <v>0</v>
      </c>
      <c r="BC157" s="354">
        <f t="shared" ca="1" si="283"/>
        <v>0</v>
      </c>
      <c r="BD157" s="355">
        <f t="shared" ca="1" si="271"/>
        <v>0</v>
      </c>
      <c r="BE157" s="356">
        <f t="shared" ca="1" si="259"/>
        <v>0</v>
      </c>
      <c r="BF157" s="365">
        <f t="shared" ca="1" si="284"/>
        <v>0</v>
      </c>
      <c r="BG157" s="354">
        <f t="shared" ca="1" si="284"/>
        <v>0</v>
      </c>
      <c r="BH157" s="355">
        <f t="shared" ca="1" si="272"/>
        <v>0</v>
      </c>
      <c r="BI157" s="356">
        <f t="shared" ca="1" si="260"/>
        <v>0</v>
      </c>
      <c r="BJ157" s="365">
        <f t="shared" ca="1" si="285"/>
        <v>0</v>
      </c>
      <c r="BK157" s="354">
        <f t="shared" ca="1" si="285"/>
        <v>0</v>
      </c>
      <c r="BL157" s="355">
        <f t="shared" ca="1" si="273"/>
        <v>0</v>
      </c>
      <c r="BM157" s="356">
        <f t="shared" ca="1" si="261"/>
        <v>0</v>
      </c>
      <c r="BN157" s="356">
        <f t="shared" ca="1" si="261"/>
        <v>0</v>
      </c>
    </row>
    <row r="158" spans="1:68">
      <c r="A158" s="221" t="str">
        <f t="shared" ca="1" si="248"/>
        <v>WP005</v>
      </c>
      <c r="B158" s="221" t="str">
        <f t="shared" ca="1" si="249"/>
        <v>WP005</v>
      </c>
      <c r="C158" s="221">
        <v>4</v>
      </c>
      <c r="D158" s="221" t="s">
        <v>95</v>
      </c>
      <c r="H158" s="221" t="s">
        <v>74</v>
      </c>
      <c r="I158" s="221" t="s">
        <v>96</v>
      </c>
      <c r="M158" s="221" t="s">
        <v>46</v>
      </c>
      <c r="N158" s="461"/>
      <c r="O158" s="452" t="s">
        <v>97</v>
      </c>
      <c r="P158" s="453"/>
      <c r="Q158" s="453"/>
      <c r="R158" s="353"/>
      <c r="S158" s="354"/>
      <c r="T158" s="355">
        <f t="shared" ca="1" si="262"/>
        <v>0</v>
      </c>
      <c r="U158" s="356">
        <f t="shared" ca="1" si="250"/>
        <v>0</v>
      </c>
      <c r="V158" s="353"/>
      <c r="W158" s="354"/>
      <c r="X158" s="355">
        <f t="shared" ca="1" si="263"/>
        <v>0</v>
      </c>
      <c r="Y158" s="356">
        <f t="shared" ca="1" si="251"/>
        <v>0</v>
      </c>
      <c r="Z158" s="353"/>
      <c r="AA158" s="354"/>
      <c r="AB158" s="355">
        <f t="shared" ca="1" si="264"/>
        <v>0</v>
      </c>
      <c r="AC158" s="356">
        <f t="shared" ca="1" si="252"/>
        <v>0</v>
      </c>
      <c r="AD158" s="353"/>
      <c r="AE158" s="354"/>
      <c r="AF158" s="355">
        <f t="shared" ca="1" si="265"/>
        <v>0</v>
      </c>
      <c r="AG158" s="356">
        <f t="shared" ca="1" si="253"/>
        <v>0</v>
      </c>
      <c r="AH158" s="353"/>
      <c r="AI158" s="354"/>
      <c r="AJ158" s="355">
        <f t="shared" ca="1" si="266"/>
        <v>0</v>
      </c>
      <c r="AK158" s="356">
        <f t="shared" ca="1" si="254"/>
        <v>0</v>
      </c>
      <c r="AL158" s="353"/>
      <c r="AM158" s="354"/>
      <c r="AN158" s="355">
        <f t="shared" ca="1" si="267"/>
        <v>0</v>
      </c>
      <c r="AO158" s="356">
        <f t="shared" ca="1" si="255"/>
        <v>0</v>
      </c>
      <c r="AP158" s="353"/>
      <c r="AQ158" s="354"/>
      <c r="AR158" s="355">
        <f t="shared" ca="1" si="268"/>
        <v>0</v>
      </c>
      <c r="AS158" s="356">
        <f t="shared" ca="1" si="256"/>
        <v>0</v>
      </c>
      <c r="AT158" s="353"/>
      <c r="AU158" s="354"/>
      <c r="AV158" s="355">
        <f t="shared" ca="1" si="269"/>
        <v>0</v>
      </c>
      <c r="AW158" s="356">
        <f t="shared" ca="1" si="257"/>
        <v>0</v>
      </c>
      <c r="AX158" s="353"/>
      <c r="AY158" s="354"/>
      <c r="AZ158" s="355">
        <f t="shared" ca="1" si="270"/>
        <v>0</v>
      </c>
      <c r="BA158" s="356">
        <f t="shared" ca="1" si="258"/>
        <v>0</v>
      </c>
      <c r="BB158" s="353"/>
      <c r="BC158" s="354"/>
      <c r="BD158" s="355">
        <f t="shared" ca="1" si="271"/>
        <v>0</v>
      </c>
      <c r="BE158" s="356">
        <f t="shared" ca="1" si="259"/>
        <v>0</v>
      </c>
      <c r="BF158" s="353"/>
      <c r="BG158" s="354"/>
      <c r="BH158" s="355">
        <f t="shared" ca="1" si="272"/>
        <v>0</v>
      </c>
      <c r="BI158" s="356">
        <f t="shared" ca="1" si="260"/>
        <v>0</v>
      </c>
      <c r="BJ158" s="353"/>
      <c r="BK158" s="354"/>
      <c r="BL158" s="355">
        <f t="shared" ca="1" si="273"/>
        <v>0</v>
      </c>
      <c r="BM158" s="356">
        <f t="shared" ca="1" si="261"/>
        <v>0</v>
      </c>
      <c r="BN158" s="356">
        <f t="shared" ca="1" si="261"/>
        <v>0</v>
      </c>
    </row>
    <row r="159" spans="1:68">
      <c r="A159" s="221" t="str">
        <f t="shared" ca="1" si="248"/>
        <v>WP005</v>
      </c>
      <c r="B159" s="221" t="str">
        <f t="shared" ca="1" si="249"/>
        <v>WP005</v>
      </c>
      <c r="C159" s="221">
        <v>6</v>
      </c>
      <c r="D159" s="221" t="s">
        <v>98</v>
      </c>
      <c r="J159" s="222" t="s">
        <v>96</v>
      </c>
      <c r="K159" s="221" t="s">
        <v>99</v>
      </c>
      <c r="M159" s="221" t="s">
        <v>46</v>
      </c>
      <c r="N159" s="461"/>
      <c r="O159" s="251"/>
      <c r="P159" s="456" t="s">
        <v>100</v>
      </c>
      <c r="Q159" s="456"/>
      <c r="R159" s="357"/>
      <c r="S159" s="358"/>
      <c r="T159" s="359">
        <f t="shared" ca="1" si="262"/>
        <v>0</v>
      </c>
      <c r="U159" s="360">
        <f t="shared" ca="1" si="250"/>
        <v>0</v>
      </c>
      <c r="V159" s="357"/>
      <c r="W159" s="358"/>
      <c r="X159" s="359">
        <f t="shared" ca="1" si="263"/>
        <v>0</v>
      </c>
      <c r="Y159" s="360">
        <f t="shared" ca="1" si="251"/>
        <v>0</v>
      </c>
      <c r="Z159" s="357"/>
      <c r="AA159" s="358"/>
      <c r="AB159" s="359">
        <f t="shared" ca="1" si="264"/>
        <v>0</v>
      </c>
      <c r="AC159" s="360">
        <f t="shared" ca="1" si="252"/>
        <v>0</v>
      </c>
      <c r="AD159" s="357"/>
      <c r="AE159" s="358"/>
      <c r="AF159" s="359">
        <f t="shared" ca="1" si="265"/>
        <v>0</v>
      </c>
      <c r="AG159" s="360">
        <f t="shared" ca="1" si="253"/>
        <v>0</v>
      </c>
      <c r="AH159" s="357"/>
      <c r="AI159" s="358"/>
      <c r="AJ159" s="359">
        <f t="shared" ca="1" si="266"/>
        <v>0</v>
      </c>
      <c r="AK159" s="360">
        <f t="shared" ca="1" si="254"/>
        <v>0</v>
      </c>
      <c r="AL159" s="357"/>
      <c r="AM159" s="358"/>
      <c r="AN159" s="359">
        <f t="shared" ca="1" si="267"/>
        <v>0</v>
      </c>
      <c r="AO159" s="360">
        <f t="shared" ca="1" si="255"/>
        <v>0</v>
      </c>
      <c r="AP159" s="357"/>
      <c r="AQ159" s="358"/>
      <c r="AR159" s="359">
        <f t="shared" ca="1" si="268"/>
        <v>0</v>
      </c>
      <c r="AS159" s="360">
        <f t="shared" ca="1" si="256"/>
        <v>0</v>
      </c>
      <c r="AT159" s="357"/>
      <c r="AU159" s="358"/>
      <c r="AV159" s="359">
        <f t="shared" ca="1" si="269"/>
        <v>0</v>
      </c>
      <c r="AW159" s="360">
        <f t="shared" ca="1" si="257"/>
        <v>0</v>
      </c>
      <c r="AX159" s="357"/>
      <c r="AY159" s="358"/>
      <c r="AZ159" s="359">
        <f t="shared" ca="1" si="270"/>
        <v>0</v>
      </c>
      <c r="BA159" s="360">
        <f t="shared" ca="1" si="258"/>
        <v>0</v>
      </c>
      <c r="BB159" s="357"/>
      <c r="BC159" s="358"/>
      <c r="BD159" s="359">
        <f t="shared" ca="1" si="271"/>
        <v>0</v>
      </c>
      <c r="BE159" s="360">
        <f t="shared" ca="1" si="259"/>
        <v>0</v>
      </c>
      <c r="BF159" s="357"/>
      <c r="BG159" s="358"/>
      <c r="BH159" s="359">
        <f t="shared" ca="1" si="272"/>
        <v>0</v>
      </c>
      <c r="BI159" s="360">
        <f t="shared" ca="1" si="260"/>
        <v>0</v>
      </c>
      <c r="BJ159" s="357"/>
      <c r="BK159" s="358"/>
      <c r="BL159" s="359">
        <f t="shared" ca="1" si="273"/>
        <v>0</v>
      </c>
      <c r="BM159" s="360">
        <f t="shared" ca="1" si="261"/>
        <v>0</v>
      </c>
      <c r="BN159" s="360">
        <f t="shared" ca="1" si="261"/>
        <v>0</v>
      </c>
    </row>
    <row r="160" spans="1:68">
      <c r="A160" s="221" t="str">
        <f t="shared" ca="1" si="248"/>
        <v>WP005</v>
      </c>
      <c r="B160" s="221" t="str">
        <f t="shared" ca="1" si="249"/>
        <v>WP005</v>
      </c>
      <c r="C160" s="221">
        <v>7</v>
      </c>
      <c r="D160" s="221" t="s">
        <v>101</v>
      </c>
      <c r="L160" s="221" t="s">
        <v>99</v>
      </c>
      <c r="M160" s="221" t="s">
        <v>80</v>
      </c>
      <c r="N160" s="461"/>
      <c r="O160" s="252"/>
      <c r="P160" s="253"/>
      <c r="Q160" s="254" t="s">
        <v>102</v>
      </c>
      <c r="R160" s="361">
        <f t="shared" ref="R160:S163" ca="1" si="286">INDIRECT("'"&amp; MID(OFFSET(R160,ROW(R$3)-ROW(R160),IF(OFFSET(R160,ROW(R$2)-ROW(R160),2)="T",0,IF(OFFSET(R160,ROW(R$2)-ROW(R160),1)="T",-1,-2))),1,6) &amp; "'!" &amp; ADDRESS(ROW(R160),MATCH(INDIRECT(ADDRESS(2,COLUMN(R160)+IF(OFFSET(R160,ROW(R$2)-ROW(R160),2)="T",1,IF(OFFSET(R160,ROW(R$2)-ROW(R160),1)="T",0,-1))),TRUE),INDIRECT("'"&amp; MID(OFFSET(R160,ROW(R$3)-ROW(R160),IF(OFFSET(R160,ROW(R$2)-ROW(R160),2)="T",0,IF(OFFSET(R160,ROW(R$2)-ROW(R160),1)="T",-1,-2))),1,6) &amp; "'!2:2",TRUE),0)-IF(OFFSET(R160,ROW(R$2)-ROW(R160),2)="T",1,IF(OFFSET(R160,ROW(R$2)-ROW(R160),1)="T",0,-1))),TRUE)</f>
        <v>0</v>
      </c>
      <c r="S160" s="362">
        <f t="shared" ca="1" si="286"/>
        <v>0</v>
      </c>
      <c r="T160" s="363">
        <f t="shared" ca="1" si="262"/>
        <v>0</v>
      </c>
      <c r="U160" s="360">
        <f t="shared" ca="1" si="250"/>
        <v>0</v>
      </c>
      <c r="V160" s="361">
        <f t="shared" ref="V160:W163" ca="1" si="287">INDIRECT("'"&amp; MID(OFFSET(V160,ROW(V$3)-ROW(V160),IF(OFFSET(V160,ROW(V$2)-ROW(V160),2)="T",0,IF(OFFSET(V160,ROW(V$2)-ROW(V160),1)="T",-1,-2))),1,6) &amp; "'!" &amp; ADDRESS(ROW(V160),MATCH(INDIRECT(ADDRESS(2,COLUMN(V160)+IF(OFFSET(V160,ROW(V$2)-ROW(V160),2)="T",1,IF(OFFSET(V160,ROW(V$2)-ROW(V160),1)="T",0,-1))),TRUE),INDIRECT("'"&amp; MID(OFFSET(V160,ROW(V$3)-ROW(V160),IF(OFFSET(V160,ROW(V$2)-ROW(V160),2)="T",0,IF(OFFSET(V160,ROW(V$2)-ROW(V160),1)="T",-1,-2))),1,6) &amp; "'!2:2",TRUE),0)-IF(OFFSET(V160,ROW(V$2)-ROW(V160),2)="T",1,IF(OFFSET(V160,ROW(V$2)-ROW(V160),1)="T",0,-1))),TRUE)</f>
        <v>0</v>
      </c>
      <c r="W160" s="362">
        <f t="shared" ca="1" si="287"/>
        <v>0</v>
      </c>
      <c r="X160" s="363">
        <f t="shared" ca="1" si="263"/>
        <v>0</v>
      </c>
      <c r="Y160" s="360">
        <f t="shared" ca="1" si="251"/>
        <v>0</v>
      </c>
      <c r="Z160" s="361">
        <f t="shared" ref="Z160:AA163" ca="1" si="288">INDIRECT("'"&amp; MID(OFFSET(Z160,ROW(Z$3)-ROW(Z160),IF(OFFSET(Z160,ROW(Z$2)-ROW(Z160),2)="T",0,IF(OFFSET(Z160,ROW(Z$2)-ROW(Z160),1)="T",-1,-2))),1,6) &amp; "'!" &amp; ADDRESS(ROW(Z160),MATCH(INDIRECT(ADDRESS(2,COLUMN(Z160)+IF(OFFSET(Z160,ROW(Z$2)-ROW(Z160),2)="T",1,IF(OFFSET(Z160,ROW(Z$2)-ROW(Z160),1)="T",0,-1))),TRUE),INDIRECT("'"&amp; MID(OFFSET(Z160,ROW(Z$3)-ROW(Z160),IF(OFFSET(Z160,ROW(Z$2)-ROW(Z160),2)="T",0,IF(OFFSET(Z160,ROW(Z$2)-ROW(Z160),1)="T",-1,-2))),1,6) &amp; "'!2:2",TRUE),0)-IF(OFFSET(Z160,ROW(Z$2)-ROW(Z160),2)="T",1,IF(OFFSET(Z160,ROW(Z$2)-ROW(Z160),1)="T",0,-1))),TRUE)</f>
        <v>0</v>
      </c>
      <c r="AA160" s="362">
        <f t="shared" ca="1" si="288"/>
        <v>0</v>
      </c>
      <c r="AB160" s="363">
        <f t="shared" ca="1" si="264"/>
        <v>0</v>
      </c>
      <c r="AC160" s="360">
        <f t="shared" ca="1" si="252"/>
        <v>0</v>
      </c>
      <c r="AD160" s="361">
        <f t="shared" ref="AD160:AE163" ca="1" si="289">INDIRECT("'"&amp; MID(OFFSET(AD160,ROW(AD$3)-ROW(AD160),IF(OFFSET(AD160,ROW(AD$2)-ROW(AD160),2)="T",0,IF(OFFSET(AD160,ROW(AD$2)-ROW(AD160),1)="T",-1,-2))),1,6) &amp; "'!" &amp; ADDRESS(ROW(AD160),MATCH(INDIRECT(ADDRESS(2,COLUMN(AD160)+IF(OFFSET(AD160,ROW(AD$2)-ROW(AD160),2)="T",1,IF(OFFSET(AD160,ROW(AD$2)-ROW(AD160),1)="T",0,-1))),TRUE),INDIRECT("'"&amp; MID(OFFSET(AD160,ROW(AD$3)-ROW(AD160),IF(OFFSET(AD160,ROW(AD$2)-ROW(AD160),2)="T",0,IF(OFFSET(AD160,ROW(AD$2)-ROW(AD160),1)="T",-1,-2))),1,6) &amp; "'!2:2",TRUE),0)-IF(OFFSET(AD160,ROW(AD$2)-ROW(AD160),2)="T",1,IF(OFFSET(AD160,ROW(AD$2)-ROW(AD160),1)="T",0,-1))),TRUE)</f>
        <v>0</v>
      </c>
      <c r="AE160" s="362">
        <f t="shared" ca="1" si="289"/>
        <v>0</v>
      </c>
      <c r="AF160" s="363">
        <f t="shared" ca="1" si="265"/>
        <v>0</v>
      </c>
      <c r="AG160" s="360">
        <f t="shared" ca="1" si="253"/>
        <v>0</v>
      </c>
      <c r="AH160" s="361">
        <f t="shared" ref="AH160:AI163" ca="1" si="290">INDIRECT("'"&amp; MID(OFFSET(AH160,ROW(AH$3)-ROW(AH160),IF(OFFSET(AH160,ROW(AH$2)-ROW(AH160),2)="T",0,IF(OFFSET(AH160,ROW(AH$2)-ROW(AH160),1)="T",-1,-2))),1,6) &amp; "'!" &amp; ADDRESS(ROW(AH160),MATCH(INDIRECT(ADDRESS(2,COLUMN(AH160)+IF(OFFSET(AH160,ROW(AH$2)-ROW(AH160),2)="T",1,IF(OFFSET(AH160,ROW(AH$2)-ROW(AH160),1)="T",0,-1))),TRUE),INDIRECT("'"&amp; MID(OFFSET(AH160,ROW(AH$3)-ROW(AH160),IF(OFFSET(AH160,ROW(AH$2)-ROW(AH160),2)="T",0,IF(OFFSET(AH160,ROW(AH$2)-ROW(AH160),1)="T",-1,-2))),1,6) &amp; "'!2:2",TRUE),0)-IF(OFFSET(AH160,ROW(AH$2)-ROW(AH160),2)="T",1,IF(OFFSET(AH160,ROW(AH$2)-ROW(AH160),1)="T",0,-1))),TRUE)</f>
        <v>0</v>
      </c>
      <c r="AI160" s="362">
        <f t="shared" ca="1" si="290"/>
        <v>0</v>
      </c>
      <c r="AJ160" s="363">
        <f t="shared" ca="1" si="266"/>
        <v>0</v>
      </c>
      <c r="AK160" s="360">
        <f t="shared" ca="1" si="254"/>
        <v>0</v>
      </c>
      <c r="AL160" s="361">
        <f t="shared" ref="AL160:AM163" ca="1" si="291">INDIRECT("'"&amp; MID(OFFSET(AL160,ROW(AL$3)-ROW(AL160),IF(OFFSET(AL160,ROW(AL$2)-ROW(AL160),2)="T",0,IF(OFFSET(AL160,ROW(AL$2)-ROW(AL160),1)="T",-1,-2))),1,6) &amp; "'!" &amp; ADDRESS(ROW(AL160),MATCH(INDIRECT(ADDRESS(2,COLUMN(AL160)+IF(OFFSET(AL160,ROW(AL$2)-ROW(AL160),2)="T",1,IF(OFFSET(AL160,ROW(AL$2)-ROW(AL160),1)="T",0,-1))),TRUE),INDIRECT("'"&amp; MID(OFFSET(AL160,ROW(AL$3)-ROW(AL160),IF(OFFSET(AL160,ROW(AL$2)-ROW(AL160),2)="T",0,IF(OFFSET(AL160,ROW(AL$2)-ROW(AL160),1)="T",-1,-2))),1,6) &amp; "'!2:2",TRUE),0)-IF(OFFSET(AL160,ROW(AL$2)-ROW(AL160),2)="T",1,IF(OFFSET(AL160,ROW(AL$2)-ROW(AL160),1)="T",0,-1))),TRUE)</f>
        <v>0</v>
      </c>
      <c r="AM160" s="362">
        <f t="shared" ca="1" si="291"/>
        <v>0</v>
      </c>
      <c r="AN160" s="363">
        <f t="shared" ca="1" si="267"/>
        <v>0</v>
      </c>
      <c r="AO160" s="360">
        <f t="shared" ca="1" si="255"/>
        <v>0</v>
      </c>
      <c r="AP160" s="361">
        <f t="shared" ref="AP160:AQ163" ca="1" si="292">INDIRECT("'"&amp; MID(OFFSET(AP160,ROW(AP$3)-ROW(AP160),IF(OFFSET(AP160,ROW(AP$2)-ROW(AP160),2)="T",0,IF(OFFSET(AP160,ROW(AP$2)-ROW(AP160),1)="T",-1,-2))),1,6) &amp; "'!" &amp; ADDRESS(ROW(AP160),MATCH(INDIRECT(ADDRESS(2,COLUMN(AP160)+IF(OFFSET(AP160,ROW(AP$2)-ROW(AP160),2)="T",1,IF(OFFSET(AP160,ROW(AP$2)-ROW(AP160),1)="T",0,-1))),TRUE),INDIRECT("'"&amp; MID(OFFSET(AP160,ROW(AP$3)-ROW(AP160),IF(OFFSET(AP160,ROW(AP$2)-ROW(AP160),2)="T",0,IF(OFFSET(AP160,ROW(AP$2)-ROW(AP160),1)="T",-1,-2))),1,6) &amp; "'!2:2",TRUE),0)-IF(OFFSET(AP160,ROW(AP$2)-ROW(AP160),2)="T",1,IF(OFFSET(AP160,ROW(AP$2)-ROW(AP160),1)="T",0,-1))),TRUE)</f>
        <v>0</v>
      </c>
      <c r="AQ160" s="362">
        <f t="shared" ca="1" si="292"/>
        <v>0</v>
      </c>
      <c r="AR160" s="363">
        <f t="shared" ca="1" si="268"/>
        <v>0</v>
      </c>
      <c r="AS160" s="360">
        <f t="shared" ca="1" si="256"/>
        <v>0</v>
      </c>
      <c r="AT160" s="361">
        <f t="shared" ref="AT160:AU163" ca="1" si="293">INDIRECT("'"&amp; MID(OFFSET(AT160,ROW(AT$3)-ROW(AT160),IF(OFFSET(AT160,ROW(AT$2)-ROW(AT160),2)="T",0,IF(OFFSET(AT160,ROW(AT$2)-ROW(AT160),1)="T",-1,-2))),1,6) &amp; "'!" &amp; ADDRESS(ROW(AT160),MATCH(INDIRECT(ADDRESS(2,COLUMN(AT160)+IF(OFFSET(AT160,ROW(AT$2)-ROW(AT160),2)="T",1,IF(OFFSET(AT160,ROW(AT$2)-ROW(AT160),1)="T",0,-1))),TRUE),INDIRECT("'"&amp; MID(OFFSET(AT160,ROW(AT$3)-ROW(AT160),IF(OFFSET(AT160,ROW(AT$2)-ROW(AT160),2)="T",0,IF(OFFSET(AT160,ROW(AT$2)-ROW(AT160),1)="T",-1,-2))),1,6) &amp; "'!2:2",TRUE),0)-IF(OFFSET(AT160,ROW(AT$2)-ROW(AT160),2)="T",1,IF(OFFSET(AT160,ROW(AT$2)-ROW(AT160),1)="T",0,-1))),TRUE)</f>
        <v>0</v>
      </c>
      <c r="AU160" s="362">
        <f t="shared" ca="1" si="293"/>
        <v>0</v>
      </c>
      <c r="AV160" s="363">
        <f t="shared" ca="1" si="269"/>
        <v>0</v>
      </c>
      <c r="AW160" s="360">
        <f t="shared" ca="1" si="257"/>
        <v>0</v>
      </c>
      <c r="AX160" s="361">
        <f t="shared" ref="AX160:AY163" ca="1" si="294">INDIRECT("'"&amp; MID(OFFSET(AX160,ROW(AX$3)-ROW(AX160),IF(OFFSET(AX160,ROW(AX$2)-ROW(AX160),2)="T",0,IF(OFFSET(AX160,ROW(AX$2)-ROW(AX160),1)="T",-1,-2))),1,6) &amp; "'!" &amp; ADDRESS(ROW(AX160),MATCH(INDIRECT(ADDRESS(2,COLUMN(AX160)+IF(OFFSET(AX160,ROW(AX$2)-ROW(AX160),2)="T",1,IF(OFFSET(AX160,ROW(AX$2)-ROW(AX160),1)="T",0,-1))),TRUE),INDIRECT("'"&amp; MID(OFFSET(AX160,ROW(AX$3)-ROW(AX160),IF(OFFSET(AX160,ROW(AX$2)-ROW(AX160),2)="T",0,IF(OFFSET(AX160,ROW(AX$2)-ROW(AX160),1)="T",-1,-2))),1,6) &amp; "'!2:2",TRUE),0)-IF(OFFSET(AX160,ROW(AX$2)-ROW(AX160),2)="T",1,IF(OFFSET(AX160,ROW(AX$2)-ROW(AX160),1)="T",0,-1))),TRUE)</f>
        <v>0</v>
      </c>
      <c r="AY160" s="362">
        <f t="shared" ca="1" si="294"/>
        <v>0</v>
      </c>
      <c r="AZ160" s="363">
        <f t="shared" ca="1" si="270"/>
        <v>0</v>
      </c>
      <c r="BA160" s="360">
        <f t="shared" ca="1" si="258"/>
        <v>0</v>
      </c>
      <c r="BB160" s="361">
        <f t="shared" ref="BB160:BC163" ca="1" si="295">INDIRECT("'"&amp; MID(OFFSET(BB160,ROW(BB$3)-ROW(BB160),IF(OFFSET(BB160,ROW(BB$2)-ROW(BB160),2)="T",0,IF(OFFSET(BB160,ROW(BB$2)-ROW(BB160),1)="T",-1,-2))),1,6) &amp; "'!" &amp; ADDRESS(ROW(BB160),MATCH(INDIRECT(ADDRESS(2,COLUMN(BB160)+IF(OFFSET(BB160,ROW(BB$2)-ROW(BB160),2)="T",1,IF(OFFSET(BB160,ROW(BB$2)-ROW(BB160),1)="T",0,-1))),TRUE),INDIRECT("'"&amp; MID(OFFSET(BB160,ROW(BB$3)-ROW(BB160),IF(OFFSET(BB160,ROW(BB$2)-ROW(BB160),2)="T",0,IF(OFFSET(BB160,ROW(BB$2)-ROW(BB160),1)="T",-1,-2))),1,6) &amp; "'!2:2",TRUE),0)-IF(OFFSET(BB160,ROW(BB$2)-ROW(BB160),2)="T",1,IF(OFFSET(BB160,ROW(BB$2)-ROW(BB160),1)="T",0,-1))),TRUE)</f>
        <v>0</v>
      </c>
      <c r="BC160" s="362">
        <f t="shared" ca="1" si="295"/>
        <v>0</v>
      </c>
      <c r="BD160" s="363">
        <f t="shared" ca="1" si="271"/>
        <v>0</v>
      </c>
      <c r="BE160" s="360">
        <f t="shared" ca="1" si="259"/>
        <v>0</v>
      </c>
      <c r="BF160" s="361">
        <f t="shared" ref="BF160:BG163" ca="1" si="296">INDIRECT("'"&amp; MID(OFFSET(BF160,ROW(BF$3)-ROW(BF160),IF(OFFSET(BF160,ROW(BF$2)-ROW(BF160),2)="T",0,IF(OFFSET(BF160,ROW(BF$2)-ROW(BF160),1)="T",-1,-2))),1,6) &amp; "'!" &amp; ADDRESS(ROW(BF160),MATCH(INDIRECT(ADDRESS(2,COLUMN(BF160)+IF(OFFSET(BF160,ROW(BF$2)-ROW(BF160),2)="T",1,IF(OFFSET(BF160,ROW(BF$2)-ROW(BF160),1)="T",0,-1))),TRUE),INDIRECT("'"&amp; MID(OFFSET(BF160,ROW(BF$3)-ROW(BF160),IF(OFFSET(BF160,ROW(BF$2)-ROW(BF160),2)="T",0,IF(OFFSET(BF160,ROW(BF$2)-ROW(BF160),1)="T",-1,-2))),1,6) &amp; "'!2:2",TRUE),0)-IF(OFFSET(BF160,ROW(BF$2)-ROW(BF160),2)="T",1,IF(OFFSET(BF160,ROW(BF$2)-ROW(BF160),1)="T",0,-1))),TRUE)</f>
        <v>0</v>
      </c>
      <c r="BG160" s="362">
        <f t="shared" ca="1" si="296"/>
        <v>0</v>
      </c>
      <c r="BH160" s="363">
        <f t="shared" ca="1" si="272"/>
        <v>0</v>
      </c>
      <c r="BI160" s="360">
        <f t="shared" ca="1" si="260"/>
        <v>0</v>
      </c>
      <c r="BJ160" s="361">
        <f t="shared" ref="BJ160:BK163" ca="1" si="297">INDIRECT("'"&amp; MID(OFFSET(BJ160,ROW(BJ$3)-ROW(BJ160),IF(OFFSET(BJ160,ROW(BJ$2)-ROW(BJ160),2)="T",0,IF(OFFSET(BJ160,ROW(BJ$2)-ROW(BJ160),1)="T",-1,-2))),1,6) &amp; "'!" &amp; ADDRESS(ROW(BJ160),MATCH(INDIRECT(ADDRESS(2,COLUMN(BJ160)+IF(OFFSET(BJ160,ROW(BJ$2)-ROW(BJ160),2)="T",1,IF(OFFSET(BJ160,ROW(BJ$2)-ROW(BJ160),1)="T",0,-1))),TRUE),INDIRECT("'"&amp; MID(OFFSET(BJ160,ROW(BJ$3)-ROW(BJ160),IF(OFFSET(BJ160,ROW(BJ$2)-ROW(BJ160),2)="T",0,IF(OFFSET(BJ160,ROW(BJ$2)-ROW(BJ160),1)="T",-1,-2))),1,6) &amp; "'!2:2",TRUE),0)-IF(OFFSET(BJ160,ROW(BJ$2)-ROW(BJ160),2)="T",1,IF(OFFSET(BJ160,ROW(BJ$2)-ROW(BJ160),1)="T",0,-1))),TRUE)</f>
        <v>0</v>
      </c>
      <c r="BK160" s="362">
        <f t="shared" ca="1" si="297"/>
        <v>0</v>
      </c>
      <c r="BL160" s="363">
        <f t="shared" ca="1" si="273"/>
        <v>0</v>
      </c>
      <c r="BM160" s="360">
        <f t="shared" ca="1" si="261"/>
        <v>0</v>
      </c>
      <c r="BN160" s="360">
        <f t="shared" ca="1" si="261"/>
        <v>0</v>
      </c>
    </row>
    <row r="161" spans="1:66">
      <c r="A161" s="221" t="str">
        <f t="shared" ca="1" si="248"/>
        <v>WP005</v>
      </c>
      <c r="B161" s="221" t="str">
        <f t="shared" ca="1" si="249"/>
        <v>WP005</v>
      </c>
      <c r="C161" s="221">
        <v>7</v>
      </c>
      <c r="D161" s="221" t="s">
        <v>103</v>
      </c>
      <c r="L161" s="221" t="s">
        <v>99</v>
      </c>
      <c r="M161" s="221" t="s">
        <v>80</v>
      </c>
      <c r="N161" s="461"/>
      <c r="O161" s="252"/>
      <c r="P161" s="253"/>
      <c r="Q161" s="254" t="s">
        <v>104</v>
      </c>
      <c r="R161" s="361">
        <f t="shared" ca="1" si="286"/>
        <v>0</v>
      </c>
      <c r="S161" s="362">
        <f t="shared" ca="1" si="286"/>
        <v>0</v>
      </c>
      <c r="T161" s="363">
        <f t="shared" ca="1" si="262"/>
        <v>0</v>
      </c>
      <c r="U161" s="360">
        <f t="shared" ca="1" si="250"/>
        <v>0</v>
      </c>
      <c r="V161" s="361">
        <f t="shared" ca="1" si="287"/>
        <v>0</v>
      </c>
      <c r="W161" s="362">
        <f t="shared" ca="1" si="287"/>
        <v>0</v>
      </c>
      <c r="X161" s="363">
        <f t="shared" ca="1" si="263"/>
        <v>0</v>
      </c>
      <c r="Y161" s="360">
        <f t="shared" ca="1" si="251"/>
        <v>0</v>
      </c>
      <c r="Z161" s="361">
        <f t="shared" ca="1" si="288"/>
        <v>0</v>
      </c>
      <c r="AA161" s="362">
        <f t="shared" ca="1" si="288"/>
        <v>0</v>
      </c>
      <c r="AB161" s="363">
        <f t="shared" ca="1" si="264"/>
        <v>0</v>
      </c>
      <c r="AC161" s="360">
        <f t="shared" ca="1" si="252"/>
        <v>0</v>
      </c>
      <c r="AD161" s="361">
        <f t="shared" ca="1" si="289"/>
        <v>0</v>
      </c>
      <c r="AE161" s="362">
        <f t="shared" ca="1" si="289"/>
        <v>0</v>
      </c>
      <c r="AF161" s="363">
        <f t="shared" ca="1" si="265"/>
        <v>0</v>
      </c>
      <c r="AG161" s="360">
        <f t="shared" ca="1" si="253"/>
        <v>0</v>
      </c>
      <c r="AH161" s="361">
        <f t="shared" ca="1" si="290"/>
        <v>0</v>
      </c>
      <c r="AI161" s="362">
        <f t="shared" ca="1" si="290"/>
        <v>0</v>
      </c>
      <c r="AJ161" s="363">
        <f t="shared" ca="1" si="266"/>
        <v>0</v>
      </c>
      <c r="AK161" s="360">
        <f t="shared" ca="1" si="254"/>
        <v>0</v>
      </c>
      <c r="AL161" s="361">
        <f t="shared" ca="1" si="291"/>
        <v>0</v>
      </c>
      <c r="AM161" s="362">
        <f t="shared" ca="1" si="291"/>
        <v>0</v>
      </c>
      <c r="AN161" s="363">
        <f t="shared" ca="1" si="267"/>
        <v>0</v>
      </c>
      <c r="AO161" s="360">
        <f t="shared" ca="1" si="255"/>
        <v>0</v>
      </c>
      <c r="AP161" s="361">
        <f t="shared" ca="1" si="292"/>
        <v>0</v>
      </c>
      <c r="AQ161" s="362">
        <f t="shared" ca="1" si="292"/>
        <v>0</v>
      </c>
      <c r="AR161" s="363">
        <f t="shared" ca="1" si="268"/>
        <v>0</v>
      </c>
      <c r="AS161" s="360">
        <f t="shared" ca="1" si="256"/>
        <v>0</v>
      </c>
      <c r="AT161" s="361">
        <f t="shared" ca="1" si="293"/>
        <v>0</v>
      </c>
      <c r="AU161" s="362">
        <f t="shared" ca="1" si="293"/>
        <v>0</v>
      </c>
      <c r="AV161" s="363">
        <f t="shared" ca="1" si="269"/>
        <v>0</v>
      </c>
      <c r="AW161" s="360">
        <f t="shared" ca="1" si="257"/>
        <v>0</v>
      </c>
      <c r="AX161" s="361">
        <f t="shared" ca="1" si="294"/>
        <v>0</v>
      </c>
      <c r="AY161" s="362">
        <f t="shared" ca="1" si="294"/>
        <v>0</v>
      </c>
      <c r="AZ161" s="363">
        <f t="shared" ca="1" si="270"/>
        <v>0</v>
      </c>
      <c r="BA161" s="360">
        <f t="shared" ca="1" si="258"/>
        <v>0</v>
      </c>
      <c r="BB161" s="361">
        <f t="shared" ca="1" si="295"/>
        <v>0</v>
      </c>
      <c r="BC161" s="362">
        <f t="shared" ca="1" si="295"/>
        <v>0</v>
      </c>
      <c r="BD161" s="363">
        <f t="shared" ca="1" si="271"/>
        <v>0</v>
      </c>
      <c r="BE161" s="360">
        <f t="shared" ca="1" si="259"/>
        <v>0</v>
      </c>
      <c r="BF161" s="361">
        <f t="shared" ca="1" si="296"/>
        <v>0</v>
      </c>
      <c r="BG161" s="362">
        <f t="shared" ca="1" si="296"/>
        <v>0</v>
      </c>
      <c r="BH161" s="363">
        <f t="shared" ca="1" si="272"/>
        <v>0</v>
      </c>
      <c r="BI161" s="360">
        <f t="shared" ca="1" si="260"/>
        <v>0</v>
      </c>
      <c r="BJ161" s="361">
        <f t="shared" ca="1" si="297"/>
        <v>0</v>
      </c>
      <c r="BK161" s="362">
        <f t="shared" ca="1" si="297"/>
        <v>0</v>
      </c>
      <c r="BL161" s="363">
        <f t="shared" ca="1" si="273"/>
        <v>0</v>
      </c>
      <c r="BM161" s="360">
        <f t="shared" ca="1" si="261"/>
        <v>0</v>
      </c>
      <c r="BN161" s="360">
        <f t="shared" ca="1" si="261"/>
        <v>0</v>
      </c>
    </row>
    <row r="162" spans="1:66">
      <c r="A162" s="221" t="str">
        <f t="shared" ca="1" si="248"/>
        <v>WP005</v>
      </c>
      <c r="B162" s="221" t="str">
        <f t="shared" ca="1" si="249"/>
        <v>WP005</v>
      </c>
      <c r="C162" s="221">
        <v>7</v>
      </c>
      <c r="D162" s="221" t="s">
        <v>105</v>
      </c>
      <c r="L162" s="221" t="s">
        <v>99</v>
      </c>
      <c r="M162" s="221" t="s">
        <v>80</v>
      </c>
      <c r="N162" s="461"/>
      <c r="O162" s="252"/>
      <c r="P162" s="253"/>
      <c r="Q162" s="254" t="s">
        <v>106</v>
      </c>
      <c r="R162" s="361">
        <f t="shared" ca="1" si="286"/>
        <v>0</v>
      </c>
      <c r="S162" s="362">
        <f t="shared" ca="1" si="286"/>
        <v>0</v>
      </c>
      <c r="T162" s="363">
        <f t="shared" ca="1" si="262"/>
        <v>0</v>
      </c>
      <c r="U162" s="360">
        <f t="shared" ca="1" si="250"/>
        <v>0</v>
      </c>
      <c r="V162" s="361">
        <f t="shared" ca="1" si="287"/>
        <v>0</v>
      </c>
      <c r="W162" s="362">
        <f t="shared" ca="1" si="287"/>
        <v>0</v>
      </c>
      <c r="X162" s="363">
        <f t="shared" ca="1" si="263"/>
        <v>0</v>
      </c>
      <c r="Y162" s="360">
        <f t="shared" ca="1" si="251"/>
        <v>0</v>
      </c>
      <c r="Z162" s="361">
        <f t="shared" ca="1" si="288"/>
        <v>0</v>
      </c>
      <c r="AA162" s="362">
        <f t="shared" ca="1" si="288"/>
        <v>0</v>
      </c>
      <c r="AB162" s="363">
        <f t="shared" ca="1" si="264"/>
        <v>0</v>
      </c>
      <c r="AC162" s="360">
        <f t="shared" ca="1" si="252"/>
        <v>0</v>
      </c>
      <c r="AD162" s="361">
        <f t="shared" ca="1" si="289"/>
        <v>0</v>
      </c>
      <c r="AE162" s="362">
        <f t="shared" ca="1" si="289"/>
        <v>0</v>
      </c>
      <c r="AF162" s="363">
        <f t="shared" ca="1" si="265"/>
        <v>0</v>
      </c>
      <c r="AG162" s="360">
        <f t="shared" ca="1" si="253"/>
        <v>0</v>
      </c>
      <c r="AH162" s="361">
        <f t="shared" ca="1" si="290"/>
        <v>0</v>
      </c>
      <c r="AI162" s="362">
        <f t="shared" ca="1" si="290"/>
        <v>0</v>
      </c>
      <c r="AJ162" s="363">
        <f t="shared" ca="1" si="266"/>
        <v>0</v>
      </c>
      <c r="AK162" s="360">
        <f t="shared" ca="1" si="254"/>
        <v>0</v>
      </c>
      <c r="AL162" s="361">
        <f t="shared" ca="1" si="291"/>
        <v>0</v>
      </c>
      <c r="AM162" s="362">
        <f t="shared" ca="1" si="291"/>
        <v>0</v>
      </c>
      <c r="AN162" s="363">
        <f t="shared" ca="1" si="267"/>
        <v>0</v>
      </c>
      <c r="AO162" s="360">
        <f t="shared" ca="1" si="255"/>
        <v>0</v>
      </c>
      <c r="AP162" s="361">
        <f t="shared" ca="1" si="292"/>
        <v>0</v>
      </c>
      <c r="AQ162" s="362">
        <f t="shared" ca="1" si="292"/>
        <v>0</v>
      </c>
      <c r="AR162" s="363">
        <f t="shared" ca="1" si="268"/>
        <v>0</v>
      </c>
      <c r="AS162" s="360">
        <f t="shared" ca="1" si="256"/>
        <v>0</v>
      </c>
      <c r="AT162" s="361">
        <f t="shared" ca="1" si="293"/>
        <v>0</v>
      </c>
      <c r="AU162" s="362">
        <f t="shared" ca="1" si="293"/>
        <v>0</v>
      </c>
      <c r="AV162" s="363">
        <f t="shared" ca="1" si="269"/>
        <v>0</v>
      </c>
      <c r="AW162" s="360">
        <f t="shared" ca="1" si="257"/>
        <v>0</v>
      </c>
      <c r="AX162" s="361">
        <f t="shared" ca="1" si="294"/>
        <v>0</v>
      </c>
      <c r="AY162" s="362">
        <f t="shared" ca="1" si="294"/>
        <v>0</v>
      </c>
      <c r="AZ162" s="363">
        <f t="shared" ca="1" si="270"/>
        <v>0</v>
      </c>
      <c r="BA162" s="360">
        <f t="shared" ca="1" si="258"/>
        <v>0</v>
      </c>
      <c r="BB162" s="361">
        <f t="shared" ca="1" si="295"/>
        <v>0</v>
      </c>
      <c r="BC162" s="362">
        <f t="shared" ca="1" si="295"/>
        <v>0</v>
      </c>
      <c r="BD162" s="363">
        <f t="shared" ca="1" si="271"/>
        <v>0</v>
      </c>
      <c r="BE162" s="360">
        <f t="shared" ca="1" si="259"/>
        <v>0</v>
      </c>
      <c r="BF162" s="361">
        <f t="shared" ca="1" si="296"/>
        <v>0</v>
      </c>
      <c r="BG162" s="362">
        <f t="shared" ca="1" si="296"/>
        <v>0</v>
      </c>
      <c r="BH162" s="363">
        <f t="shared" ca="1" si="272"/>
        <v>0</v>
      </c>
      <c r="BI162" s="360">
        <f t="shared" ca="1" si="260"/>
        <v>0</v>
      </c>
      <c r="BJ162" s="361">
        <f t="shared" ca="1" si="297"/>
        <v>0</v>
      </c>
      <c r="BK162" s="362">
        <f t="shared" ca="1" si="297"/>
        <v>0</v>
      </c>
      <c r="BL162" s="363">
        <f t="shared" ca="1" si="273"/>
        <v>0</v>
      </c>
      <c r="BM162" s="360">
        <f t="shared" ca="1" si="261"/>
        <v>0</v>
      </c>
      <c r="BN162" s="360">
        <f t="shared" ca="1" si="261"/>
        <v>0</v>
      </c>
    </row>
    <row r="163" spans="1:66">
      <c r="A163" s="221" t="str">
        <f t="shared" ca="1" si="248"/>
        <v>WP005</v>
      </c>
      <c r="B163" s="221" t="str">
        <f t="shared" ca="1" si="249"/>
        <v>WP005</v>
      </c>
      <c r="C163" s="221">
        <v>5</v>
      </c>
      <c r="D163" s="221" t="s">
        <v>107</v>
      </c>
      <c r="J163" s="222" t="s">
        <v>96</v>
      </c>
      <c r="M163" s="221" t="s">
        <v>80</v>
      </c>
      <c r="N163" s="461"/>
      <c r="O163" s="255"/>
      <c r="P163" s="456" t="s">
        <v>108</v>
      </c>
      <c r="Q163" s="456"/>
      <c r="R163" s="364">
        <f t="shared" ca="1" si="286"/>
        <v>0</v>
      </c>
      <c r="S163" s="358">
        <f t="shared" ca="1" si="286"/>
        <v>0</v>
      </c>
      <c r="T163" s="359">
        <f t="shared" ca="1" si="262"/>
        <v>0</v>
      </c>
      <c r="U163" s="360">
        <f t="shared" ca="1" si="250"/>
        <v>0</v>
      </c>
      <c r="V163" s="364">
        <f t="shared" ca="1" si="287"/>
        <v>0</v>
      </c>
      <c r="W163" s="358">
        <f t="shared" ca="1" si="287"/>
        <v>0</v>
      </c>
      <c r="X163" s="359">
        <f t="shared" ca="1" si="263"/>
        <v>0</v>
      </c>
      <c r="Y163" s="360">
        <f t="shared" ca="1" si="251"/>
        <v>0</v>
      </c>
      <c r="Z163" s="364">
        <f t="shared" ca="1" si="288"/>
        <v>0</v>
      </c>
      <c r="AA163" s="358">
        <f t="shared" ca="1" si="288"/>
        <v>0</v>
      </c>
      <c r="AB163" s="359">
        <f t="shared" ca="1" si="264"/>
        <v>0</v>
      </c>
      <c r="AC163" s="360">
        <f t="shared" ca="1" si="252"/>
        <v>0</v>
      </c>
      <c r="AD163" s="364">
        <f t="shared" ca="1" si="289"/>
        <v>0</v>
      </c>
      <c r="AE163" s="358">
        <f t="shared" ca="1" si="289"/>
        <v>0</v>
      </c>
      <c r="AF163" s="359">
        <f t="shared" ca="1" si="265"/>
        <v>0</v>
      </c>
      <c r="AG163" s="360">
        <f t="shared" ca="1" si="253"/>
        <v>0</v>
      </c>
      <c r="AH163" s="364">
        <f t="shared" ca="1" si="290"/>
        <v>0</v>
      </c>
      <c r="AI163" s="358">
        <f t="shared" ca="1" si="290"/>
        <v>0</v>
      </c>
      <c r="AJ163" s="359">
        <f t="shared" ca="1" si="266"/>
        <v>0</v>
      </c>
      <c r="AK163" s="360">
        <f t="shared" ca="1" si="254"/>
        <v>0</v>
      </c>
      <c r="AL163" s="364">
        <f t="shared" ca="1" si="291"/>
        <v>0</v>
      </c>
      <c r="AM163" s="358">
        <f t="shared" ca="1" si="291"/>
        <v>0</v>
      </c>
      <c r="AN163" s="359">
        <f t="shared" ca="1" si="267"/>
        <v>0</v>
      </c>
      <c r="AO163" s="360">
        <f t="shared" ca="1" si="255"/>
        <v>0</v>
      </c>
      <c r="AP163" s="364">
        <f t="shared" ca="1" si="292"/>
        <v>0</v>
      </c>
      <c r="AQ163" s="358">
        <f t="shared" ca="1" si="292"/>
        <v>0</v>
      </c>
      <c r="AR163" s="359">
        <f t="shared" ca="1" si="268"/>
        <v>0</v>
      </c>
      <c r="AS163" s="360">
        <f t="shared" ca="1" si="256"/>
        <v>0</v>
      </c>
      <c r="AT163" s="364">
        <f t="shared" ca="1" si="293"/>
        <v>0</v>
      </c>
      <c r="AU163" s="358">
        <f t="shared" ca="1" si="293"/>
        <v>0</v>
      </c>
      <c r="AV163" s="359">
        <f t="shared" ca="1" si="269"/>
        <v>0</v>
      </c>
      <c r="AW163" s="360">
        <f t="shared" ca="1" si="257"/>
        <v>0</v>
      </c>
      <c r="AX163" s="364">
        <f t="shared" ca="1" si="294"/>
        <v>0</v>
      </c>
      <c r="AY163" s="358">
        <f t="shared" ca="1" si="294"/>
        <v>0</v>
      </c>
      <c r="AZ163" s="359">
        <f t="shared" ca="1" si="270"/>
        <v>0</v>
      </c>
      <c r="BA163" s="360">
        <f t="shared" ca="1" si="258"/>
        <v>0</v>
      </c>
      <c r="BB163" s="364">
        <f t="shared" ca="1" si="295"/>
        <v>0</v>
      </c>
      <c r="BC163" s="358">
        <f t="shared" ca="1" si="295"/>
        <v>0</v>
      </c>
      <c r="BD163" s="359">
        <f t="shared" ca="1" si="271"/>
        <v>0</v>
      </c>
      <c r="BE163" s="360">
        <f t="shared" ca="1" si="259"/>
        <v>0</v>
      </c>
      <c r="BF163" s="364">
        <f t="shared" ca="1" si="296"/>
        <v>0</v>
      </c>
      <c r="BG163" s="358">
        <f t="shared" ca="1" si="296"/>
        <v>0</v>
      </c>
      <c r="BH163" s="359">
        <f t="shared" ca="1" si="272"/>
        <v>0</v>
      </c>
      <c r="BI163" s="360">
        <f t="shared" ca="1" si="260"/>
        <v>0</v>
      </c>
      <c r="BJ163" s="364">
        <f t="shared" ca="1" si="297"/>
        <v>0</v>
      </c>
      <c r="BK163" s="358">
        <f t="shared" ca="1" si="297"/>
        <v>0</v>
      </c>
      <c r="BL163" s="359">
        <f t="shared" ca="1" si="273"/>
        <v>0</v>
      </c>
      <c r="BM163" s="360">
        <f t="shared" ca="1" si="261"/>
        <v>0</v>
      </c>
      <c r="BN163" s="360">
        <f t="shared" ca="1" si="261"/>
        <v>0</v>
      </c>
    </row>
    <row r="164" spans="1:66">
      <c r="A164" s="221" t="str">
        <f t="shared" ca="1" si="248"/>
        <v>WP005</v>
      </c>
      <c r="B164" s="221" t="str">
        <f t="shared" ca="1" si="249"/>
        <v>WP005</v>
      </c>
      <c r="C164" s="221">
        <v>6</v>
      </c>
      <c r="D164" s="221" t="s">
        <v>109</v>
      </c>
      <c r="J164" s="222" t="s">
        <v>96</v>
      </c>
      <c r="K164" s="221" t="s">
        <v>110</v>
      </c>
      <c r="M164" s="221" t="s">
        <v>46</v>
      </c>
      <c r="N164" s="461"/>
      <c r="O164" s="255"/>
      <c r="P164" s="456" t="s">
        <v>111</v>
      </c>
      <c r="Q164" s="456"/>
      <c r="R164" s="364"/>
      <c r="S164" s="358"/>
      <c r="T164" s="359">
        <f t="shared" ca="1" si="262"/>
        <v>0</v>
      </c>
      <c r="U164" s="360">
        <f t="shared" ca="1" si="250"/>
        <v>0</v>
      </c>
      <c r="V164" s="364"/>
      <c r="W164" s="358"/>
      <c r="X164" s="359">
        <f t="shared" ca="1" si="263"/>
        <v>0</v>
      </c>
      <c r="Y164" s="360">
        <f t="shared" ca="1" si="251"/>
        <v>0</v>
      </c>
      <c r="Z164" s="364"/>
      <c r="AA164" s="358"/>
      <c r="AB164" s="359">
        <f t="shared" ca="1" si="264"/>
        <v>0</v>
      </c>
      <c r="AC164" s="360">
        <f t="shared" ca="1" si="252"/>
        <v>0</v>
      </c>
      <c r="AD164" s="364"/>
      <c r="AE164" s="358"/>
      <c r="AF164" s="359">
        <f t="shared" ca="1" si="265"/>
        <v>0</v>
      </c>
      <c r="AG164" s="360">
        <f t="shared" ca="1" si="253"/>
        <v>0</v>
      </c>
      <c r="AH164" s="364"/>
      <c r="AI164" s="358"/>
      <c r="AJ164" s="359">
        <f t="shared" ca="1" si="266"/>
        <v>0</v>
      </c>
      <c r="AK164" s="360">
        <f t="shared" ca="1" si="254"/>
        <v>0</v>
      </c>
      <c r="AL164" s="364"/>
      <c r="AM164" s="358"/>
      <c r="AN164" s="359">
        <f t="shared" ca="1" si="267"/>
        <v>0</v>
      </c>
      <c r="AO164" s="360">
        <f t="shared" ca="1" si="255"/>
        <v>0</v>
      </c>
      <c r="AP164" s="364"/>
      <c r="AQ164" s="358"/>
      <c r="AR164" s="359">
        <f t="shared" ca="1" si="268"/>
        <v>0</v>
      </c>
      <c r="AS164" s="360">
        <f t="shared" ca="1" si="256"/>
        <v>0</v>
      </c>
      <c r="AT164" s="364"/>
      <c r="AU164" s="358"/>
      <c r="AV164" s="359">
        <f t="shared" ca="1" si="269"/>
        <v>0</v>
      </c>
      <c r="AW164" s="360">
        <f t="shared" ca="1" si="257"/>
        <v>0</v>
      </c>
      <c r="AX164" s="364"/>
      <c r="AY164" s="358"/>
      <c r="AZ164" s="359">
        <f t="shared" ca="1" si="270"/>
        <v>0</v>
      </c>
      <c r="BA164" s="360">
        <f t="shared" ca="1" si="258"/>
        <v>0</v>
      </c>
      <c r="BB164" s="364"/>
      <c r="BC164" s="358"/>
      <c r="BD164" s="359">
        <f t="shared" ca="1" si="271"/>
        <v>0</v>
      </c>
      <c r="BE164" s="360">
        <f t="shared" ca="1" si="259"/>
        <v>0</v>
      </c>
      <c r="BF164" s="364"/>
      <c r="BG164" s="358"/>
      <c r="BH164" s="359">
        <f t="shared" ca="1" si="272"/>
        <v>0</v>
      </c>
      <c r="BI164" s="360">
        <f t="shared" ca="1" si="260"/>
        <v>0</v>
      </c>
      <c r="BJ164" s="364"/>
      <c r="BK164" s="358"/>
      <c r="BL164" s="359">
        <f t="shared" ca="1" si="273"/>
        <v>0</v>
      </c>
      <c r="BM164" s="360">
        <f t="shared" ca="1" si="261"/>
        <v>0</v>
      </c>
      <c r="BN164" s="360">
        <f t="shared" ca="1" si="261"/>
        <v>0</v>
      </c>
    </row>
    <row r="165" spans="1:66">
      <c r="A165" s="221" t="str">
        <f t="shared" ca="1" si="248"/>
        <v>WP005</v>
      </c>
      <c r="B165" s="221" t="str">
        <f t="shared" ca="1" si="249"/>
        <v>WP005</v>
      </c>
      <c r="C165" s="221">
        <v>7</v>
      </c>
      <c r="D165" s="221" t="s">
        <v>112</v>
      </c>
      <c r="L165" s="221" t="s">
        <v>110</v>
      </c>
      <c r="M165" s="221" t="s">
        <v>80</v>
      </c>
      <c r="N165" s="461"/>
      <c r="O165" s="255"/>
      <c r="P165" s="389"/>
      <c r="Q165" s="254" t="s">
        <v>113</v>
      </c>
      <c r="R165" s="361">
        <f t="shared" ref="R165:S170" ca="1" si="298">INDIRECT("'"&amp; MID(OFFSET(R165,ROW(R$3)-ROW(R165),IF(OFFSET(R165,ROW(R$2)-ROW(R165),2)="T",0,IF(OFFSET(R165,ROW(R$2)-ROW(R165),1)="T",-1,-2))),1,6) &amp; "'!" &amp; ADDRESS(ROW(R165),MATCH(INDIRECT(ADDRESS(2,COLUMN(R165)+IF(OFFSET(R165,ROW(R$2)-ROW(R165),2)="T",1,IF(OFFSET(R165,ROW(R$2)-ROW(R165),1)="T",0,-1))),TRUE),INDIRECT("'"&amp; MID(OFFSET(R165,ROW(R$3)-ROW(R165),IF(OFFSET(R165,ROW(R$2)-ROW(R165),2)="T",0,IF(OFFSET(R165,ROW(R$2)-ROW(R165),1)="T",-1,-2))),1,6) &amp; "'!2:2",TRUE),0)-IF(OFFSET(R165,ROW(R$2)-ROW(R165),2)="T",1,IF(OFFSET(R165,ROW(R$2)-ROW(R165),1)="T",0,-1))),TRUE)</f>
        <v>0</v>
      </c>
      <c r="S165" s="362">
        <f t="shared" ca="1" si="298"/>
        <v>0</v>
      </c>
      <c r="T165" s="363">
        <f t="shared" ca="1" si="262"/>
        <v>0</v>
      </c>
      <c r="U165" s="360">
        <f t="shared" ca="1" si="250"/>
        <v>0</v>
      </c>
      <c r="V165" s="361">
        <f t="shared" ref="V165:W170" ca="1" si="299">INDIRECT("'"&amp; MID(OFFSET(V165,ROW(V$3)-ROW(V165),IF(OFFSET(V165,ROW(V$2)-ROW(V165),2)="T",0,IF(OFFSET(V165,ROW(V$2)-ROW(V165),1)="T",-1,-2))),1,6) &amp; "'!" &amp; ADDRESS(ROW(V165),MATCH(INDIRECT(ADDRESS(2,COLUMN(V165)+IF(OFFSET(V165,ROW(V$2)-ROW(V165),2)="T",1,IF(OFFSET(V165,ROW(V$2)-ROW(V165),1)="T",0,-1))),TRUE),INDIRECT("'"&amp; MID(OFFSET(V165,ROW(V$3)-ROW(V165),IF(OFFSET(V165,ROW(V$2)-ROW(V165),2)="T",0,IF(OFFSET(V165,ROW(V$2)-ROW(V165),1)="T",-1,-2))),1,6) &amp; "'!2:2",TRUE),0)-IF(OFFSET(V165,ROW(V$2)-ROW(V165),2)="T",1,IF(OFFSET(V165,ROW(V$2)-ROW(V165),1)="T",0,-1))),TRUE)</f>
        <v>0</v>
      </c>
      <c r="W165" s="362">
        <f t="shared" ca="1" si="299"/>
        <v>0</v>
      </c>
      <c r="X165" s="363">
        <f t="shared" ca="1" si="263"/>
        <v>0</v>
      </c>
      <c r="Y165" s="360">
        <f t="shared" ca="1" si="251"/>
        <v>0</v>
      </c>
      <c r="Z165" s="361">
        <f t="shared" ref="Z165:AA170" ca="1" si="300">INDIRECT("'"&amp; MID(OFFSET(Z165,ROW(Z$3)-ROW(Z165),IF(OFFSET(Z165,ROW(Z$2)-ROW(Z165),2)="T",0,IF(OFFSET(Z165,ROW(Z$2)-ROW(Z165),1)="T",-1,-2))),1,6) &amp; "'!" &amp; ADDRESS(ROW(Z165),MATCH(INDIRECT(ADDRESS(2,COLUMN(Z165)+IF(OFFSET(Z165,ROW(Z$2)-ROW(Z165),2)="T",1,IF(OFFSET(Z165,ROW(Z$2)-ROW(Z165),1)="T",0,-1))),TRUE),INDIRECT("'"&amp; MID(OFFSET(Z165,ROW(Z$3)-ROW(Z165),IF(OFFSET(Z165,ROW(Z$2)-ROW(Z165),2)="T",0,IF(OFFSET(Z165,ROW(Z$2)-ROW(Z165),1)="T",-1,-2))),1,6) &amp; "'!2:2",TRUE),0)-IF(OFFSET(Z165,ROW(Z$2)-ROW(Z165),2)="T",1,IF(OFFSET(Z165,ROW(Z$2)-ROW(Z165),1)="T",0,-1))),TRUE)</f>
        <v>0</v>
      </c>
      <c r="AA165" s="362">
        <f t="shared" ca="1" si="300"/>
        <v>0</v>
      </c>
      <c r="AB165" s="363">
        <f t="shared" ca="1" si="264"/>
        <v>0</v>
      </c>
      <c r="AC165" s="360">
        <f t="shared" ca="1" si="252"/>
        <v>0</v>
      </c>
      <c r="AD165" s="361">
        <f t="shared" ref="AD165:AE170" ca="1" si="301">INDIRECT("'"&amp; MID(OFFSET(AD165,ROW(AD$3)-ROW(AD165),IF(OFFSET(AD165,ROW(AD$2)-ROW(AD165),2)="T",0,IF(OFFSET(AD165,ROW(AD$2)-ROW(AD165),1)="T",-1,-2))),1,6) &amp; "'!" &amp; ADDRESS(ROW(AD165),MATCH(INDIRECT(ADDRESS(2,COLUMN(AD165)+IF(OFFSET(AD165,ROW(AD$2)-ROW(AD165),2)="T",1,IF(OFFSET(AD165,ROW(AD$2)-ROW(AD165),1)="T",0,-1))),TRUE),INDIRECT("'"&amp; MID(OFFSET(AD165,ROW(AD$3)-ROW(AD165),IF(OFFSET(AD165,ROW(AD$2)-ROW(AD165),2)="T",0,IF(OFFSET(AD165,ROW(AD$2)-ROW(AD165),1)="T",-1,-2))),1,6) &amp; "'!2:2",TRUE),0)-IF(OFFSET(AD165,ROW(AD$2)-ROW(AD165),2)="T",1,IF(OFFSET(AD165,ROW(AD$2)-ROW(AD165),1)="T",0,-1))),TRUE)</f>
        <v>0</v>
      </c>
      <c r="AE165" s="362">
        <f t="shared" ca="1" si="301"/>
        <v>0</v>
      </c>
      <c r="AF165" s="363">
        <f t="shared" ca="1" si="265"/>
        <v>0</v>
      </c>
      <c r="AG165" s="360">
        <f t="shared" ca="1" si="253"/>
        <v>0</v>
      </c>
      <c r="AH165" s="361">
        <f t="shared" ref="AH165:AI170" ca="1" si="302">INDIRECT("'"&amp; MID(OFFSET(AH165,ROW(AH$3)-ROW(AH165),IF(OFFSET(AH165,ROW(AH$2)-ROW(AH165),2)="T",0,IF(OFFSET(AH165,ROW(AH$2)-ROW(AH165),1)="T",-1,-2))),1,6) &amp; "'!" &amp; ADDRESS(ROW(AH165),MATCH(INDIRECT(ADDRESS(2,COLUMN(AH165)+IF(OFFSET(AH165,ROW(AH$2)-ROW(AH165),2)="T",1,IF(OFFSET(AH165,ROW(AH$2)-ROW(AH165),1)="T",0,-1))),TRUE),INDIRECT("'"&amp; MID(OFFSET(AH165,ROW(AH$3)-ROW(AH165),IF(OFFSET(AH165,ROW(AH$2)-ROW(AH165),2)="T",0,IF(OFFSET(AH165,ROW(AH$2)-ROW(AH165),1)="T",-1,-2))),1,6) &amp; "'!2:2",TRUE),0)-IF(OFFSET(AH165,ROW(AH$2)-ROW(AH165),2)="T",1,IF(OFFSET(AH165,ROW(AH$2)-ROW(AH165),1)="T",0,-1))),TRUE)</f>
        <v>0</v>
      </c>
      <c r="AI165" s="362">
        <f t="shared" ca="1" si="302"/>
        <v>0</v>
      </c>
      <c r="AJ165" s="363">
        <f t="shared" ca="1" si="266"/>
        <v>0</v>
      </c>
      <c r="AK165" s="360">
        <f t="shared" ca="1" si="254"/>
        <v>0</v>
      </c>
      <c r="AL165" s="361">
        <f t="shared" ref="AL165:AM170" ca="1" si="303">INDIRECT("'"&amp; MID(OFFSET(AL165,ROW(AL$3)-ROW(AL165),IF(OFFSET(AL165,ROW(AL$2)-ROW(AL165),2)="T",0,IF(OFFSET(AL165,ROW(AL$2)-ROW(AL165),1)="T",-1,-2))),1,6) &amp; "'!" &amp; ADDRESS(ROW(AL165),MATCH(INDIRECT(ADDRESS(2,COLUMN(AL165)+IF(OFFSET(AL165,ROW(AL$2)-ROW(AL165),2)="T",1,IF(OFFSET(AL165,ROW(AL$2)-ROW(AL165),1)="T",0,-1))),TRUE),INDIRECT("'"&amp; MID(OFFSET(AL165,ROW(AL$3)-ROW(AL165),IF(OFFSET(AL165,ROW(AL$2)-ROW(AL165),2)="T",0,IF(OFFSET(AL165,ROW(AL$2)-ROW(AL165),1)="T",-1,-2))),1,6) &amp; "'!2:2",TRUE),0)-IF(OFFSET(AL165,ROW(AL$2)-ROW(AL165),2)="T",1,IF(OFFSET(AL165,ROW(AL$2)-ROW(AL165),1)="T",0,-1))),TRUE)</f>
        <v>0</v>
      </c>
      <c r="AM165" s="362">
        <f t="shared" ca="1" si="303"/>
        <v>0</v>
      </c>
      <c r="AN165" s="363">
        <f t="shared" ca="1" si="267"/>
        <v>0</v>
      </c>
      <c r="AO165" s="360">
        <f t="shared" ca="1" si="255"/>
        <v>0</v>
      </c>
      <c r="AP165" s="361">
        <f t="shared" ref="AP165:AQ170" ca="1" si="304">INDIRECT("'"&amp; MID(OFFSET(AP165,ROW(AP$3)-ROW(AP165),IF(OFFSET(AP165,ROW(AP$2)-ROW(AP165),2)="T",0,IF(OFFSET(AP165,ROW(AP$2)-ROW(AP165),1)="T",-1,-2))),1,6) &amp; "'!" &amp; ADDRESS(ROW(AP165),MATCH(INDIRECT(ADDRESS(2,COLUMN(AP165)+IF(OFFSET(AP165,ROW(AP$2)-ROW(AP165),2)="T",1,IF(OFFSET(AP165,ROW(AP$2)-ROW(AP165),1)="T",0,-1))),TRUE),INDIRECT("'"&amp; MID(OFFSET(AP165,ROW(AP$3)-ROW(AP165),IF(OFFSET(AP165,ROW(AP$2)-ROW(AP165),2)="T",0,IF(OFFSET(AP165,ROW(AP$2)-ROW(AP165),1)="T",-1,-2))),1,6) &amp; "'!2:2",TRUE),0)-IF(OFFSET(AP165,ROW(AP$2)-ROW(AP165),2)="T",1,IF(OFFSET(AP165,ROW(AP$2)-ROW(AP165),1)="T",0,-1))),TRUE)</f>
        <v>0</v>
      </c>
      <c r="AQ165" s="362">
        <f t="shared" ca="1" si="304"/>
        <v>0</v>
      </c>
      <c r="AR165" s="363">
        <f t="shared" ca="1" si="268"/>
        <v>0</v>
      </c>
      <c r="AS165" s="360">
        <f t="shared" ca="1" si="256"/>
        <v>0</v>
      </c>
      <c r="AT165" s="361">
        <f t="shared" ref="AT165:AU170" ca="1" si="305">INDIRECT("'"&amp; MID(OFFSET(AT165,ROW(AT$3)-ROW(AT165),IF(OFFSET(AT165,ROW(AT$2)-ROW(AT165),2)="T",0,IF(OFFSET(AT165,ROW(AT$2)-ROW(AT165),1)="T",-1,-2))),1,6) &amp; "'!" &amp; ADDRESS(ROW(AT165),MATCH(INDIRECT(ADDRESS(2,COLUMN(AT165)+IF(OFFSET(AT165,ROW(AT$2)-ROW(AT165),2)="T",1,IF(OFFSET(AT165,ROW(AT$2)-ROW(AT165),1)="T",0,-1))),TRUE),INDIRECT("'"&amp; MID(OFFSET(AT165,ROW(AT$3)-ROW(AT165),IF(OFFSET(AT165,ROW(AT$2)-ROW(AT165),2)="T",0,IF(OFFSET(AT165,ROW(AT$2)-ROW(AT165),1)="T",-1,-2))),1,6) &amp; "'!2:2",TRUE),0)-IF(OFFSET(AT165,ROW(AT$2)-ROW(AT165),2)="T",1,IF(OFFSET(AT165,ROW(AT$2)-ROW(AT165),1)="T",0,-1))),TRUE)</f>
        <v>0</v>
      </c>
      <c r="AU165" s="362">
        <f t="shared" ca="1" si="305"/>
        <v>0</v>
      </c>
      <c r="AV165" s="363">
        <f t="shared" ca="1" si="269"/>
        <v>0</v>
      </c>
      <c r="AW165" s="360">
        <f t="shared" ca="1" si="257"/>
        <v>0</v>
      </c>
      <c r="AX165" s="361">
        <f t="shared" ref="AX165:AY170" ca="1" si="306">INDIRECT("'"&amp; MID(OFFSET(AX165,ROW(AX$3)-ROW(AX165),IF(OFFSET(AX165,ROW(AX$2)-ROW(AX165),2)="T",0,IF(OFFSET(AX165,ROW(AX$2)-ROW(AX165),1)="T",-1,-2))),1,6) &amp; "'!" &amp; ADDRESS(ROW(AX165),MATCH(INDIRECT(ADDRESS(2,COLUMN(AX165)+IF(OFFSET(AX165,ROW(AX$2)-ROW(AX165),2)="T",1,IF(OFFSET(AX165,ROW(AX$2)-ROW(AX165),1)="T",0,-1))),TRUE),INDIRECT("'"&amp; MID(OFFSET(AX165,ROW(AX$3)-ROW(AX165),IF(OFFSET(AX165,ROW(AX$2)-ROW(AX165),2)="T",0,IF(OFFSET(AX165,ROW(AX$2)-ROW(AX165),1)="T",-1,-2))),1,6) &amp; "'!2:2",TRUE),0)-IF(OFFSET(AX165,ROW(AX$2)-ROW(AX165),2)="T",1,IF(OFFSET(AX165,ROW(AX$2)-ROW(AX165),1)="T",0,-1))),TRUE)</f>
        <v>0</v>
      </c>
      <c r="AY165" s="362">
        <f t="shared" ca="1" si="306"/>
        <v>0</v>
      </c>
      <c r="AZ165" s="363">
        <f t="shared" ca="1" si="270"/>
        <v>0</v>
      </c>
      <c r="BA165" s="360">
        <f t="shared" ca="1" si="258"/>
        <v>0</v>
      </c>
      <c r="BB165" s="361">
        <f t="shared" ref="BB165:BC170" ca="1" si="307">INDIRECT("'"&amp; MID(OFFSET(BB165,ROW(BB$3)-ROW(BB165),IF(OFFSET(BB165,ROW(BB$2)-ROW(BB165),2)="T",0,IF(OFFSET(BB165,ROW(BB$2)-ROW(BB165),1)="T",-1,-2))),1,6) &amp; "'!" &amp; ADDRESS(ROW(BB165),MATCH(INDIRECT(ADDRESS(2,COLUMN(BB165)+IF(OFFSET(BB165,ROW(BB$2)-ROW(BB165),2)="T",1,IF(OFFSET(BB165,ROW(BB$2)-ROW(BB165),1)="T",0,-1))),TRUE),INDIRECT("'"&amp; MID(OFFSET(BB165,ROW(BB$3)-ROW(BB165),IF(OFFSET(BB165,ROW(BB$2)-ROW(BB165),2)="T",0,IF(OFFSET(BB165,ROW(BB$2)-ROW(BB165),1)="T",-1,-2))),1,6) &amp; "'!2:2",TRUE),0)-IF(OFFSET(BB165,ROW(BB$2)-ROW(BB165),2)="T",1,IF(OFFSET(BB165,ROW(BB$2)-ROW(BB165),1)="T",0,-1))),TRUE)</f>
        <v>0</v>
      </c>
      <c r="BC165" s="362">
        <f t="shared" ca="1" si="307"/>
        <v>0</v>
      </c>
      <c r="BD165" s="363">
        <f t="shared" ca="1" si="271"/>
        <v>0</v>
      </c>
      <c r="BE165" s="360">
        <f t="shared" ca="1" si="259"/>
        <v>0</v>
      </c>
      <c r="BF165" s="361">
        <f t="shared" ref="BF165:BG170" ca="1" si="308">INDIRECT("'"&amp; MID(OFFSET(BF165,ROW(BF$3)-ROW(BF165),IF(OFFSET(BF165,ROW(BF$2)-ROW(BF165),2)="T",0,IF(OFFSET(BF165,ROW(BF$2)-ROW(BF165),1)="T",-1,-2))),1,6) &amp; "'!" &amp; ADDRESS(ROW(BF165),MATCH(INDIRECT(ADDRESS(2,COLUMN(BF165)+IF(OFFSET(BF165,ROW(BF$2)-ROW(BF165),2)="T",1,IF(OFFSET(BF165,ROW(BF$2)-ROW(BF165),1)="T",0,-1))),TRUE),INDIRECT("'"&amp; MID(OFFSET(BF165,ROW(BF$3)-ROW(BF165),IF(OFFSET(BF165,ROW(BF$2)-ROW(BF165),2)="T",0,IF(OFFSET(BF165,ROW(BF$2)-ROW(BF165),1)="T",-1,-2))),1,6) &amp; "'!2:2",TRUE),0)-IF(OFFSET(BF165,ROW(BF$2)-ROW(BF165),2)="T",1,IF(OFFSET(BF165,ROW(BF$2)-ROW(BF165),1)="T",0,-1))),TRUE)</f>
        <v>0</v>
      </c>
      <c r="BG165" s="362">
        <f t="shared" ca="1" si="308"/>
        <v>0</v>
      </c>
      <c r="BH165" s="363">
        <f t="shared" ca="1" si="272"/>
        <v>0</v>
      </c>
      <c r="BI165" s="360">
        <f t="shared" ca="1" si="260"/>
        <v>0</v>
      </c>
      <c r="BJ165" s="361">
        <f t="shared" ref="BJ165:BK170" ca="1" si="309">INDIRECT("'"&amp; MID(OFFSET(BJ165,ROW(BJ$3)-ROW(BJ165),IF(OFFSET(BJ165,ROW(BJ$2)-ROW(BJ165),2)="T",0,IF(OFFSET(BJ165,ROW(BJ$2)-ROW(BJ165),1)="T",-1,-2))),1,6) &amp; "'!" &amp; ADDRESS(ROW(BJ165),MATCH(INDIRECT(ADDRESS(2,COLUMN(BJ165)+IF(OFFSET(BJ165,ROW(BJ$2)-ROW(BJ165),2)="T",1,IF(OFFSET(BJ165,ROW(BJ$2)-ROW(BJ165),1)="T",0,-1))),TRUE),INDIRECT("'"&amp; MID(OFFSET(BJ165,ROW(BJ$3)-ROW(BJ165),IF(OFFSET(BJ165,ROW(BJ$2)-ROW(BJ165),2)="T",0,IF(OFFSET(BJ165,ROW(BJ$2)-ROW(BJ165),1)="T",-1,-2))),1,6) &amp; "'!2:2",TRUE),0)-IF(OFFSET(BJ165,ROW(BJ$2)-ROW(BJ165),2)="T",1,IF(OFFSET(BJ165,ROW(BJ$2)-ROW(BJ165),1)="T",0,-1))),TRUE)</f>
        <v>0</v>
      </c>
      <c r="BK165" s="362">
        <f t="shared" ca="1" si="309"/>
        <v>0</v>
      </c>
      <c r="BL165" s="363">
        <f t="shared" ca="1" si="273"/>
        <v>0</v>
      </c>
      <c r="BM165" s="360">
        <f t="shared" ca="1" si="261"/>
        <v>0</v>
      </c>
      <c r="BN165" s="360">
        <f t="shared" ca="1" si="261"/>
        <v>0</v>
      </c>
    </row>
    <row r="166" spans="1:66">
      <c r="A166" s="221" t="str">
        <f t="shared" ca="1" si="248"/>
        <v>WP005</v>
      </c>
      <c r="B166" s="221" t="str">
        <f t="shared" ca="1" si="249"/>
        <v>WP005</v>
      </c>
      <c r="C166" s="221">
        <v>7</v>
      </c>
      <c r="D166" s="221" t="s">
        <v>114</v>
      </c>
      <c r="L166" s="221" t="s">
        <v>110</v>
      </c>
      <c r="M166" s="221" t="s">
        <v>80</v>
      </c>
      <c r="N166" s="461"/>
      <c r="O166" s="255"/>
      <c r="P166" s="389"/>
      <c r="Q166" s="254" t="s">
        <v>115</v>
      </c>
      <c r="R166" s="361">
        <f t="shared" ca="1" si="298"/>
        <v>0</v>
      </c>
      <c r="S166" s="362">
        <f t="shared" ca="1" si="298"/>
        <v>0</v>
      </c>
      <c r="T166" s="363">
        <f t="shared" ca="1" si="262"/>
        <v>0</v>
      </c>
      <c r="U166" s="360">
        <f t="shared" ca="1" si="250"/>
        <v>0</v>
      </c>
      <c r="V166" s="361">
        <f t="shared" ca="1" si="299"/>
        <v>0</v>
      </c>
      <c r="W166" s="362">
        <f t="shared" ca="1" si="299"/>
        <v>0</v>
      </c>
      <c r="X166" s="363">
        <f t="shared" ca="1" si="263"/>
        <v>0</v>
      </c>
      <c r="Y166" s="360">
        <f t="shared" ca="1" si="251"/>
        <v>0</v>
      </c>
      <c r="Z166" s="361">
        <f t="shared" ca="1" si="300"/>
        <v>0</v>
      </c>
      <c r="AA166" s="362">
        <f t="shared" ca="1" si="300"/>
        <v>0</v>
      </c>
      <c r="AB166" s="363">
        <f t="shared" ca="1" si="264"/>
        <v>0</v>
      </c>
      <c r="AC166" s="360">
        <f t="shared" ca="1" si="252"/>
        <v>0</v>
      </c>
      <c r="AD166" s="361">
        <f t="shared" ca="1" si="301"/>
        <v>0</v>
      </c>
      <c r="AE166" s="362">
        <f t="shared" ca="1" si="301"/>
        <v>0</v>
      </c>
      <c r="AF166" s="363">
        <f t="shared" ca="1" si="265"/>
        <v>0</v>
      </c>
      <c r="AG166" s="360">
        <f t="shared" ca="1" si="253"/>
        <v>0</v>
      </c>
      <c r="AH166" s="361">
        <f t="shared" ca="1" si="302"/>
        <v>0</v>
      </c>
      <c r="AI166" s="362">
        <f t="shared" ca="1" si="302"/>
        <v>0</v>
      </c>
      <c r="AJ166" s="363">
        <f t="shared" ca="1" si="266"/>
        <v>0</v>
      </c>
      <c r="AK166" s="360">
        <f t="shared" ca="1" si="254"/>
        <v>0</v>
      </c>
      <c r="AL166" s="361">
        <f t="shared" ca="1" si="303"/>
        <v>0</v>
      </c>
      <c r="AM166" s="362">
        <f t="shared" ca="1" si="303"/>
        <v>0</v>
      </c>
      <c r="AN166" s="363">
        <f t="shared" ca="1" si="267"/>
        <v>0</v>
      </c>
      <c r="AO166" s="360">
        <f t="shared" ca="1" si="255"/>
        <v>0</v>
      </c>
      <c r="AP166" s="361">
        <f t="shared" ca="1" si="304"/>
        <v>0</v>
      </c>
      <c r="AQ166" s="362">
        <f t="shared" ca="1" si="304"/>
        <v>0</v>
      </c>
      <c r="AR166" s="363">
        <f t="shared" ca="1" si="268"/>
        <v>0</v>
      </c>
      <c r="AS166" s="360">
        <f t="shared" ca="1" si="256"/>
        <v>0</v>
      </c>
      <c r="AT166" s="361">
        <f t="shared" ca="1" si="305"/>
        <v>0</v>
      </c>
      <c r="AU166" s="362">
        <f t="shared" ca="1" si="305"/>
        <v>0</v>
      </c>
      <c r="AV166" s="363">
        <f t="shared" ca="1" si="269"/>
        <v>0</v>
      </c>
      <c r="AW166" s="360">
        <f t="shared" ca="1" si="257"/>
        <v>0</v>
      </c>
      <c r="AX166" s="361">
        <f t="shared" ca="1" si="306"/>
        <v>0</v>
      </c>
      <c r="AY166" s="362">
        <f t="shared" ca="1" si="306"/>
        <v>0</v>
      </c>
      <c r="AZ166" s="363">
        <f t="shared" ca="1" si="270"/>
        <v>0</v>
      </c>
      <c r="BA166" s="360">
        <f t="shared" ca="1" si="258"/>
        <v>0</v>
      </c>
      <c r="BB166" s="361">
        <f t="shared" ca="1" si="307"/>
        <v>0</v>
      </c>
      <c r="BC166" s="362">
        <f t="shared" ca="1" si="307"/>
        <v>0</v>
      </c>
      <c r="BD166" s="363">
        <f t="shared" ca="1" si="271"/>
        <v>0</v>
      </c>
      <c r="BE166" s="360">
        <f t="shared" ca="1" si="259"/>
        <v>0</v>
      </c>
      <c r="BF166" s="361">
        <f t="shared" ca="1" si="308"/>
        <v>0</v>
      </c>
      <c r="BG166" s="362">
        <f t="shared" ca="1" si="308"/>
        <v>0</v>
      </c>
      <c r="BH166" s="363">
        <f t="shared" ca="1" si="272"/>
        <v>0</v>
      </c>
      <c r="BI166" s="360">
        <f t="shared" ca="1" si="260"/>
        <v>0</v>
      </c>
      <c r="BJ166" s="361">
        <f t="shared" ca="1" si="309"/>
        <v>0</v>
      </c>
      <c r="BK166" s="362">
        <f t="shared" ca="1" si="309"/>
        <v>0</v>
      </c>
      <c r="BL166" s="363">
        <f t="shared" ca="1" si="273"/>
        <v>0</v>
      </c>
      <c r="BM166" s="360">
        <f t="shared" ca="1" si="261"/>
        <v>0</v>
      </c>
      <c r="BN166" s="360">
        <f t="shared" ca="1" si="261"/>
        <v>0</v>
      </c>
    </row>
    <row r="167" spans="1:66">
      <c r="A167" s="221" t="str">
        <f t="shared" ca="1" si="248"/>
        <v>WP005</v>
      </c>
      <c r="B167" s="221" t="str">
        <f t="shared" ca="1" si="249"/>
        <v>WP005</v>
      </c>
      <c r="C167" s="221">
        <v>7</v>
      </c>
      <c r="D167" s="221" t="s">
        <v>116</v>
      </c>
      <c r="L167" s="221" t="s">
        <v>110</v>
      </c>
      <c r="M167" s="221" t="s">
        <v>80</v>
      </c>
      <c r="N167" s="461"/>
      <c r="O167" s="255"/>
      <c r="P167" s="389"/>
      <c r="Q167" s="254" t="s">
        <v>117</v>
      </c>
      <c r="R167" s="361">
        <f t="shared" ca="1" si="298"/>
        <v>0</v>
      </c>
      <c r="S167" s="362">
        <f t="shared" ca="1" si="298"/>
        <v>0</v>
      </c>
      <c r="T167" s="363">
        <f t="shared" ca="1" si="262"/>
        <v>0</v>
      </c>
      <c r="U167" s="360">
        <f t="shared" ca="1" si="250"/>
        <v>0</v>
      </c>
      <c r="V167" s="361">
        <f t="shared" ca="1" si="299"/>
        <v>0</v>
      </c>
      <c r="W167" s="362">
        <f t="shared" ca="1" si="299"/>
        <v>0</v>
      </c>
      <c r="X167" s="363">
        <f t="shared" ca="1" si="263"/>
        <v>0</v>
      </c>
      <c r="Y167" s="360">
        <f t="shared" ca="1" si="251"/>
        <v>0</v>
      </c>
      <c r="Z167" s="361">
        <f t="shared" ca="1" si="300"/>
        <v>0</v>
      </c>
      <c r="AA167" s="362">
        <f t="shared" ca="1" si="300"/>
        <v>0</v>
      </c>
      <c r="AB167" s="363">
        <f t="shared" ca="1" si="264"/>
        <v>0</v>
      </c>
      <c r="AC167" s="360">
        <f t="shared" ca="1" si="252"/>
        <v>0</v>
      </c>
      <c r="AD167" s="361">
        <f t="shared" ca="1" si="301"/>
        <v>0</v>
      </c>
      <c r="AE167" s="362">
        <f t="shared" ca="1" si="301"/>
        <v>0</v>
      </c>
      <c r="AF167" s="363">
        <f t="shared" ca="1" si="265"/>
        <v>0</v>
      </c>
      <c r="AG167" s="360">
        <f t="shared" ca="1" si="253"/>
        <v>0</v>
      </c>
      <c r="AH167" s="361">
        <f t="shared" ca="1" si="302"/>
        <v>0</v>
      </c>
      <c r="AI167" s="362">
        <f t="shared" ca="1" si="302"/>
        <v>0</v>
      </c>
      <c r="AJ167" s="363">
        <f t="shared" ca="1" si="266"/>
        <v>0</v>
      </c>
      <c r="AK167" s="360">
        <f t="shared" ca="1" si="254"/>
        <v>0</v>
      </c>
      <c r="AL167" s="361">
        <f t="shared" ca="1" si="303"/>
        <v>0</v>
      </c>
      <c r="AM167" s="362">
        <f t="shared" ca="1" si="303"/>
        <v>0</v>
      </c>
      <c r="AN167" s="363">
        <f t="shared" ca="1" si="267"/>
        <v>0</v>
      </c>
      <c r="AO167" s="360">
        <f t="shared" ca="1" si="255"/>
        <v>0</v>
      </c>
      <c r="AP167" s="361">
        <f t="shared" ca="1" si="304"/>
        <v>0</v>
      </c>
      <c r="AQ167" s="362">
        <f t="shared" ca="1" si="304"/>
        <v>0</v>
      </c>
      <c r="AR167" s="363">
        <f t="shared" ca="1" si="268"/>
        <v>0</v>
      </c>
      <c r="AS167" s="360">
        <f t="shared" ca="1" si="256"/>
        <v>0</v>
      </c>
      <c r="AT167" s="361">
        <f t="shared" ca="1" si="305"/>
        <v>0</v>
      </c>
      <c r="AU167" s="362">
        <f t="shared" ca="1" si="305"/>
        <v>0</v>
      </c>
      <c r="AV167" s="363">
        <f t="shared" ca="1" si="269"/>
        <v>0</v>
      </c>
      <c r="AW167" s="360">
        <f t="shared" ca="1" si="257"/>
        <v>0</v>
      </c>
      <c r="AX167" s="361">
        <f t="shared" ca="1" si="306"/>
        <v>0</v>
      </c>
      <c r="AY167" s="362">
        <f t="shared" ca="1" si="306"/>
        <v>0</v>
      </c>
      <c r="AZ167" s="363">
        <f t="shared" ca="1" si="270"/>
        <v>0</v>
      </c>
      <c r="BA167" s="360">
        <f t="shared" ca="1" si="258"/>
        <v>0</v>
      </c>
      <c r="BB167" s="361">
        <f t="shared" ca="1" si="307"/>
        <v>0</v>
      </c>
      <c r="BC167" s="362">
        <f t="shared" ca="1" si="307"/>
        <v>0</v>
      </c>
      <c r="BD167" s="363">
        <f t="shared" ca="1" si="271"/>
        <v>0</v>
      </c>
      <c r="BE167" s="360">
        <f t="shared" ca="1" si="259"/>
        <v>0</v>
      </c>
      <c r="BF167" s="361">
        <f t="shared" ca="1" si="308"/>
        <v>0</v>
      </c>
      <c r="BG167" s="362">
        <f t="shared" ca="1" si="308"/>
        <v>0</v>
      </c>
      <c r="BH167" s="363">
        <f t="shared" ca="1" si="272"/>
        <v>0</v>
      </c>
      <c r="BI167" s="360">
        <f t="shared" ca="1" si="260"/>
        <v>0</v>
      </c>
      <c r="BJ167" s="361">
        <f t="shared" ca="1" si="309"/>
        <v>0</v>
      </c>
      <c r="BK167" s="362">
        <f t="shared" ca="1" si="309"/>
        <v>0</v>
      </c>
      <c r="BL167" s="363">
        <f t="shared" ca="1" si="273"/>
        <v>0</v>
      </c>
      <c r="BM167" s="360">
        <f t="shared" ca="1" si="261"/>
        <v>0</v>
      </c>
      <c r="BN167" s="360">
        <f t="shared" ca="1" si="261"/>
        <v>0</v>
      </c>
    </row>
    <row r="168" spans="1:66">
      <c r="A168" s="221" t="str">
        <f t="shared" ca="1" si="248"/>
        <v>WP005</v>
      </c>
      <c r="B168" s="221" t="str">
        <f t="shared" ca="1" si="249"/>
        <v>WP005</v>
      </c>
      <c r="C168" s="221">
        <v>7</v>
      </c>
      <c r="D168" s="221" t="s">
        <v>118</v>
      </c>
      <c r="L168" s="221" t="s">
        <v>110</v>
      </c>
      <c r="M168" s="221" t="s">
        <v>80</v>
      </c>
      <c r="N168" s="461"/>
      <c r="O168" s="255"/>
      <c r="P168" s="389"/>
      <c r="Q168" s="254" t="s">
        <v>119</v>
      </c>
      <c r="R168" s="361">
        <f t="shared" ca="1" si="298"/>
        <v>0</v>
      </c>
      <c r="S168" s="362">
        <f t="shared" ca="1" si="298"/>
        <v>0</v>
      </c>
      <c r="T168" s="363">
        <f t="shared" ca="1" si="262"/>
        <v>0</v>
      </c>
      <c r="U168" s="360">
        <f t="shared" ca="1" si="250"/>
        <v>0</v>
      </c>
      <c r="V168" s="361">
        <f t="shared" ca="1" si="299"/>
        <v>0</v>
      </c>
      <c r="W168" s="362">
        <f t="shared" ca="1" si="299"/>
        <v>0</v>
      </c>
      <c r="X168" s="363">
        <f t="shared" ca="1" si="263"/>
        <v>0</v>
      </c>
      <c r="Y168" s="360">
        <f t="shared" ca="1" si="251"/>
        <v>0</v>
      </c>
      <c r="Z168" s="361">
        <f t="shared" ca="1" si="300"/>
        <v>0</v>
      </c>
      <c r="AA168" s="362">
        <f t="shared" ca="1" si="300"/>
        <v>0</v>
      </c>
      <c r="AB168" s="363">
        <f t="shared" ca="1" si="264"/>
        <v>0</v>
      </c>
      <c r="AC168" s="360">
        <f t="shared" ca="1" si="252"/>
        <v>0</v>
      </c>
      <c r="AD168" s="361">
        <f t="shared" ca="1" si="301"/>
        <v>0</v>
      </c>
      <c r="AE168" s="362">
        <f t="shared" ca="1" si="301"/>
        <v>0</v>
      </c>
      <c r="AF168" s="363">
        <f t="shared" ca="1" si="265"/>
        <v>0</v>
      </c>
      <c r="AG168" s="360">
        <f t="shared" ca="1" si="253"/>
        <v>0</v>
      </c>
      <c r="AH168" s="361">
        <f t="shared" ca="1" si="302"/>
        <v>0</v>
      </c>
      <c r="AI168" s="362">
        <f t="shared" ca="1" si="302"/>
        <v>0</v>
      </c>
      <c r="AJ168" s="363">
        <f t="shared" ca="1" si="266"/>
        <v>0</v>
      </c>
      <c r="AK168" s="360">
        <f t="shared" ca="1" si="254"/>
        <v>0</v>
      </c>
      <c r="AL168" s="361">
        <f t="shared" ca="1" si="303"/>
        <v>0</v>
      </c>
      <c r="AM168" s="362">
        <f t="shared" ca="1" si="303"/>
        <v>0</v>
      </c>
      <c r="AN168" s="363">
        <f t="shared" ca="1" si="267"/>
        <v>0</v>
      </c>
      <c r="AO168" s="360">
        <f t="shared" ca="1" si="255"/>
        <v>0</v>
      </c>
      <c r="AP168" s="361">
        <f t="shared" ca="1" si="304"/>
        <v>0</v>
      </c>
      <c r="AQ168" s="362">
        <f t="shared" ca="1" si="304"/>
        <v>0</v>
      </c>
      <c r="AR168" s="363">
        <f t="shared" ca="1" si="268"/>
        <v>0</v>
      </c>
      <c r="AS168" s="360">
        <f t="shared" ca="1" si="256"/>
        <v>0</v>
      </c>
      <c r="AT168" s="361">
        <f t="shared" ca="1" si="305"/>
        <v>0</v>
      </c>
      <c r="AU168" s="362">
        <f t="shared" ca="1" si="305"/>
        <v>0</v>
      </c>
      <c r="AV168" s="363">
        <f t="shared" ca="1" si="269"/>
        <v>0</v>
      </c>
      <c r="AW168" s="360">
        <f t="shared" ca="1" si="257"/>
        <v>0</v>
      </c>
      <c r="AX168" s="361">
        <f t="shared" ca="1" si="306"/>
        <v>0</v>
      </c>
      <c r="AY168" s="362">
        <f t="shared" ca="1" si="306"/>
        <v>0</v>
      </c>
      <c r="AZ168" s="363">
        <f t="shared" ca="1" si="270"/>
        <v>0</v>
      </c>
      <c r="BA168" s="360">
        <f t="shared" ca="1" si="258"/>
        <v>0</v>
      </c>
      <c r="BB168" s="361">
        <f t="shared" ca="1" si="307"/>
        <v>0</v>
      </c>
      <c r="BC168" s="362">
        <f t="shared" ca="1" si="307"/>
        <v>0</v>
      </c>
      <c r="BD168" s="363">
        <f t="shared" ca="1" si="271"/>
        <v>0</v>
      </c>
      <c r="BE168" s="360">
        <f t="shared" ca="1" si="259"/>
        <v>0</v>
      </c>
      <c r="BF168" s="361">
        <f t="shared" ca="1" si="308"/>
        <v>0</v>
      </c>
      <c r="BG168" s="362">
        <f t="shared" ca="1" si="308"/>
        <v>0</v>
      </c>
      <c r="BH168" s="363">
        <f t="shared" ca="1" si="272"/>
        <v>0</v>
      </c>
      <c r="BI168" s="360">
        <f t="shared" ca="1" si="260"/>
        <v>0</v>
      </c>
      <c r="BJ168" s="361">
        <f t="shared" ca="1" si="309"/>
        <v>0</v>
      </c>
      <c r="BK168" s="362">
        <f t="shared" ca="1" si="309"/>
        <v>0</v>
      </c>
      <c r="BL168" s="363">
        <f t="shared" ca="1" si="273"/>
        <v>0</v>
      </c>
      <c r="BM168" s="360">
        <f t="shared" ca="1" si="261"/>
        <v>0</v>
      </c>
      <c r="BN168" s="360">
        <f t="shared" ca="1" si="261"/>
        <v>0</v>
      </c>
    </row>
    <row r="169" spans="1:66">
      <c r="A169" s="221" t="str">
        <f t="shared" ca="1" si="248"/>
        <v>WP005</v>
      </c>
      <c r="B169" s="221" t="str">
        <f t="shared" ca="1" si="249"/>
        <v>WP005</v>
      </c>
      <c r="C169" s="221">
        <v>7</v>
      </c>
      <c r="D169" s="221" t="s">
        <v>120</v>
      </c>
      <c r="L169" s="221" t="s">
        <v>110</v>
      </c>
      <c r="M169" s="221" t="s">
        <v>80</v>
      </c>
      <c r="N169" s="461"/>
      <c r="O169" s="255"/>
      <c r="P169" s="389"/>
      <c r="Q169" s="254" t="s">
        <v>121</v>
      </c>
      <c r="R169" s="361">
        <f t="shared" ca="1" si="298"/>
        <v>0</v>
      </c>
      <c r="S169" s="362">
        <f t="shared" ca="1" si="298"/>
        <v>0</v>
      </c>
      <c r="T169" s="363">
        <f t="shared" ca="1" si="262"/>
        <v>0</v>
      </c>
      <c r="U169" s="360">
        <f t="shared" ca="1" si="250"/>
        <v>0</v>
      </c>
      <c r="V169" s="361">
        <f t="shared" ca="1" si="299"/>
        <v>0</v>
      </c>
      <c r="W169" s="362">
        <f t="shared" ca="1" si="299"/>
        <v>0</v>
      </c>
      <c r="X169" s="363">
        <f t="shared" ca="1" si="263"/>
        <v>0</v>
      </c>
      <c r="Y169" s="360">
        <f t="shared" ca="1" si="251"/>
        <v>0</v>
      </c>
      <c r="Z169" s="361">
        <f t="shared" ca="1" si="300"/>
        <v>0</v>
      </c>
      <c r="AA169" s="362">
        <f t="shared" ca="1" si="300"/>
        <v>0</v>
      </c>
      <c r="AB169" s="363">
        <f t="shared" ca="1" si="264"/>
        <v>0</v>
      </c>
      <c r="AC169" s="360">
        <f t="shared" ca="1" si="252"/>
        <v>0</v>
      </c>
      <c r="AD169" s="361">
        <f t="shared" ca="1" si="301"/>
        <v>0</v>
      </c>
      <c r="AE169" s="362">
        <f t="shared" ca="1" si="301"/>
        <v>0</v>
      </c>
      <c r="AF169" s="363">
        <f t="shared" ca="1" si="265"/>
        <v>0</v>
      </c>
      <c r="AG169" s="360">
        <f t="shared" ca="1" si="253"/>
        <v>0</v>
      </c>
      <c r="AH169" s="361">
        <f t="shared" ca="1" si="302"/>
        <v>0</v>
      </c>
      <c r="AI169" s="362">
        <f t="shared" ca="1" si="302"/>
        <v>0</v>
      </c>
      <c r="AJ169" s="363">
        <f t="shared" ca="1" si="266"/>
        <v>0</v>
      </c>
      <c r="AK169" s="360">
        <f t="shared" ca="1" si="254"/>
        <v>0</v>
      </c>
      <c r="AL169" s="361">
        <f t="shared" ca="1" si="303"/>
        <v>0</v>
      </c>
      <c r="AM169" s="362">
        <f t="shared" ca="1" si="303"/>
        <v>0</v>
      </c>
      <c r="AN169" s="363">
        <f t="shared" ca="1" si="267"/>
        <v>0</v>
      </c>
      <c r="AO169" s="360">
        <f t="shared" ca="1" si="255"/>
        <v>0</v>
      </c>
      <c r="AP169" s="361">
        <f t="shared" ca="1" si="304"/>
        <v>0</v>
      </c>
      <c r="AQ169" s="362">
        <f t="shared" ca="1" si="304"/>
        <v>0</v>
      </c>
      <c r="AR169" s="363">
        <f t="shared" ca="1" si="268"/>
        <v>0</v>
      </c>
      <c r="AS169" s="360">
        <f t="shared" ca="1" si="256"/>
        <v>0</v>
      </c>
      <c r="AT169" s="361">
        <f t="shared" ca="1" si="305"/>
        <v>0</v>
      </c>
      <c r="AU169" s="362">
        <f t="shared" ca="1" si="305"/>
        <v>0</v>
      </c>
      <c r="AV169" s="363">
        <f t="shared" ca="1" si="269"/>
        <v>0</v>
      </c>
      <c r="AW169" s="360">
        <f t="shared" ca="1" si="257"/>
        <v>0</v>
      </c>
      <c r="AX169" s="361">
        <f t="shared" ca="1" si="306"/>
        <v>0</v>
      </c>
      <c r="AY169" s="362">
        <f t="shared" ca="1" si="306"/>
        <v>0</v>
      </c>
      <c r="AZ169" s="363">
        <f t="shared" ca="1" si="270"/>
        <v>0</v>
      </c>
      <c r="BA169" s="360">
        <f t="shared" ca="1" si="258"/>
        <v>0</v>
      </c>
      <c r="BB169" s="361">
        <f t="shared" ca="1" si="307"/>
        <v>0</v>
      </c>
      <c r="BC169" s="362">
        <f t="shared" ca="1" si="307"/>
        <v>0</v>
      </c>
      <c r="BD169" s="363">
        <f t="shared" ca="1" si="271"/>
        <v>0</v>
      </c>
      <c r="BE169" s="360">
        <f t="shared" ca="1" si="259"/>
        <v>0</v>
      </c>
      <c r="BF169" s="361">
        <f t="shared" ca="1" si="308"/>
        <v>0</v>
      </c>
      <c r="BG169" s="362">
        <f t="shared" ca="1" si="308"/>
        <v>0</v>
      </c>
      <c r="BH169" s="363">
        <f t="shared" ca="1" si="272"/>
        <v>0</v>
      </c>
      <c r="BI169" s="360">
        <f t="shared" ca="1" si="260"/>
        <v>0</v>
      </c>
      <c r="BJ169" s="361">
        <f t="shared" ca="1" si="309"/>
        <v>0</v>
      </c>
      <c r="BK169" s="362">
        <f t="shared" ca="1" si="309"/>
        <v>0</v>
      </c>
      <c r="BL169" s="363">
        <f t="shared" ca="1" si="273"/>
        <v>0</v>
      </c>
      <c r="BM169" s="360">
        <f t="shared" ca="1" si="261"/>
        <v>0</v>
      </c>
      <c r="BN169" s="360">
        <f t="shared" ca="1" si="261"/>
        <v>0</v>
      </c>
    </row>
    <row r="170" spans="1:66">
      <c r="A170" s="221" t="str">
        <f t="shared" ca="1" si="248"/>
        <v>WP005</v>
      </c>
      <c r="B170" s="221" t="str">
        <f t="shared" ca="1" si="249"/>
        <v>WP005</v>
      </c>
      <c r="C170" s="221">
        <v>7</v>
      </c>
      <c r="D170" s="221" t="s">
        <v>122</v>
      </c>
      <c r="L170" s="221" t="s">
        <v>110</v>
      </c>
      <c r="M170" s="221" t="s">
        <v>80</v>
      </c>
      <c r="N170" s="461"/>
      <c r="O170" s="256"/>
      <c r="P170" s="389"/>
      <c r="Q170" s="254" t="s">
        <v>123</v>
      </c>
      <c r="R170" s="361">
        <f t="shared" ca="1" si="298"/>
        <v>0</v>
      </c>
      <c r="S170" s="362">
        <f t="shared" ca="1" si="298"/>
        <v>0</v>
      </c>
      <c r="T170" s="363">
        <f t="shared" ca="1" si="262"/>
        <v>0</v>
      </c>
      <c r="U170" s="360">
        <f t="shared" ca="1" si="250"/>
        <v>0</v>
      </c>
      <c r="V170" s="361">
        <f t="shared" ca="1" si="299"/>
        <v>0</v>
      </c>
      <c r="W170" s="362">
        <f t="shared" ca="1" si="299"/>
        <v>0</v>
      </c>
      <c r="X170" s="363">
        <f t="shared" ca="1" si="263"/>
        <v>0</v>
      </c>
      <c r="Y170" s="360">
        <f t="shared" ca="1" si="251"/>
        <v>0</v>
      </c>
      <c r="Z170" s="361">
        <f t="shared" ca="1" si="300"/>
        <v>0</v>
      </c>
      <c r="AA170" s="362">
        <f t="shared" ca="1" si="300"/>
        <v>0</v>
      </c>
      <c r="AB170" s="363">
        <f t="shared" ca="1" si="264"/>
        <v>0</v>
      </c>
      <c r="AC170" s="360">
        <f t="shared" ca="1" si="252"/>
        <v>0</v>
      </c>
      <c r="AD170" s="361">
        <f t="shared" ca="1" si="301"/>
        <v>0</v>
      </c>
      <c r="AE170" s="362">
        <f t="shared" ca="1" si="301"/>
        <v>0</v>
      </c>
      <c r="AF170" s="363">
        <f t="shared" ca="1" si="265"/>
        <v>0</v>
      </c>
      <c r="AG170" s="360">
        <f t="shared" ca="1" si="253"/>
        <v>0</v>
      </c>
      <c r="AH170" s="361">
        <f t="shared" ca="1" si="302"/>
        <v>0</v>
      </c>
      <c r="AI170" s="362">
        <f t="shared" ca="1" si="302"/>
        <v>0</v>
      </c>
      <c r="AJ170" s="363">
        <f t="shared" ca="1" si="266"/>
        <v>0</v>
      </c>
      <c r="AK170" s="360">
        <f t="shared" ca="1" si="254"/>
        <v>0</v>
      </c>
      <c r="AL170" s="361">
        <f t="shared" ca="1" si="303"/>
        <v>0</v>
      </c>
      <c r="AM170" s="362">
        <f t="shared" ca="1" si="303"/>
        <v>0</v>
      </c>
      <c r="AN170" s="363">
        <f t="shared" ca="1" si="267"/>
        <v>0</v>
      </c>
      <c r="AO170" s="360">
        <f t="shared" ca="1" si="255"/>
        <v>0</v>
      </c>
      <c r="AP170" s="361">
        <f t="shared" ca="1" si="304"/>
        <v>0</v>
      </c>
      <c r="AQ170" s="362">
        <f t="shared" ca="1" si="304"/>
        <v>0</v>
      </c>
      <c r="AR170" s="363">
        <f t="shared" ca="1" si="268"/>
        <v>0</v>
      </c>
      <c r="AS170" s="360">
        <f t="shared" ca="1" si="256"/>
        <v>0</v>
      </c>
      <c r="AT170" s="361">
        <f t="shared" ca="1" si="305"/>
        <v>0</v>
      </c>
      <c r="AU170" s="362">
        <f t="shared" ca="1" si="305"/>
        <v>0</v>
      </c>
      <c r="AV170" s="363">
        <f t="shared" ca="1" si="269"/>
        <v>0</v>
      </c>
      <c r="AW170" s="360">
        <f t="shared" ca="1" si="257"/>
        <v>0</v>
      </c>
      <c r="AX170" s="361">
        <f t="shared" ca="1" si="306"/>
        <v>0</v>
      </c>
      <c r="AY170" s="362">
        <f t="shared" ca="1" si="306"/>
        <v>0</v>
      </c>
      <c r="AZ170" s="363">
        <f t="shared" ca="1" si="270"/>
        <v>0</v>
      </c>
      <c r="BA170" s="360">
        <f t="shared" ca="1" si="258"/>
        <v>0</v>
      </c>
      <c r="BB170" s="361">
        <f t="shared" ca="1" si="307"/>
        <v>0</v>
      </c>
      <c r="BC170" s="362">
        <f t="shared" ca="1" si="307"/>
        <v>0</v>
      </c>
      <c r="BD170" s="363">
        <f t="shared" ca="1" si="271"/>
        <v>0</v>
      </c>
      <c r="BE170" s="360">
        <f t="shared" ca="1" si="259"/>
        <v>0</v>
      </c>
      <c r="BF170" s="361">
        <f t="shared" ca="1" si="308"/>
        <v>0</v>
      </c>
      <c r="BG170" s="362">
        <f t="shared" ca="1" si="308"/>
        <v>0</v>
      </c>
      <c r="BH170" s="363">
        <f t="shared" ca="1" si="272"/>
        <v>0</v>
      </c>
      <c r="BI170" s="360">
        <f t="shared" ca="1" si="260"/>
        <v>0</v>
      </c>
      <c r="BJ170" s="361">
        <f t="shared" ca="1" si="309"/>
        <v>0</v>
      </c>
      <c r="BK170" s="362">
        <f t="shared" ca="1" si="309"/>
        <v>0</v>
      </c>
      <c r="BL170" s="363">
        <f t="shared" ca="1" si="273"/>
        <v>0</v>
      </c>
      <c r="BM170" s="360">
        <f t="shared" ca="1" si="261"/>
        <v>0</v>
      </c>
      <c r="BN170" s="360">
        <f t="shared" ca="1" si="261"/>
        <v>0</v>
      </c>
    </row>
    <row r="171" spans="1:66">
      <c r="A171" s="221" t="str">
        <f t="shared" ca="1" si="248"/>
        <v>WP005</v>
      </c>
      <c r="B171" s="221" t="str">
        <f t="shared" ca="1" si="249"/>
        <v>WP005</v>
      </c>
      <c r="C171" s="221">
        <v>4</v>
      </c>
      <c r="D171" s="221" t="s">
        <v>124</v>
      </c>
      <c r="H171" s="221" t="s">
        <v>74</v>
      </c>
      <c r="I171" s="221" t="s">
        <v>125</v>
      </c>
      <c r="M171" s="221" t="s">
        <v>46</v>
      </c>
      <c r="N171" s="461"/>
      <c r="O171" s="452" t="s">
        <v>126</v>
      </c>
      <c r="P171" s="453"/>
      <c r="Q171" s="453"/>
      <c r="R171" s="353"/>
      <c r="S171" s="354"/>
      <c r="T171" s="355">
        <f t="shared" ca="1" si="262"/>
        <v>0</v>
      </c>
      <c r="U171" s="356">
        <f t="shared" ca="1" si="250"/>
        <v>0</v>
      </c>
      <c r="V171" s="353"/>
      <c r="W171" s="354"/>
      <c r="X171" s="355">
        <f t="shared" ca="1" si="263"/>
        <v>0</v>
      </c>
      <c r="Y171" s="356">
        <f t="shared" ca="1" si="251"/>
        <v>0</v>
      </c>
      <c r="Z171" s="353"/>
      <c r="AA171" s="354"/>
      <c r="AB171" s="355">
        <f t="shared" ca="1" si="264"/>
        <v>0</v>
      </c>
      <c r="AC171" s="356">
        <f t="shared" ca="1" si="252"/>
        <v>0</v>
      </c>
      <c r="AD171" s="353"/>
      <c r="AE171" s="354"/>
      <c r="AF171" s="355">
        <f t="shared" ca="1" si="265"/>
        <v>0</v>
      </c>
      <c r="AG171" s="356">
        <f t="shared" ca="1" si="253"/>
        <v>0</v>
      </c>
      <c r="AH171" s="353"/>
      <c r="AI171" s="354"/>
      <c r="AJ171" s="355">
        <f t="shared" ca="1" si="266"/>
        <v>0</v>
      </c>
      <c r="AK171" s="356">
        <f t="shared" ca="1" si="254"/>
        <v>0</v>
      </c>
      <c r="AL171" s="353"/>
      <c r="AM171" s="354"/>
      <c r="AN171" s="355">
        <f t="shared" ca="1" si="267"/>
        <v>0</v>
      </c>
      <c r="AO171" s="356">
        <f t="shared" ca="1" si="255"/>
        <v>0</v>
      </c>
      <c r="AP171" s="353"/>
      <c r="AQ171" s="354"/>
      <c r="AR171" s="355">
        <f t="shared" ca="1" si="268"/>
        <v>0</v>
      </c>
      <c r="AS171" s="356">
        <f t="shared" ca="1" si="256"/>
        <v>0</v>
      </c>
      <c r="AT171" s="353"/>
      <c r="AU171" s="354"/>
      <c r="AV171" s="355">
        <f t="shared" ca="1" si="269"/>
        <v>0</v>
      </c>
      <c r="AW171" s="356">
        <f t="shared" ca="1" si="257"/>
        <v>0</v>
      </c>
      <c r="AX171" s="353"/>
      <c r="AY171" s="354"/>
      <c r="AZ171" s="355">
        <f t="shared" ca="1" si="270"/>
        <v>0</v>
      </c>
      <c r="BA171" s="356">
        <f t="shared" ca="1" si="258"/>
        <v>0</v>
      </c>
      <c r="BB171" s="353"/>
      <c r="BC171" s="354"/>
      <c r="BD171" s="355">
        <f t="shared" ca="1" si="271"/>
        <v>0</v>
      </c>
      <c r="BE171" s="356">
        <f t="shared" ca="1" si="259"/>
        <v>0</v>
      </c>
      <c r="BF171" s="353"/>
      <c r="BG171" s="354"/>
      <c r="BH171" s="355">
        <f t="shared" ca="1" si="272"/>
        <v>0</v>
      </c>
      <c r="BI171" s="356">
        <f t="shared" ca="1" si="260"/>
        <v>0</v>
      </c>
      <c r="BJ171" s="353"/>
      <c r="BK171" s="354"/>
      <c r="BL171" s="355">
        <f t="shared" ca="1" si="273"/>
        <v>0</v>
      </c>
      <c r="BM171" s="356">
        <f t="shared" ca="1" si="261"/>
        <v>0</v>
      </c>
      <c r="BN171" s="356">
        <f t="shared" ca="1" si="261"/>
        <v>0</v>
      </c>
    </row>
    <row r="172" spans="1:66">
      <c r="A172" s="221" t="str">
        <f t="shared" ca="1" si="248"/>
        <v>WP005</v>
      </c>
      <c r="B172" s="221" t="str">
        <f t="shared" ca="1" si="249"/>
        <v>WP005</v>
      </c>
      <c r="C172" s="221">
        <v>5</v>
      </c>
      <c r="D172" s="221" t="s">
        <v>127</v>
      </c>
      <c r="J172" s="222" t="s">
        <v>125</v>
      </c>
      <c r="M172" s="221" t="s">
        <v>80</v>
      </c>
      <c r="N172" s="461"/>
      <c r="O172" s="257"/>
      <c r="P172" s="457" t="s">
        <v>128</v>
      </c>
      <c r="Q172" s="458"/>
      <c r="R172" s="361">
        <f ca="1">INDIRECT("'"&amp; MID(OFFSET(R172,ROW(R$3)-ROW(R172),IF(OFFSET(R172,ROW(R$2)-ROW(R172),2)="T",0,IF(OFFSET(R172,ROW(R$2)-ROW(R172),1)="T",-1,-2))),1,6) &amp; "'!" &amp; ADDRESS(ROW(R172),MATCH(INDIRECT(ADDRESS(2,COLUMN(R172)+IF(OFFSET(R172,ROW(R$2)-ROW(R172),2)="T",1,IF(OFFSET(R172,ROW(R$2)-ROW(R172),1)="T",0,-1))),TRUE),INDIRECT("'"&amp; MID(OFFSET(R172,ROW(R$3)-ROW(R172),IF(OFFSET(R172,ROW(R$2)-ROW(R172),2)="T",0,IF(OFFSET(R172,ROW(R$2)-ROW(R172),1)="T",-1,-2))),1,6) &amp; "'!2:2",TRUE),0)-IF(OFFSET(R172,ROW(R$2)-ROW(R172),2)="T",1,IF(OFFSET(R172,ROW(R$2)-ROW(R172),1)="T",0,-1))),TRUE)</f>
        <v>0</v>
      </c>
      <c r="S172" s="362">
        <f ca="1">INDIRECT("'"&amp; MID(OFFSET(S172,ROW(S$3)-ROW(S172),IF(OFFSET(S172,ROW(S$2)-ROW(S172),2)="T",0,IF(OFFSET(S172,ROW(S$2)-ROW(S172),1)="T",-1,-2))),1,6) &amp; "'!" &amp; ADDRESS(ROW(S172),MATCH(INDIRECT(ADDRESS(2,COLUMN(S172)+IF(OFFSET(S172,ROW(S$2)-ROW(S172),2)="T",1,IF(OFFSET(S172,ROW(S$2)-ROW(S172),1)="T",0,-1))),TRUE),INDIRECT("'"&amp; MID(OFFSET(S172,ROW(S$3)-ROW(S172),IF(OFFSET(S172,ROW(S$2)-ROW(S172),2)="T",0,IF(OFFSET(S172,ROW(S$2)-ROW(S172),1)="T",-1,-2))),1,6) &amp; "'!2:2",TRUE),0)-IF(OFFSET(S172,ROW(S$2)-ROW(S172),2)="T",1,IF(OFFSET(S172,ROW(S$2)-ROW(S172),1)="T",0,-1))),TRUE)</f>
        <v>0</v>
      </c>
      <c r="T172" s="363">
        <f t="shared" ca="1" si="262"/>
        <v>0</v>
      </c>
      <c r="U172" s="360">
        <f t="shared" ca="1" si="250"/>
        <v>0</v>
      </c>
      <c r="V172" s="361">
        <f ca="1">INDIRECT("'"&amp; MID(OFFSET(V172,ROW(V$3)-ROW(V172),IF(OFFSET(V172,ROW(V$2)-ROW(V172),2)="T",0,IF(OFFSET(V172,ROW(V$2)-ROW(V172),1)="T",-1,-2))),1,6) &amp; "'!" &amp; ADDRESS(ROW(V172),MATCH(INDIRECT(ADDRESS(2,COLUMN(V172)+IF(OFFSET(V172,ROW(V$2)-ROW(V172),2)="T",1,IF(OFFSET(V172,ROW(V$2)-ROW(V172),1)="T",0,-1))),TRUE),INDIRECT("'"&amp; MID(OFFSET(V172,ROW(V$3)-ROW(V172),IF(OFFSET(V172,ROW(V$2)-ROW(V172),2)="T",0,IF(OFFSET(V172,ROW(V$2)-ROW(V172),1)="T",-1,-2))),1,6) &amp; "'!2:2",TRUE),0)-IF(OFFSET(V172,ROW(V$2)-ROW(V172),2)="T",1,IF(OFFSET(V172,ROW(V$2)-ROW(V172),1)="T",0,-1))),TRUE)</f>
        <v>0</v>
      </c>
      <c r="W172" s="362">
        <f ca="1">INDIRECT("'"&amp; MID(OFFSET(W172,ROW(W$3)-ROW(W172),IF(OFFSET(W172,ROW(W$2)-ROW(W172),2)="T",0,IF(OFFSET(W172,ROW(W$2)-ROW(W172),1)="T",-1,-2))),1,6) &amp; "'!" &amp; ADDRESS(ROW(W172),MATCH(INDIRECT(ADDRESS(2,COLUMN(W172)+IF(OFFSET(W172,ROW(W$2)-ROW(W172),2)="T",1,IF(OFFSET(W172,ROW(W$2)-ROW(W172),1)="T",0,-1))),TRUE),INDIRECT("'"&amp; MID(OFFSET(W172,ROW(W$3)-ROW(W172),IF(OFFSET(W172,ROW(W$2)-ROW(W172),2)="T",0,IF(OFFSET(W172,ROW(W$2)-ROW(W172),1)="T",-1,-2))),1,6) &amp; "'!2:2",TRUE),0)-IF(OFFSET(W172,ROW(W$2)-ROW(W172),2)="T",1,IF(OFFSET(W172,ROW(W$2)-ROW(W172),1)="T",0,-1))),TRUE)</f>
        <v>0</v>
      </c>
      <c r="X172" s="363">
        <f t="shared" ca="1" si="263"/>
        <v>0</v>
      </c>
      <c r="Y172" s="360">
        <f t="shared" ca="1" si="251"/>
        <v>0</v>
      </c>
      <c r="Z172" s="361">
        <f ca="1">INDIRECT("'"&amp; MID(OFFSET(Z172,ROW(Z$3)-ROW(Z172),IF(OFFSET(Z172,ROW(Z$2)-ROW(Z172),2)="T",0,IF(OFFSET(Z172,ROW(Z$2)-ROW(Z172),1)="T",-1,-2))),1,6) &amp; "'!" &amp; ADDRESS(ROW(Z172),MATCH(INDIRECT(ADDRESS(2,COLUMN(Z172)+IF(OFFSET(Z172,ROW(Z$2)-ROW(Z172),2)="T",1,IF(OFFSET(Z172,ROW(Z$2)-ROW(Z172),1)="T",0,-1))),TRUE),INDIRECT("'"&amp; MID(OFFSET(Z172,ROW(Z$3)-ROW(Z172),IF(OFFSET(Z172,ROW(Z$2)-ROW(Z172),2)="T",0,IF(OFFSET(Z172,ROW(Z$2)-ROW(Z172),1)="T",-1,-2))),1,6) &amp; "'!2:2",TRUE),0)-IF(OFFSET(Z172,ROW(Z$2)-ROW(Z172),2)="T",1,IF(OFFSET(Z172,ROW(Z$2)-ROW(Z172),1)="T",0,-1))),TRUE)</f>
        <v>0</v>
      </c>
      <c r="AA172" s="362">
        <f ca="1">INDIRECT("'"&amp; MID(OFFSET(AA172,ROW(AA$3)-ROW(AA172),IF(OFFSET(AA172,ROW(AA$2)-ROW(AA172),2)="T",0,IF(OFFSET(AA172,ROW(AA$2)-ROW(AA172),1)="T",-1,-2))),1,6) &amp; "'!" &amp; ADDRESS(ROW(AA172),MATCH(INDIRECT(ADDRESS(2,COLUMN(AA172)+IF(OFFSET(AA172,ROW(AA$2)-ROW(AA172),2)="T",1,IF(OFFSET(AA172,ROW(AA$2)-ROW(AA172),1)="T",0,-1))),TRUE),INDIRECT("'"&amp; MID(OFFSET(AA172,ROW(AA$3)-ROW(AA172),IF(OFFSET(AA172,ROW(AA$2)-ROW(AA172),2)="T",0,IF(OFFSET(AA172,ROW(AA$2)-ROW(AA172),1)="T",-1,-2))),1,6) &amp; "'!2:2",TRUE),0)-IF(OFFSET(AA172,ROW(AA$2)-ROW(AA172),2)="T",1,IF(OFFSET(AA172,ROW(AA$2)-ROW(AA172),1)="T",0,-1))),TRUE)</f>
        <v>0</v>
      </c>
      <c r="AB172" s="363">
        <f t="shared" ca="1" si="264"/>
        <v>0</v>
      </c>
      <c r="AC172" s="360">
        <f t="shared" ca="1" si="252"/>
        <v>0</v>
      </c>
      <c r="AD172" s="361">
        <f ca="1">INDIRECT("'"&amp; MID(OFFSET(AD172,ROW(AD$3)-ROW(AD172),IF(OFFSET(AD172,ROW(AD$2)-ROW(AD172),2)="T",0,IF(OFFSET(AD172,ROW(AD$2)-ROW(AD172),1)="T",-1,-2))),1,6) &amp; "'!" &amp; ADDRESS(ROW(AD172),MATCH(INDIRECT(ADDRESS(2,COLUMN(AD172)+IF(OFFSET(AD172,ROW(AD$2)-ROW(AD172),2)="T",1,IF(OFFSET(AD172,ROW(AD$2)-ROW(AD172),1)="T",0,-1))),TRUE),INDIRECT("'"&amp; MID(OFFSET(AD172,ROW(AD$3)-ROW(AD172),IF(OFFSET(AD172,ROW(AD$2)-ROW(AD172),2)="T",0,IF(OFFSET(AD172,ROW(AD$2)-ROW(AD172),1)="T",-1,-2))),1,6) &amp; "'!2:2",TRUE),0)-IF(OFFSET(AD172,ROW(AD$2)-ROW(AD172),2)="T",1,IF(OFFSET(AD172,ROW(AD$2)-ROW(AD172),1)="T",0,-1))),TRUE)</f>
        <v>0</v>
      </c>
      <c r="AE172" s="362">
        <f ca="1">INDIRECT("'"&amp; MID(OFFSET(AE172,ROW(AE$3)-ROW(AE172),IF(OFFSET(AE172,ROW(AE$2)-ROW(AE172),2)="T",0,IF(OFFSET(AE172,ROW(AE$2)-ROW(AE172),1)="T",-1,-2))),1,6) &amp; "'!" &amp; ADDRESS(ROW(AE172),MATCH(INDIRECT(ADDRESS(2,COLUMN(AE172)+IF(OFFSET(AE172,ROW(AE$2)-ROW(AE172),2)="T",1,IF(OFFSET(AE172,ROW(AE$2)-ROW(AE172),1)="T",0,-1))),TRUE),INDIRECT("'"&amp; MID(OFFSET(AE172,ROW(AE$3)-ROW(AE172),IF(OFFSET(AE172,ROW(AE$2)-ROW(AE172),2)="T",0,IF(OFFSET(AE172,ROW(AE$2)-ROW(AE172),1)="T",-1,-2))),1,6) &amp; "'!2:2",TRUE),0)-IF(OFFSET(AE172,ROW(AE$2)-ROW(AE172),2)="T",1,IF(OFFSET(AE172,ROW(AE$2)-ROW(AE172),1)="T",0,-1))),TRUE)</f>
        <v>0</v>
      </c>
      <c r="AF172" s="363">
        <f t="shared" ca="1" si="265"/>
        <v>0</v>
      </c>
      <c r="AG172" s="360">
        <f t="shared" ca="1" si="253"/>
        <v>0</v>
      </c>
      <c r="AH172" s="361">
        <f ca="1">INDIRECT("'"&amp; MID(OFFSET(AH172,ROW(AH$3)-ROW(AH172),IF(OFFSET(AH172,ROW(AH$2)-ROW(AH172),2)="T",0,IF(OFFSET(AH172,ROW(AH$2)-ROW(AH172),1)="T",-1,-2))),1,6) &amp; "'!" &amp; ADDRESS(ROW(AH172),MATCH(INDIRECT(ADDRESS(2,COLUMN(AH172)+IF(OFFSET(AH172,ROW(AH$2)-ROW(AH172),2)="T",1,IF(OFFSET(AH172,ROW(AH$2)-ROW(AH172),1)="T",0,-1))),TRUE),INDIRECT("'"&amp; MID(OFFSET(AH172,ROW(AH$3)-ROW(AH172),IF(OFFSET(AH172,ROW(AH$2)-ROW(AH172),2)="T",0,IF(OFFSET(AH172,ROW(AH$2)-ROW(AH172),1)="T",-1,-2))),1,6) &amp; "'!2:2",TRUE),0)-IF(OFFSET(AH172,ROW(AH$2)-ROW(AH172),2)="T",1,IF(OFFSET(AH172,ROW(AH$2)-ROW(AH172),1)="T",0,-1))),TRUE)</f>
        <v>0</v>
      </c>
      <c r="AI172" s="362">
        <f ca="1">INDIRECT("'"&amp; MID(OFFSET(AI172,ROW(AI$3)-ROW(AI172),IF(OFFSET(AI172,ROW(AI$2)-ROW(AI172),2)="T",0,IF(OFFSET(AI172,ROW(AI$2)-ROW(AI172),1)="T",-1,-2))),1,6) &amp; "'!" &amp; ADDRESS(ROW(AI172),MATCH(INDIRECT(ADDRESS(2,COLUMN(AI172)+IF(OFFSET(AI172,ROW(AI$2)-ROW(AI172),2)="T",1,IF(OFFSET(AI172,ROW(AI$2)-ROW(AI172),1)="T",0,-1))),TRUE),INDIRECT("'"&amp; MID(OFFSET(AI172,ROW(AI$3)-ROW(AI172),IF(OFFSET(AI172,ROW(AI$2)-ROW(AI172),2)="T",0,IF(OFFSET(AI172,ROW(AI$2)-ROW(AI172),1)="T",-1,-2))),1,6) &amp; "'!2:2",TRUE),0)-IF(OFFSET(AI172,ROW(AI$2)-ROW(AI172),2)="T",1,IF(OFFSET(AI172,ROW(AI$2)-ROW(AI172),1)="T",0,-1))),TRUE)</f>
        <v>0</v>
      </c>
      <c r="AJ172" s="363">
        <f t="shared" ca="1" si="266"/>
        <v>0</v>
      </c>
      <c r="AK172" s="360">
        <f t="shared" ca="1" si="254"/>
        <v>0</v>
      </c>
      <c r="AL172" s="361">
        <f ca="1">INDIRECT("'"&amp; MID(OFFSET(AL172,ROW(AL$3)-ROW(AL172),IF(OFFSET(AL172,ROW(AL$2)-ROW(AL172),2)="T",0,IF(OFFSET(AL172,ROW(AL$2)-ROW(AL172),1)="T",-1,-2))),1,6) &amp; "'!" &amp; ADDRESS(ROW(AL172),MATCH(INDIRECT(ADDRESS(2,COLUMN(AL172)+IF(OFFSET(AL172,ROW(AL$2)-ROW(AL172),2)="T",1,IF(OFFSET(AL172,ROW(AL$2)-ROW(AL172),1)="T",0,-1))),TRUE),INDIRECT("'"&amp; MID(OFFSET(AL172,ROW(AL$3)-ROW(AL172),IF(OFFSET(AL172,ROW(AL$2)-ROW(AL172),2)="T",0,IF(OFFSET(AL172,ROW(AL$2)-ROW(AL172),1)="T",-1,-2))),1,6) &amp; "'!2:2",TRUE),0)-IF(OFFSET(AL172,ROW(AL$2)-ROW(AL172),2)="T",1,IF(OFFSET(AL172,ROW(AL$2)-ROW(AL172),1)="T",0,-1))),TRUE)</f>
        <v>0</v>
      </c>
      <c r="AM172" s="362">
        <f ca="1">INDIRECT("'"&amp; MID(OFFSET(AM172,ROW(AM$3)-ROW(AM172),IF(OFFSET(AM172,ROW(AM$2)-ROW(AM172),2)="T",0,IF(OFFSET(AM172,ROW(AM$2)-ROW(AM172),1)="T",-1,-2))),1,6) &amp; "'!" &amp; ADDRESS(ROW(AM172),MATCH(INDIRECT(ADDRESS(2,COLUMN(AM172)+IF(OFFSET(AM172,ROW(AM$2)-ROW(AM172),2)="T",1,IF(OFFSET(AM172,ROW(AM$2)-ROW(AM172),1)="T",0,-1))),TRUE),INDIRECT("'"&amp; MID(OFFSET(AM172,ROW(AM$3)-ROW(AM172),IF(OFFSET(AM172,ROW(AM$2)-ROW(AM172),2)="T",0,IF(OFFSET(AM172,ROW(AM$2)-ROW(AM172),1)="T",-1,-2))),1,6) &amp; "'!2:2",TRUE),0)-IF(OFFSET(AM172,ROW(AM$2)-ROW(AM172),2)="T",1,IF(OFFSET(AM172,ROW(AM$2)-ROW(AM172),1)="T",0,-1))),TRUE)</f>
        <v>0</v>
      </c>
      <c r="AN172" s="363">
        <f t="shared" ca="1" si="267"/>
        <v>0</v>
      </c>
      <c r="AO172" s="360">
        <f t="shared" ca="1" si="255"/>
        <v>0</v>
      </c>
      <c r="AP172" s="361">
        <f ca="1">INDIRECT("'"&amp; MID(OFFSET(AP172,ROW(AP$3)-ROW(AP172),IF(OFFSET(AP172,ROW(AP$2)-ROW(AP172),2)="T",0,IF(OFFSET(AP172,ROW(AP$2)-ROW(AP172),1)="T",-1,-2))),1,6) &amp; "'!" &amp; ADDRESS(ROW(AP172),MATCH(INDIRECT(ADDRESS(2,COLUMN(AP172)+IF(OFFSET(AP172,ROW(AP$2)-ROW(AP172),2)="T",1,IF(OFFSET(AP172,ROW(AP$2)-ROW(AP172),1)="T",0,-1))),TRUE),INDIRECT("'"&amp; MID(OFFSET(AP172,ROW(AP$3)-ROW(AP172),IF(OFFSET(AP172,ROW(AP$2)-ROW(AP172),2)="T",0,IF(OFFSET(AP172,ROW(AP$2)-ROW(AP172),1)="T",-1,-2))),1,6) &amp; "'!2:2",TRUE),0)-IF(OFFSET(AP172,ROW(AP$2)-ROW(AP172),2)="T",1,IF(OFFSET(AP172,ROW(AP$2)-ROW(AP172),1)="T",0,-1))),TRUE)</f>
        <v>0</v>
      </c>
      <c r="AQ172" s="362">
        <f ca="1">INDIRECT("'"&amp; MID(OFFSET(AQ172,ROW(AQ$3)-ROW(AQ172),IF(OFFSET(AQ172,ROW(AQ$2)-ROW(AQ172),2)="T",0,IF(OFFSET(AQ172,ROW(AQ$2)-ROW(AQ172),1)="T",-1,-2))),1,6) &amp; "'!" &amp; ADDRESS(ROW(AQ172),MATCH(INDIRECT(ADDRESS(2,COLUMN(AQ172)+IF(OFFSET(AQ172,ROW(AQ$2)-ROW(AQ172),2)="T",1,IF(OFFSET(AQ172,ROW(AQ$2)-ROW(AQ172),1)="T",0,-1))),TRUE),INDIRECT("'"&amp; MID(OFFSET(AQ172,ROW(AQ$3)-ROW(AQ172),IF(OFFSET(AQ172,ROW(AQ$2)-ROW(AQ172),2)="T",0,IF(OFFSET(AQ172,ROW(AQ$2)-ROW(AQ172),1)="T",-1,-2))),1,6) &amp; "'!2:2",TRUE),0)-IF(OFFSET(AQ172,ROW(AQ$2)-ROW(AQ172),2)="T",1,IF(OFFSET(AQ172,ROW(AQ$2)-ROW(AQ172),1)="T",0,-1))),TRUE)</f>
        <v>0</v>
      </c>
      <c r="AR172" s="363">
        <f t="shared" ca="1" si="268"/>
        <v>0</v>
      </c>
      <c r="AS172" s="360">
        <f t="shared" ca="1" si="256"/>
        <v>0</v>
      </c>
      <c r="AT172" s="361">
        <f ca="1">INDIRECT("'"&amp; MID(OFFSET(AT172,ROW(AT$3)-ROW(AT172),IF(OFFSET(AT172,ROW(AT$2)-ROW(AT172),2)="T",0,IF(OFFSET(AT172,ROW(AT$2)-ROW(AT172),1)="T",-1,-2))),1,6) &amp; "'!" &amp; ADDRESS(ROW(AT172),MATCH(INDIRECT(ADDRESS(2,COLUMN(AT172)+IF(OFFSET(AT172,ROW(AT$2)-ROW(AT172),2)="T",1,IF(OFFSET(AT172,ROW(AT$2)-ROW(AT172),1)="T",0,-1))),TRUE),INDIRECT("'"&amp; MID(OFFSET(AT172,ROW(AT$3)-ROW(AT172),IF(OFFSET(AT172,ROW(AT$2)-ROW(AT172),2)="T",0,IF(OFFSET(AT172,ROW(AT$2)-ROW(AT172),1)="T",-1,-2))),1,6) &amp; "'!2:2",TRUE),0)-IF(OFFSET(AT172,ROW(AT$2)-ROW(AT172),2)="T",1,IF(OFFSET(AT172,ROW(AT$2)-ROW(AT172),1)="T",0,-1))),TRUE)</f>
        <v>0</v>
      </c>
      <c r="AU172" s="362">
        <f ca="1">INDIRECT("'"&amp; MID(OFFSET(AU172,ROW(AU$3)-ROW(AU172),IF(OFFSET(AU172,ROW(AU$2)-ROW(AU172),2)="T",0,IF(OFFSET(AU172,ROW(AU$2)-ROW(AU172),1)="T",-1,-2))),1,6) &amp; "'!" &amp; ADDRESS(ROW(AU172),MATCH(INDIRECT(ADDRESS(2,COLUMN(AU172)+IF(OFFSET(AU172,ROW(AU$2)-ROW(AU172),2)="T",1,IF(OFFSET(AU172,ROW(AU$2)-ROW(AU172),1)="T",0,-1))),TRUE),INDIRECT("'"&amp; MID(OFFSET(AU172,ROW(AU$3)-ROW(AU172),IF(OFFSET(AU172,ROW(AU$2)-ROW(AU172),2)="T",0,IF(OFFSET(AU172,ROW(AU$2)-ROW(AU172),1)="T",-1,-2))),1,6) &amp; "'!2:2",TRUE),0)-IF(OFFSET(AU172,ROW(AU$2)-ROW(AU172),2)="T",1,IF(OFFSET(AU172,ROW(AU$2)-ROW(AU172),1)="T",0,-1))),TRUE)</f>
        <v>0</v>
      </c>
      <c r="AV172" s="363">
        <f t="shared" ca="1" si="269"/>
        <v>0</v>
      </c>
      <c r="AW172" s="360">
        <f t="shared" ca="1" si="257"/>
        <v>0</v>
      </c>
      <c r="AX172" s="361">
        <f ca="1">INDIRECT("'"&amp; MID(OFFSET(AX172,ROW(AX$3)-ROW(AX172),IF(OFFSET(AX172,ROW(AX$2)-ROW(AX172),2)="T",0,IF(OFFSET(AX172,ROW(AX$2)-ROW(AX172),1)="T",-1,-2))),1,6) &amp; "'!" &amp; ADDRESS(ROW(AX172),MATCH(INDIRECT(ADDRESS(2,COLUMN(AX172)+IF(OFFSET(AX172,ROW(AX$2)-ROW(AX172),2)="T",1,IF(OFFSET(AX172,ROW(AX$2)-ROW(AX172),1)="T",0,-1))),TRUE),INDIRECT("'"&amp; MID(OFFSET(AX172,ROW(AX$3)-ROW(AX172),IF(OFFSET(AX172,ROW(AX$2)-ROW(AX172),2)="T",0,IF(OFFSET(AX172,ROW(AX$2)-ROW(AX172),1)="T",-1,-2))),1,6) &amp; "'!2:2",TRUE),0)-IF(OFFSET(AX172,ROW(AX$2)-ROW(AX172),2)="T",1,IF(OFFSET(AX172,ROW(AX$2)-ROW(AX172),1)="T",0,-1))),TRUE)</f>
        <v>0</v>
      </c>
      <c r="AY172" s="362">
        <f ca="1">INDIRECT("'"&amp; MID(OFFSET(AY172,ROW(AY$3)-ROW(AY172),IF(OFFSET(AY172,ROW(AY$2)-ROW(AY172),2)="T",0,IF(OFFSET(AY172,ROW(AY$2)-ROW(AY172),1)="T",-1,-2))),1,6) &amp; "'!" &amp; ADDRESS(ROW(AY172),MATCH(INDIRECT(ADDRESS(2,COLUMN(AY172)+IF(OFFSET(AY172,ROW(AY$2)-ROW(AY172),2)="T",1,IF(OFFSET(AY172,ROW(AY$2)-ROW(AY172),1)="T",0,-1))),TRUE),INDIRECT("'"&amp; MID(OFFSET(AY172,ROW(AY$3)-ROW(AY172),IF(OFFSET(AY172,ROW(AY$2)-ROW(AY172),2)="T",0,IF(OFFSET(AY172,ROW(AY$2)-ROW(AY172),1)="T",-1,-2))),1,6) &amp; "'!2:2",TRUE),0)-IF(OFFSET(AY172,ROW(AY$2)-ROW(AY172),2)="T",1,IF(OFFSET(AY172,ROW(AY$2)-ROW(AY172),1)="T",0,-1))),TRUE)</f>
        <v>0</v>
      </c>
      <c r="AZ172" s="363">
        <f t="shared" ca="1" si="270"/>
        <v>0</v>
      </c>
      <c r="BA172" s="360">
        <f t="shared" ca="1" si="258"/>
        <v>0</v>
      </c>
      <c r="BB172" s="361">
        <f ca="1">INDIRECT("'"&amp; MID(OFFSET(BB172,ROW(BB$3)-ROW(BB172),IF(OFFSET(BB172,ROW(BB$2)-ROW(BB172),2)="T",0,IF(OFFSET(BB172,ROW(BB$2)-ROW(BB172),1)="T",-1,-2))),1,6) &amp; "'!" &amp; ADDRESS(ROW(BB172),MATCH(INDIRECT(ADDRESS(2,COLUMN(BB172)+IF(OFFSET(BB172,ROW(BB$2)-ROW(BB172),2)="T",1,IF(OFFSET(BB172,ROW(BB$2)-ROW(BB172),1)="T",0,-1))),TRUE),INDIRECT("'"&amp; MID(OFFSET(BB172,ROW(BB$3)-ROW(BB172),IF(OFFSET(BB172,ROW(BB$2)-ROW(BB172),2)="T",0,IF(OFFSET(BB172,ROW(BB$2)-ROW(BB172),1)="T",-1,-2))),1,6) &amp; "'!2:2",TRUE),0)-IF(OFFSET(BB172,ROW(BB$2)-ROW(BB172),2)="T",1,IF(OFFSET(BB172,ROW(BB$2)-ROW(BB172),1)="T",0,-1))),TRUE)</f>
        <v>0</v>
      </c>
      <c r="BC172" s="362">
        <f ca="1">INDIRECT("'"&amp; MID(OFFSET(BC172,ROW(BC$3)-ROW(BC172),IF(OFFSET(BC172,ROW(BC$2)-ROW(BC172),2)="T",0,IF(OFFSET(BC172,ROW(BC$2)-ROW(BC172),1)="T",-1,-2))),1,6) &amp; "'!" &amp; ADDRESS(ROW(BC172),MATCH(INDIRECT(ADDRESS(2,COLUMN(BC172)+IF(OFFSET(BC172,ROW(BC$2)-ROW(BC172),2)="T",1,IF(OFFSET(BC172,ROW(BC$2)-ROW(BC172),1)="T",0,-1))),TRUE),INDIRECT("'"&amp; MID(OFFSET(BC172,ROW(BC$3)-ROW(BC172),IF(OFFSET(BC172,ROW(BC$2)-ROW(BC172),2)="T",0,IF(OFFSET(BC172,ROW(BC$2)-ROW(BC172),1)="T",-1,-2))),1,6) &amp; "'!2:2",TRUE),0)-IF(OFFSET(BC172,ROW(BC$2)-ROW(BC172),2)="T",1,IF(OFFSET(BC172,ROW(BC$2)-ROW(BC172),1)="T",0,-1))),TRUE)</f>
        <v>0</v>
      </c>
      <c r="BD172" s="363">
        <f t="shared" ca="1" si="271"/>
        <v>0</v>
      </c>
      <c r="BE172" s="360">
        <f t="shared" ca="1" si="259"/>
        <v>0</v>
      </c>
      <c r="BF172" s="361">
        <f ca="1">INDIRECT("'"&amp; MID(OFFSET(BF172,ROW(BF$3)-ROW(BF172),IF(OFFSET(BF172,ROW(BF$2)-ROW(BF172),2)="T",0,IF(OFFSET(BF172,ROW(BF$2)-ROW(BF172),1)="T",-1,-2))),1,6) &amp; "'!" &amp; ADDRESS(ROW(BF172),MATCH(INDIRECT(ADDRESS(2,COLUMN(BF172)+IF(OFFSET(BF172,ROW(BF$2)-ROW(BF172),2)="T",1,IF(OFFSET(BF172,ROW(BF$2)-ROW(BF172),1)="T",0,-1))),TRUE),INDIRECT("'"&amp; MID(OFFSET(BF172,ROW(BF$3)-ROW(BF172),IF(OFFSET(BF172,ROW(BF$2)-ROW(BF172),2)="T",0,IF(OFFSET(BF172,ROW(BF$2)-ROW(BF172),1)="T",-1,-2))),1,6) &amp; "'!2:2",TRUE),0)-IF(OFFSET(BF172,ROW(BF$2)-ROW(BF172),2)="T",1,IF(OFFSET(BF172,ROW(BF$2)-ROW(BF172),1)="T",0,-1))),TRUE)</f>
        <v>0</v>
      </c>
      <c r="BG172" s="362">
        <f ca="1">INDIRECT("'"&amp; MID(OFFSET(BG172,ROW(BG$3)-ROW(BG172),IF(OFFSET(BG172,ROW(BG$2)-ROW(BG172),2)="T",0,IF(OFFSET(BG172,ROW(BG$2)-ROW(BG172),1)="T",-1,-2))),1,6) &amp; "'!" &amp; ADDRESS(ROW(BG172),MATCH(INDIRECT(ADDRESS(2,COLUMN(BG172)+IF(OFFSET(BG172,ROW(BG$2)-ROW(BG172),2)="T",1,IF(OFFSET(BG172,ROW(BG$2)-ROW(BG172),1)="T",0,-1))),TRUE),INDIRECT("'"&amp; MID(OFFSET(BG172,ROW(BG$3)-ROW(BG172),IF(OFFSET(BG172,ROW(BG$2)-ROW(BG172),2)="T",0,IF(OFFSET(BG172,ROW(BG$2)-ROW(BG172),1)="T",-1,-2))),1,6) &amp; "'!2:2",TRUE),0)-IF(OFFSET(BG172,ROW(BG$2)-ROW(BG172),2)="T",1,IF(OFFSET(BG172,ROW(BG$2)-ROW(BG172),1)="T",0,-1))),TRUE)</f>
        <v>0</v>
      </c>
      <c r="BH172" s="363">
        <f t="shared" ca="1" si="272"/>
        <v>0</v>
      </c>
      <c r="BI172" s="360">
        <f t="shared" ca="1" si="260"/>
        <v>0</v>
      </c>
      <c r="BJ172" s="361">
        <f ca="1">INDIRECT("'"&amp; MID(OFFSET(BJ172,ROW(BJ$3)-ROW(BJ172),IF(OFFSET(BJ172,ROW(BJ$2)-ROW(BJ172),2)="T",0,IF(OFFSET(BJ172,ROW(BJ$2)-ROW(BJ172),1)="T",-1,-2))),1,6) &amp; "'!" &amp; ADDRESS(ROW(BJ172),MATCH(INDIRECT(ADDRESS(2,COLUMN(BJ172)+IF(OFFSET(BJ172,ROW(BJ$2)-ROW(BJ172),2)="T",1,IF(OFFSET(BJ172,ROW(BJ$2)-ROW(BJ172),1)="T",0,-1))),TRUE),INDIRECT("'"&amp; MID(OFFSET(BJ172,ROW(BJ$3)-ROW(BJ172),IF(OFFSET(BJ172,ROW(BJ$2)-ROW(BJ172),2)="T",0,IF(OFFSET(BJ172,ROW(BJ$2)-ROW(BJ172),1)="T",-1,-2))),1,6) &amp; "'!2:2",TRUE),0)-IF(OFFSET(BJ172,ROW(BJ$2)-ROW(BJ172),2)="T",1,IF(OFFSET(BJ172,ROW(BJ$2)-ROW(BJ172),1)="T",0,-1))),TRUE)</f>
        <v>0</v>
      </c>
      <c r="BK172" s="362">
        <f ca="1">INDIRECT("'"&amp; MID(OFFSET(BK172,ROW(BK$3)-ROW(BK172),IF(OFFSET(BK172,ROW(BK$2)-ROW(BK172),2)="T",0,IF(OFFSET(BK172,ROW(BK$2)-ROW(BK172),1)="T",-1,-2))),1,6) &amp; "'!" &amp; ADDRESS(ROW(BK172),MATCH(INDIRECT(ADDRESS(2,COLUMN(BK172)+IF(OFFSET(BK172,ROW(BK$2)-ROW(BK172),2)="T",1,IF(OFFSET(BK172,ROW(BK$2)-ROW(BK172),1)="T",0,-1))),TRUE),INDIRECT("'"&amp; MID(OFFSET(BK172,ROW(BK$3)-ROW(BK172),IF(OFFSET(BK172,ROW(BK$2)-ROW(BK172),2)="T",0,IF(OFFSET(BK172,ROW(BK$2)-ROW(BK172),1)="T",-1,-2))),1,6) &amp; "'!2:2",TRUE),0)-IF(OFFSET(BK172,ROW(BK$2)-ROW(BK172),2)="T",1,IF(OFFSET(BK172,ROW(BK$2)-ROW(BK172),1)="T",0,-1))),TRUE)</f>
        <v>0</v>
      </c>
      <c r="BL172" s="363">
        <f t="shared" ca="1" si="273"/>
        <v>0</v>
      </c>
      <c r="BM172" s="360">
        <f t="shared" ca="1" si="261"/>
        <v>0</v>
      </c>
      <c r="BN172" s="360">
        <f t="shared" ca="1" si="261"/>
        <v>0</v>
      </c>
    </row>
    <row r="173" spans="1:66">
      <c r="A173" s="221" t="str">
        <f t="shared" ca="1" si="248"/>
        <v>WP005</v>
      </c>
      <c r="B173" s="221" t="str">
        <f t="shared" ca="1" si="249"/>
        <v>WP005</v>
      </c>
      <c r="C173" s="221">
        <v>2</v>
      </c>
      <c r="D173" s="221" t="s">
        <v>129</v>
      </c>
      <c r="F173" s="221" t="s">
        <v>130</v>
      </c>
      <c r="G173" s="221" t="s">
        <v>74</v>
      </c>
      <c r="M173" s="221" t="s">
        <v>46</v>
      </c>
      <c r="N173" s="461"/>
      <c r="O173" s="450" t="s">
        <v>131</v>
      </c>
      <c r="P173" s="451"/>
      <c r="Q173" s="451"/>
      <c r="R173" s="366"/>
      <c r="S173" s="367"/>
      <c r="T173" s="368">
        <f t="shared" ca="1" si="262"/>
        <v>0</v>
      </c>
      <c r="U173" s="369">
        <f t="shared" ca="1" si="250"/>
        <v>0</v>
      </c>
      <c r="V173" s="366"/>
      <c r="W173" s="367"/>
      <c r="X173" s="368">
        <f t="shared" ca="1" si="263"/>
        <v>0</v>
      </c>
      <c r="Y173" s="369">
        <f t="shared" ca="1" si="251"/>
        <v>0</v>
      </c>
      <c r="Z173" s="366"/>
      <c r="AA173" s="367"/>
      <c r="AB173" s="368">
        <f t="shared" ca="1" si="264"/>
        <v>0</v>
      </c>
      <c r="AC173" s="369">
        <f t="shared" ca="1" si="252"/>
        <v>0</v>
      </c>
      <c r="AD173" s="366"/>
      <c r="AE173" s="367"/>
      <c r="AF173" s="368">
        <f t="shared" ca="1" si="265"/>
        <v>0</v>
      </c>
      <c r="AG173" s="369">
        <f t="shared" ca="1" si="253"/>
        <v>0</v>
      </c>
      <c r="AH173" s="366"/>
      <c r="AI173" s="367"/>
      <c r="AJ173" s="368">
        <f t="shared" ca="1" si="266"/>
        <v>0</v>
      </c>
      <c r="AK173" s="369">
        <f t="shared" ca="1" si="254"/>
        <v>0</v>
      </c>
      <c r="AL173" s="366"/>
      <c r="AM173" s="367"/>
      <c r="AN173" s="368">
        <f t="shared" ca="1" si="267"/>
        <v>0</v>
      </c>
      <c r="AO173" s="369">
        <f t="shared" ca="1" si="255"/>
        <v>0</v>
      </c>
      <c r="AP173" s="366"/>
      <c r="AQ173" s="367"/>
      <c r="AR173" s="368">
        <f t="shared" ca="1" si="268"/>
        <v>0</v>
      </c>
      <c r="AS173" s="369">
        <f t="shared" ca="1" si="256"/>
        <v>0</v>
      </c>
      <c r="AT173" s="366"/>
      <c r="AU173" s="367"/>
      <c r="AV173" s="368">
        <f t="shared" ca="1" si="269"/>
        <v>0</v>
      </c>
      <c r="AW173" s="369">
        <f t="shared" ca="1" si="257"/>
        <v>0</v>
      </c>
      <c r="AX173" s="366"/>
      <c r="AY173" s="367"/>
      <c r="AZ173" s="368">
        <f t="shared" ca="1" si="270"/>
        <v>0</v>
      </c>
      <c r="BA173" s="369">
        <f t="shared" ca="1" si="258"/>
        <v>0</v>
      </c>
      <c r="BB173" s="366"/>
      <c r="BC173" s="367"/>
      <c r="BD173" s="368">
        <f t="shared" ca="1" si="271"/>
        <v>0</v>
      </c>
      <c r="BE173" s="369">
        <f t="shared" ca="1" si="259"/>
        <v>0</v>
      </c>
      <c r="BF173" s="366"/>
      <c r="BG173" s="367"/>
      <c r="BH173" s="368">
        <f t="shared" ca="1" si="272"/>
        <v>0</v>
      </c>
      <c r="BI173" s="369">
        <f t="shared" ca="1" si="260"/>
        <v>0</v>
      </c>
      <c r="BJ173" s="366"/>
      <c r="BK173" s="367"/>
      <c r="BL173" s="368">
        <f t="shared" ca="1" si="273"/>
        <v>0</v>
      </c>
      <c r="BM173" s="369">
        <f t="shared" ca="1" si="261"/>
        <v>0</v>
      </c>
      <c r="BN173" s="369">
        <f t="shared" ca="1" si="261"/>
        <v>0</v>
      </c>
    </row>
    <row r="174" spans="1:66">
      <c r="A174" s="221" t="str">
        <f t="shared" ca="1" si="248"/>
        <v>WP005</v>
      </c>
      <c r="B174" s="221" t="str">
        <f t="shared" ca="1" si="249"/>
        <v>WP005</v>
      </c>
      <c r="C174" s="221">
        <v>1</v>
      </c>
      <c r="N174" s="461"/>
      <c r="O174" s="258"/>
      <c r="P174" s="249"/>
      <c r="Q174" s="249"/>
      <c r="R174" s="361"/>
      <c r="S174" s="362"/>
      <c r="T174" s="363"/>
      <c r="U174" s="360"/>
      <c r="V174" s="361"/>
      <c r="W174" s="362"/>
      <c r="X174" s="363"/>
      <c r="Y174" s="360"/>
      <c r="Z174" s="361"/>
      <c r="AA174" s="362"/>
      <c r="AB174" s="363"/>
      <c r="AC174" s="360"/>
      <c r="AD174" s="361"/>
      <c r="AE174" s="362"/>
      <c r="AF174" s="363"/>
      <c r="AG174" s="360"/>
      <c r="AH174" s="361"/>
      <c r="AI174" s="362"/>
      <c r="AJ174" s="363"/>
      <c r="AK174" s="360"/>
      <c r="AL174" s="361"/>
      <c r="AM174" s="362"/>
      <c r="AN174" s="363"/>
      <c r="AO174" s="360"/>
      <c r="AP174" s="361"/>
      <c r="AQ174" s="362"/>
      <c r="AR174" s="363"/>
      <c r="AS174" s="360"/>
      <c r="AT174" s="361"/>
      <c r="AU174" s="362"/>
      <c r="AV174" s="363"/>
      <c r="AW174" s="360"/>
      <c r="AX174" s="361"/>
      <c r="AY174" s="362"/>
      <c r="AZ174" s="363"/>
      <c r="BA174" s="360"/>
      <c r="BB174" s="361"/>
      <c r="BC174" s="362"/>
      <c r="BD174" s="363"/>
      <c r="BE174" s="360"/>
      <c r="BF174" s="361"/>
      <c r="BG174" s="362"/>
      <c r="BH174" s="363"/>
      <c r="BI174" s="360"/>
      <c r="BJ174" s="361"/>
      <c r="BK174" s="362"/>
      <c r="BL174" s="363"/>
      <c r="BM174" s="360"/>
      <c r="BN174" s="360"/>
    </row>
    <row r="175" spans="1:66">
      <c r="A175" s="221" t="str">
        <f t="shared" ca="1" si="248"/>
        <v>WP005</v>
      </c>
      <c r="B175" s="221" t="str">
        <f t="shared" ca="1" si="249"/>
        <v>WP005</v>
      </c>
      <c r="C175" s="221">
        <v>2</v>
      </c>
      <c r="D175" s="221" t="s">
        <v>132</v>
      </c>
      <c r="F175" s="221" t="s">
        <v>130</v>
      </c>
      <c r="M175" s="221" t="s">
        <v>133</v>
      </c>
      <c r="N175" s="461"/>
      <c r="O175" s="452" t="s">
        <v>134</v>
      </c>
      <c r="P175" s="453"/>
      <c r="Q175" s="453"/>
      <c r="R175" s="370"/>
      <c r="S175" s="371"/>
      <c r="T175" s="372">
        <f ca="1">IF(OFFSET(T175,ROW(T$2)-ROW(T175),0)="TT","TT",IF(OFFSET(T175,0,COLUMN($M175)-COLUMN(T175))="%",ROUND((OFFSET(T175,-2,0)-OFFSET(T175,-19,0))*0.07,2),IF(OFFSET(T175,0,COLUMN($M175)-COLUMN(T175))="V",ROUND(OFFSET(T175,0,-2)*OFFSET(T175,0,-1),2),SUMIF(INDIRECT(ADDRESS(MATCH("START"&amp;OFFSET(T175,0,COLUMN($B175)-COLUMN(T175)),$A:$A,0),$C175+COLUMN($E175)+1)&amp;":"&amp;ADDRESS(MATCH("END"&amp;OFFSET(T175,0,COLUMN($B175)-COLUMN(T175)),$A:$A,0),$C175+COLUMN($E175)+1),TRUE),INDIRECT(ADDRESS(ROW(T175),$C175+COLUMN($E175)),TRUE),INDIRECT(ADDRESS(MATCH("START"&amp;OFFSET(T175,0,COLUMN($B175)-COLUMN(T175)),$A:$A,0),COLUMN(T175))&amp;":"&amp;ADDRESS(MATCH("END"&amp;OFFSET(T175,0,COLUMN($B175)-COLUMN(T175)),$A:$A,0),COLUMN(T175)),TRUE)))))</f>
        <v>0</v>
      </c>
      <c r="U175" s="356">
        <f ca="1">IF(OFFSET(U175,ROW(U$2)-ROW(U175),0)="TT",SUMIF(INDIRECT(ADDRESS(2,COLUMN($Q175)+1) &amp; ":" &amp; ADDRESS(2,COLUMN(U175)-1),TRUE),"TBE",INDIRECT(ADDRESS(ROW(U175), COLUMN($Q175)+1) &amp; ":" &amp; ADDRESS(ROW(U175),COLUMN(U175)-1),TRUE)),IF(OFFSET(U175,ROW(U$2)-ROW(U175),0)="TBE",SUMIF(INDIRECT(ADDRESS(2,MATCH(INT(OFFSET(U175,ROW(U$2)-ROW(U175),-2)),$2:$2,0)) &amp; ":" &amp; ADDRESS(2,COLUMN(U175)-1),TRUE),"T",INDIRECT(ADDRESS(ROW(U175), MATCH(INT(OFFSET(U175,ROW(U$2)-ROW(U175),-2)),$2:$2,0)) &amp; ":" &amp; ADDRESS(ROW(U175),COLUMN(U175)-1),TRUE)),IF(OFFSET(U175,0,COLUMN($M175)-COLUMN(U175))="V",OFFSET(U175,0,-2)*OFFSET(U175,0,-1),"TOTAL")))</f>
        <v>0</v>
      </c>
      <c r="V175" s="370"/>
      <c r="W175" s="371"/>
      <c r="X175" s="372">
        <f ca="1">IF(OFFSET(X175,ROW(X$2)-ROW(X175),0)="TT","TT",IF(OFFSET(X175,0,COLUMN($M175)-COLUMN(X175))="%",ROUND((OFFSET(X175,-2,0)-OFFSET(X175,-19,0))*0.07,2),IF(OFFSET(X175,0,COLUMN($M175)-COLUMN(X175))="V",ROUND(OFFSET(X175,0,-2)*OFFSET(X175,0,-1),2),SUMIF(INDIRECT(ADDRESS(MATCH("START"&amp;OFFSET(X175,0,COLUMN($B175)-COLUMN(X175)),$A:$A,0),$C175+COLUMN($E175)+1)&amp;":"&amp;ADDRESS(MATCH("END"&amp;OFFSET(X175,0,COLUMN($B175)-COLUMN(X175)),$A:$A,0),$C175+COLUMN($E175)+1),TRUE),INDIRECT(ADDRESS(ROW(X175),$C175+COLUMN($E175)),TRUE),INDIRECT(ADDRESS(MATCH("START"&amp;OFFSET(X175,0,COLUMN($B175)-COLUMN(X175)),$A:$A,0),COLUMN(X175))&amp;":"&amp;ADDRESS(MATCH("END"&amp;OFFSET(X175,0,COLUMN($B175)-COLUMN(X175)),$A:$A,0),COLUMN(X175)),TRUE)))))</f>
        <v>0</v>
      </c>
      <c r="Y175" s="356">
        <f ca="1">IF(OFFSET(Y175,ROW(Y$2)-ROW(Y175),0)="TT",SUMIF(INDIRECT(ADDRESS(2,COLUMN($Q175)+1) &amp; ":" &amp; ADDRESS(2,COLUMN(Y175)-1),TRUE),"TBE",INDIRECT(ADDRESS(ROW(Y175), COLUMN($Q175)+1) &amp; ":" &amp; ADDRESS(ROW(Y175),COLUMN(Y175)-1),TRUE)),IF(OFFSET(Y175,ROW(Y$2)-ROW(Y175),0)="TBE",SUMIF(INDIRECT(ADDRESS(2,MATCH(INT(OFFSET(Y175,ROW(Y$2)-ROW(Y175),-2)),$2:$2,0)) &amp; ":" &amp; ADDRESS(2,COLUMN(Y175)-1),TRUE),"T",INDIRECT(ADDRESS(ROW(Y175), MATCH(INT(OFFSET(Y175,ROW(Y$2)-ROW(Y175),-2)),$2:$2,0)) &amp; ":" &amp; ADDRESS(ROW(Y175),COLUMN(Y175)-1),TRUE)),IF(OFFSET(Y175,0,COLUMN($M175)-COLUMN(Y175))="V",OFFSET(Y175,0,-2)*OFFSET(Y175,0,-1),"TOTAL")))</f>
        <v>0</v>
      </c>
      <c r="Z175" s="370"/>
      <c r="AA175" s="371"/>
      <c r="AB175" s="372">
        <f ca="1">IF(OFFSET(AB175,ROW(AB$2)-ROW(AB175),0)="TT","TT",IF(OFFSET(AB175,0,COLUMN($M175)-COLUMN(AB175))="%",ROUND((OFFSET(AB175,-2,0)-OFFSET(AB175,-19,0))*0.07,2),IF(OFFSET(AB175,0,COLUMN($M175)-COLUMN(AB175))="V",ROUND(OFFSET(AB175,0,-2)*OFFSET(AB175,0,-1),2),SUMIF(INDIRECT(ADDRESS(MATCH("START"&amp;OFFSET(AB175,0,COLUMN($B175)-COLUMN(AB175)),$A:$A,0),$C175+COLUMN($E175)+1)&amp;":"&amp;ADDRESS(MATCH("END"&amp;OFFSET(AB175,0,COLUMN($B175)-COLUMN(AB175)),$A:$A,0),$C175+COLUMN($E175)+1),TRUE),INDIRECT(ADDRESS(ROW(AB175),$C175+COLUMN($E175)),TRUE),INDIRECT(ADDRESS(MATCH("START"&amp;OFFSET(AB175,0,COLUMN($B175)-COLUMN(AB175)),$A:$A,0),COLUMN(AB175))&amp;":"&amp;ADDRESS(MATCH("END"&amp;OFFSET(AB175,0,COLUMN($B175)-COLUMN(AB175)),$A:$A,0),COLUMN(AB175)),TRUE)))))</f>
        <v>0</v>
      </c>
      <c r="AC175" s="356">
        <f ca="1">IF(OFFSET(AC175,ROW(AC$2)-ROW(AC175),0)="TT",SUMIF(INDIRECT(ADDRESS(2,COLUMN($Q175)+1) &amp; ":" &amp; ADDRESS(2,COLUMN(AC175)-1),TRUE),"TBE",INDIRECT(ADDRESS(ROW(AC175), COLUMN($Q175)+1) &amp; ":" &amp; ADDRESS(ROW(AC175),COLUMN(AC175)-1),TRUE)),IF(OFFSET(AC175,ROW(AC$2)-ROW(AC175),0)="TBE",SUMIF(INDIRECT(ADDRESS(2,MATCH(INT(OFFSET(AC175,ROW(AC$2)-ROW(AC175),-2)),$2:$2,0)) &amp; ":" &amp; ADDRESS(2,COLUMN(AC175)-1),TRUE),"T",INDIRECT(ADDRESS(ROW(AC175), MATCH(INT(OFFSET(AC175,ROW(AC$2)-ROW(AC175),-2)),$2:$2,0)) &amp; ":" &amp; ADDRESS(ROW(AC175),COLUMN(AC175)-1),TRUE)),IF(OFFSET(AC175,0,COLUMN($M175)-COLUMN(AC175))="V",OFFSET(AC175,0,-2)*OFFSET(AC175,0,-1),"TOTAL")))</f>
        <v>0</v>
      </c>
      <c r="AD175" s="370"/>
      <c r="AE175" s="371"/>
      <c r="AF175" s="372">
        <f ca="1">IF(OFFSET(AF175,ROW(AF$2)-ROW(AF175),0)="TT","TT",IF(OFFSET(AF175,0,COLUMN($M175)-COLUMN(AF175))="%",ROUND((OFFSET(AF175,-2,0)-OFFSET(AF175,-19,0))*0.07,2),IF(OFFSET(AF175,0,COLUMN($M175)-COLUMN(AF175))="V",ROUND(OFFSET(AF175,0,-2)*OFFSET(AF175,0,-1),2),SUMIF(INDIRECT(ADDRESS(MATCH("START"&amp;OFFSET(AF175,0,COLUMN($B175)-COLUMN(AF175)),$A:$A,0),$C175+COLUMN($E175)+1)&amp;":"&amp;ADDRESS(MATCH("END"&amp;OFFSET(AF175,0,COLUMN($B175)-COLUMN(AF175)),$A:$A,0),$C175+COLUMN($E175)+1),TRUE),INDIRECT(ADDRESS(ROW(AF175),$C175+COLUMN($E175)),TRUE),INDIRECT(ADDRESS(MATCH("START"&amp;OFFSET(AF175,0,COLUMN($B175)-COLUMN(AF175)),$A:$A,0),COLUMN(AF175))&amp;":"&amp;ADDRESS(MATCH("END"&amp;OFFSET(AF175,0,COLUMN($B175)-COLUMN(AF175)),$A:$A,0),COLUMN(AF175)),TRUE)))))</f>
        <v>0</v>
      </c>
      <c r="AG175" s="356">
        <f ca="1">IF(OFFSET(AG175,ROW(AG$2)-ROW(AG175),0)="TT",SUMIF(INDIRECT(ADDRESS(2,COLUMN($Q175)+1) &amp; ":" &amp; ADDRESS(2,COLUMN(AG175)-1),TRUE),"TBE",INDIRECT(ADDRESS(ROW(AG175), COLUMN($Q175)+1) &amp; ":" &amp; ADDRESS(ROW(AG175),COLUMN(AG175)-1),TRUE)),IF(OFFSET(AG175,ROW(AG$2)-ROW(AG175),0)="TBE",SUMIF(INDIRECT(ADDRESS(2,MATCH(INT(OFFSET(AG175,ROW(AG$2)-ROW(AG175),-2)),$2:$2,0)) &amp; ":" &amp; ADDRESS(2,COLUMN(AG175)-1),TRUE),"T",INDIRECT(ADDRESS(ROW(AG175), MATCH(INT(OFFSET(AG175,ROW(AG$2)-ROW(AG175),-2)),$2:$2,0)) &amp; ":" &amp; ADDRESS(ROW(AG175),COLUMN(AG175)-1),TRUE)),IF(OFFSET(AG175,0,COLUMN($M175)-COLUMN(AG175))="V",OFFSET(AG175,0,-2)*OFFSET(AG175,0,-1),"TOTAL")))</f>
        <v>0</v>
      </c>
      <c r="AH175" s="370"/>
      <c r="AI175" s="371"/>
      <c r="AJ175" s="372">
        <f ca="1">IF(OFFSET(AJ175,ROW(AJ$2)-ROW(AJ175),0)="TT","TT",IF(OFFSET(AJ175,0,COLUMN($M175)-COLUMN(AJ175))="%",ROUND((OFFSET(AJ175,-2,0)-OFFSET(AJ175,-19,0))*0.07,2),IF(OFFSET(AJ175,0,COLUMN($M175)-COLUMN(AJ175))="V",ROUND(OFFSET(AJ175,0,-2)*OFFSET(AJ175,0,-1),2),SUMIF(INDIRECT(ADDRESS(MATCH("START"&amp;OFFSET(AJ175,0,COLUMN($B175)-COLUMN(AJ175)),$A:$A,0),$C175+COLUMN($E175)+1)&amp;":"&amp;ADDRESS(MATCH("END"&amp;OFFSET(AJ175,0,COLUMN($B175)-COLUMN(AJ175)),$A:$A,0),$C175+COLUMN($E175)+1),TRUE),INDIRECT(ADDRESS(ROW(AJ175),$C175+COLUMN($E175)),TRUE),INDIRECT(ADDRESS(MATCH("START"&amp;OFFSET(AJ175,0,COLUMN($B175)-COLUMN(AJ175)),$A:$A,0),COLUMN(AJ175))&amp;":"&amp;ADDRESS(MATCH("END"&amp;OFFSET(AJ175,0,COLUMN($B175)-COLUMN(AJ175)),$A:$A,0),COLUMN(AJ175)),TRUE)))))</f>
        <v>0</v>
      </c>
      <c r="AK175" s="356">
        <f ca="1">IF(OFFSET(AK175,ROW(AK$2)-ROW(AK175),0)="TT",SUMIF(INDIRECT(ADDRESS(2,COLUMN($Q175)+1) &amp; ":" &amp; ADDRESS(2,COLUMN(AK175)-1),TRUE),"TBE",INDIRECT(ADDRESS(ROW(AK175), COLUMN($Q175)+1) &amp; ":" &amp; ADDRESS(ROW(AK175),COLUMN(AK175)-1),TRUE)),IF(OFFSET(AK175,ROW(AK$2)-ROW(AK175),0)="TBE",SUMIF(INDIRECT(ADDRESS(2,MATCH(INT(OFFSET(AK175,ROW(AK$2)-ROW(AK175),-2)),$2:$2,0)) &amp; ":" &amp; ADDRESS(2,COLUMN(AK175)-1),TRUE),"T",INDIRECT(ADDRESS(ROW(AK175), MATCH(INT(OFFSET(AK175,ROW(AK$2)-ROW(AK175),-2)),$2:$2,0)) &amp; ":" &amp; ADDRESS(ROW(AK175),COLUMN(AK175)-1),TRUE)),IF(OFFSET(AK175,0,COLUMN($M175)-COLUMN(AK175))="V",OFFSET(AK175,0,-2)*OFFSET(AK175,0,-1),"TOTAL")))</f>
        <v>0</v>
      </c>
      <c r="AL175" s="370"/>
      <c r="AM175" s="371"/>
      <c r="AN175" s="372">
        <f ca="1">IF(OFFSET(AN175,ROW(AN$2)-ROW(AN175),0)="TT","TT",IF(OFFSET(AN175,0,COLUMN($M175)-COLUMN(AN175))="%",ROUND((OFFSET(AN175,-2,0)-OFFSET(AN175,-19,0))*0.07,2),IF(OFFSET(AN175,0,COLUMN($M175)-COLUMN(AN175))="V",ROUND(OFFSET(AN175,0,-2)*OFFSET(AN175,0,-1),2),SUMIF(INDIRECT(ADDRESS(MATCH("START"&amp;OFFSET(AN175,0,COLUMN($B175)-COLUMN(AN175)),$A:$A,0),$C175+COLUMN($E175)+1)&amp;":"&amp;ADDRESS(MATCH("END"&amp;OFFSET(AN175,0,COLUMN($B175)-COLUMN(AN175)),$A:$A,0),$C175+COLUMN($E175)+1),TRUE),INDIRECT(ADDRESS(ROW(AN175),$C175+COLUMN($E175)),TRUE),INDIRECT(ADDRESS(MATCH("START"&amp;OFFSET(AN175,0,COLUMN($B175)-COLUMN(AN175)),$A:$A,0),COLUMN(AN175))&amp;":"&amp;ADDRESS(MATCH("END"&amp;OFFSET(AN175,0,COLUMN($B175)-COLUMN(AN175)),$A:$A,0),COLUMN(AN175)),TRUE)))))</f>
        <v>0</v>
      </c>
      <c r="AO175" s="356">
        <f ca="1">IF(OFFSET(AO175,ROW(AO$2)-ROW(AO175),0)="TT",SUMIF(INDIRECT(ADDRESS(2,COLUMN($Q175)+1) &amp; ":" &amp; ADDRESS(2,COLUMN(AO175)-1),TRUE),"TBE",INDIRECT(ADDRESS(ROW(AO175), COLUMN($Q175)+1) &amp; ":" &amp; ADDRESS(ROW(AO175),COLUMN(AO175)-1),TRUE)),IF(OFFSET(AO175,ROW(AO$2)-ROW(AO175),0)="TBE",SUMIF(INDIRECT(ADDRESS(2,MATCH(INT(OFFSET(AO175,ROW(AO$2)-ROW(AO175),-2)),$2:$2,0)) &amp; ":" &amp; ADDRESS(2,COLUMN(AO175)-1),TRUE),"T",INDIRECT(ADDRESS(ROW(AO175), MATCH(INT(OFFSET(AO175,ROW(AO$2)-ROW(AO175),-2)),$2:$2,0)) &amp; ":" &amp; ADDRESS(ROW(AO175),COLUMN(AO175)-1),TRUE)),IF(OFFSET(AO175,0,COLUMN($M175)-COLUMN(AO175))="V",OFFSET(AO175,0,-2)*OFFSET(AO175,0,-1),"TOTAL")))</f>
        <v>0</v>
      </c>
      <c r="AP175" s="370"/>
      <c r="AQ175" s="371"/>
      <c r="AR175" s="372">
        <f ca="1">IF(OFFSET(AR175,ROW(AR$2)-ROW(AR175),0)="TT","TT",IF(OFFSET(AR175,0,COLUMN($M175)-COLUMN(AR175))="%",ROUND((OFFSET(AR175,-2,0)-OFFSET(AR175,-19,0))*0.07,2),IF(OFFSET(AR175,0,COLUMN($M175)-COLUMN(AR175))="V",ROUND(OFFSET(AR175,0,-2)*OFFSET(AR175,0,-1),2),SUMIF(INDIRECT(ADDRESS(MATCH("START"&amp;OFFSET(AR175,0,COLUMN($B175)-COLUMN(AR175)),$A:$A,0),$C175+COLUMN($E175)+1)&amp;":"&amp;ADDRESS(MATCH("END"&amp;OFFSET(AR175,0,COLUMN($B175)-COLUMN(AR175)),$A:$A,0),$C175+COLUMN($E175)+1),TRUE),INDIRECT(ADDRESS(ROW(AR175),$C175+COLUMN($E175)),TRUE),INDIRECT(ADDRESS(MATCH("START"&amp;OFFSET(AR175,0,COLUMN($B175)-COLUMN(AR175)),$A:$A,0),COLUMN(AR175))&amp;":"&amp;ADDRESS(MATCH("END"&amp;OFFSET(AR175,0,COLUMN($B175)-COLUMN(AR175)),$A:$A,0),COLUMN(AR175)),TRUE)))))</f>
        <v>0</v>
      </c>
      <c r="AS175" s="356">
        <f ca="1">IF(OFFSET(AS175,ROW(AS$2)-ROW(AS175),0)="TT",SUMIF(INDIRECT(ADDRESS(2,COLUMN($Q175)+1) &amp; ":" &amp; ADDRESS(2,COLUMN(AS175)-1),TRUE),"TBE",INDIRECT(ADDRESS(ROW(AS175), COLUMN($Q175)+1) &amp; ":" &amp; ADDRESS(ROW(AS175),COLUMN(AS175)-1),TRUE)),IF(OFFSET(AS175,ROW(AS$2)-ROW(AS175),0)="TBE",SUMIF(INDIRECT(ADDRESS(2,MATCH(INT(OFFSET(AS175,ROW(AS$2)-ROW(AS175),-2)),$2:$2,0)) &amp; ":" &amp; ADDRESS(2,COLUMN(AS175)-1),TRUE),"T",INDIRECT(ADDRESS(ROW(AS175), MATCH(INT(OFFSET(AS175,ROW(AS$2)-ROW(AS175),-2)),$2:$2,0)) &amp; ":" &amp; ADDRESS(ROW(AS175),COLUMN(AS175)-1),TRUE)),IF(OFFSET(AS175,0,COLUMN($M175)-COLUMN(AS175))="V",OFFSET(AS175,0,-2)*OFFSET(AS175,0,-1),"TOTAL")))</f>
        <v>0</v>
      </c>
      <c r="AT175" s="370"/>
      <c r="AU175" s="371"/>
      <c r="AV175" s="372">
        <f ca="1">IF(OFFSET(AV175,ROW(AV$2)-ROW(AV175),0)="TT","TT",IF(OFFSET(AV175,0,COLUMN($M175)-COLUMN(AV175))="%",ROUND((OFFSET(AV175,-2,0)-OFFSET(AV175,-19,0))*0.07,2),IF(OFFSET(AV175,0,COLUMN($M175)-COLUMN(AV175))="V",ROUND(OFFSET(AV175,0,-2)*OFFSET(AV175,0,-1),2),SUMIF(INDIRECT(ADDRESS(MATCH("START"&amp;OFFSET(AV175,0,COLUMN($B175)-COLUMN(AV175)),$A:$A,0),$C175+COLUMN($E175)+1)&amp;":"&amp;ADDRESS(MATCH("END"&amp;OFFSET(AV175,0,COLUMN($B175)-COLUMN(AV175)),$A:$A,0),$C175+COLUMN($E175)+1),TRUE),INDIRECT(ADDRESS(ROW(AV175),$C175+COLUMN($E175)),TRUE),INDIRECT(ADDRESS(MATCH("START"&amp;OFFSET(AV175,0,COLUMN($B175)-COLUMN(AV175)),$A:$A,0),COLUMN(AV175))&amp;":"&amp;ADDRESS(MATCH("END"&amp;OFFSET(AV175,0,COLUMN($B175)-COLUMN(AV175)),$A:$A,0),COLUMN(AV175)),TRUE)))))</f>
        <v>0</v>
      </c>
      <c r="AW175" s="356">
        <f ca="1">IF(OFFSET(AW175,ROW(AW$2)-ROW(AW175),0)="TT",SUMIF(INDIRECT(ADDRESS(2,COLUMN($Q175)+1) &amp; ":" &amp; ADDRESS(2,COLUMN(AW175)-1),TRUE),"TBE",INDIRECT(ADDRESS(ROW(AW175), COLUMN($Q175)+1) &amp; ":" &amp; ADDRESS(ROW(AW175),COLUMN(AW175)-1),TRUE)),IF(OFFSET(AW175,ROW(AW$2)-ROW(AW175),0)="TBE",SUMIF(INDIRECT(ADDRESS(2,MATCH(INT(OFFSET(AW175,ROW(AW$2)-ROW(AW175),-2)),$2:$2,0)) &amp; ":" &amp; ADDRESS(2,COLUMN(AW175)-1),TRUE),"T",INDIRECT(ADDRESS(ROW(AW175), MATCH(INT(OFFSET(AW175,ROW(AW$2)-ROW(AW175),-2)),$2:$2,0)) &amp; ":" &amp; ADDRESS(ROW(AW175),COLUMN(AW175)-1),TRUE)),IF(OFFSET(AW175,0,COLUMN($M175)-COLUMN(AW175))="V",OFFSET(AW175,0,-2)*OFFSET(AW175,0,-1),"TOTAL")))</f>
        <v>0</v>
      </c>
      <c r="AX175" s="370"/>
      <c r="AY175" s="371"/>
      <c r="AZ175" s="372">
        <f ca="1">IF(OFFSET(AZ175,ROW(AZ$2)-ROW(AZ175),0)="TT","TT",IF(OFFSET(AZ175,0,COLUMN($M175)-COLUMN(AZ175))="%",ROUND((OFFSET(AZ175,-2,0)-OFFSET(AZ175,-19,0))*0.07,2),IF(OFFSET(AZ175,0,COLUMN($M175)-COLUMN(AZ175))="V",ROUND(OFFSET(AZ175,0,-2)*OFFSET(AZ175,0,-1),2),SUMIF(INDIRECT(ADDRESS(MATCH("START"&amp;OFFSET(AZ175,0,COLUMN($B175)-COLUMN(AZ175)),$A:$A,0),$C175+COLUMN($E175)+1)&amp;":"&amp;ADDRESS(MATCH("END"&amp;OFFSET(AZ175,0,COLUMN($B175)-COLUMN(AZ175)),$A:$A,0),$C175+COLUMN($E175)+1),TRUE),INDIRECT(ADDRESS(ROW(AZ175),$C175+COLUMN($E175)),TRUE),INDIRECT(ADDRESS(MATCH("START"&amp;OFFSET(AZ175,0,COLUMN($B175)-COLUMN(AZ175)),$A:$A,0),COLUMN(AZ175))&amp;":"&amp;ADDRESS(MATCH("END"&amp;OFFSET(AZ175,0,COLUMN($B175)-COLUMN(AZ175)),$A:$A,0),COLUMN(AZ175)),TRUE)))))</f>
        <v>0</v>
      </c>
      <c r="BA175" s="356">
        <f ca="1">IF(OFFSET(BA175,ROW(BA$2)-ROW(BA175),0)="TT",SUMIF(INDIRECT(ADDRESS(2,COLUMN($Q175)+1) &amp; ":" &amp; ADDRESS(2,COLUMN(BA175)-1),TRUE),"TBE",INDIRECT(ADDRESS(ROW(BA175), COLUMN($Q175)+1) &amp; ":" &amp; ADDRESS(ROW(BA175),COLUMN(BA175)-1),TRUE)),IF(OFFSET(BA175,ROW(BA$2)-ROW(BA175),0)="TBE",SUMIF(INDIRECT(ADDRESS(2,MATCH(INT(OFFSET(BA175,ROW(BA$2)-ROW(BA175),-2)),$2:$2,0)) &amp; ":" &amp; ADDRESS(2,COLUMN(BA175)-1),TRUE),"T",INDIRECT(ADDRESS(ROW(BA175), MATCH(INT(OFFSET(BA175,ROW(BA$2)-ROW(BA175),-2)),$2:$2,0)) &amp; ":" &amp; ADDRESS(ROW(BA175),COLUMN(BA175)-1),TRUE)),IF(OFFSET(BA175,0,COLUMN($M175)-COLUMN(BA175))="V",OFFSET(BA175,0,-2)*OFFSET(BA175,0,-1),"TOTAL")))</f>
        <v>0</v>
      </c>
      <c r="BB175" s="370"/>
      <c r="BC175" s="371"/>
      <c r="BD175" s="372">
        <f ca="1">IF(OFFSET(BD175,ROW(BD$2)-ROW(BD175),0)="TT","TT",IF(OFFSET(BD175,0,COLUMN($M175)-COLUMN(BD175))="%",ROUND((OFFSET(BD175,-2,0)-OFFSET(BD175,-19,0))*0.07,2),IF(OFFSET(BD175,0,COLUMN($M175)-COLUMN(BD175))="V",ROUND(OFFSET(BD175,0,-2)*OFFSET(BD175,0,-1),2),SUMIF(INDIRECT(ADDRESS(MATCH("START"&amp;OFFSET(BD175,0,COLUMN($B175)-COLUMN(BD175)),$A:$A,0),$C175+COLUMN($E175)+1)&amp;":"&amp;ADDRESS(MATCH("END"&amp;OFFSET(BD175,0,COLUMN($B175)-COLUMN(BD175)),$A:$A,0),$C175+COLUMN($E175)+1),TRUE),INDIRECT(ADDRESS(ROW(BD175),$C175+COLUMN($E175)),TRUE),INDIRECT(ADDRESS(MATCH("START"&amp;OFFSET(BD175,0,COLUMN($B175)-COLUMN(BD175)),$A:$A,0),COLUMN(BD175))&amp;":"&amp;ADDRESS(MATCH("END"&amp;OFFSET(BD175,0,COLUMN($B175)-COLUMN(BD175)),$A:$A,0),COLUMN(BD175)),TRUE)))))</f>
        <v>0</v>
      </c>
      <c r="BE175" s="356">
        <f ca="1">IF(OFFSET(BE175,ROW(BE$2)-ROW(BE175),0)="TT",SUMIF(INDIRECT(ADDRESS(2,COLUMN($Q175)+1) &amp; ":" &amp; ADDRESS(2,COLUMN(BE175)-1),TRUE),"TBE",INDIRECT(ADDRESS(ROW(BE175), COLUMN($Q175)+1) &amp; ":" &amp; ADDRESS(ROW(BE175),COLUMN(BE175)-1),TRUE)),IF(OFFSET(BE175,ROW(BE$2)-ROW(BE175),0)="TBE",SUMIF(INDIRECT(ADDRESS(2,MATCH(INT(OFFSET(BE175,ROW(BE$2)-ROW(BE175),-2)),$2:$2,0)) &amp; ":" &amp; ADDRESS(2,COLUMN(BE175)-1),TRUE),"T",INDIRECT(ADDRESS(ROW(BE175), MATCH(INT(OFFSET(BE175,ROW(BE$2)-ROW(BE175),-2)),$2:$2,0)) &amp; ":" &amp; ADDRESS(ROW(BE175),COLUMN(BE175)-1),TRUE)),IF(OFFSET(BE175,0,COLUMN($M175)-COLUMN(BE175))="V",OFFSET(BE175,0,-2)*OFFSET(BE175,0,-1),"TOTAL")))</f>
        <v>0</v>
      </c>
      <c r="BF175" s="370"/>
      <c r="BG175" s="371"/>
      <c r="BH175" s="372">
        <f ca="1">IF(OFFSET(BH175,ROW(BH$2)-ROW(BH175),0)="TT","TT",IF(OFFSET(BH175,0,COLUMN($M175)-COLUMN(BH175))="%",ROUND((OFFSET(BH175,-2,0)-OFFSET(BH175,-19,0))*0.07,2),IF(OFFSET(BH175,0,COLUMN($M175)-COLUMN(BH175))="V",ROUND(OFFSET(BH175,0,-2)*OFFSET(BH175,0,-1),2),SUMIF(INDIRECT(ADDRESS(MATCH("START"&amp;OFFSET(BH175,0,COLUMN($B175)-COLUMN(BH175)),$A:$A,0),$C175+COLUMN($E175)+1)&amp;":"&amp;ADDRESS(MATCH("END"&amp;OFFSET(BH175,0,COLUMN($B175)-COLUMN(BH175)),$A:$A,0),$C175+COLUMN($E175)+1),TRUE),INDIRECT(ADDRESS(ROW(BH175),$C175+COLUMN($E175)),TRUE),INDIRECT(ADDRESS(MATCH("START"&amp;OFFSET(BH175,0,COLUMN($B175)-COLUMN(BH175)),$A:$A,0),COLUMN(BH175))&amp;":"&amp;ADDRESS(MATCH("END"&amp;OFFSET(BH175,0,COLUMN($B175)-COLUMN(BH175)),$A:$A,0),COLUMN(BH175)),TRUE)))))</f>
        <v>0</v>
      </c>
      <c r="BI175" s="356">
        <f ca="1">IF(OFFSET(BI175,ROW(BI$2)-ROW(BI175),0)="TT",SUMIF(INDIRECT(ADDRESS(2,COLUMN($Q175)+1) &amp; ":" &amp; ADDRESS(2,COLUMN(BI175)-1),TRUE),"TBE",INDIRECT(ADDRESS(ROW(BI175), COLUMN($Q175)+1) &amp; ":" &amp; ADDRESS(ROW(BI175),COLUMN(BI175)-1),TRUE)),IF(OFFSET(BI175,ROW(BI$2)-ROW(BI175),0)="TBE",SUMIF(INDIRECT(ADDRESS(2,MATCH(INT(OFFSET(BI175,ROW(BI$2)-ROW(BI175),-2)),$2:$2,0)) &amp; ":" &amp; ADDRESS(2,COLUMN(BI175)-1),TRUE),"T",INDIRECT(ADDRESS(ROW(BI175), MATCH(INT(OFFSET(BI175,ROW(BI$2)-ROW(BI175),-2)),$2:$2,0)) &amp; ":" &amp; ADDRESS(ROW(BI175),COLUMN(BI175)-1),TRUE)),IF(OFFSET(BI175,0,COLUMN($M175)-COLUMN(BI175))="V",OFFSET(BI175,0,-2)*OFFSET(BI175,0,-1),"TOTAL")))</f>
        <v>0</v>
      </c>
      <c r="BJ175" s="370"/>
      <c r="BK175" s="371"/>
      <c r="BL175" s="372">
        <f ca="1">IF(OFFSET(BL175,ROW(BL$2)-ROW(BL175),0)="TT","TT",IF(OFFSET(BL175,0,COLUMN($M175)-COLUMN(BL175))="%",ROUND((OFFSET(BL175,-2,0)-OFFSET(BL175,-19,0))*0.07,2),IF(OFFSET(BL175,0,COLUMN($M175)-COLUMN(BL175))="V",ROUND(OFFSET(BL175,0,-2)*OFFSET(BL175,0,-1),2),SUMIF(INDIRECT(ADDRESS(MATCH("START"&amp;OFFSET(BL175,0,COLUMN($B175)-COLUMN(BL175)),$A:$A,0),$C175+COLUMN($E175)+1)&amp;":"&amp;ADDRESS(MATCH("END"&amp;OFFSET(BL175,0,COLUMN($B175)-COLUMN(BL175)),$A:$A,0),$C175+COLUMN($E175)+1),TRUE),INDIRECT(ADDRESS(ROW(BL175),$C175+COLUMN($E175)),TRUE),INDIRECT(ADDRESS(MATCH("START"&amp;OFFSET(BL175,0,COLUMN($B175)-COLUMN(BL175)),$A:$A,0),COLUMN(BL175))&amp;":"&amp;ADDRESS(MATCH("END"&amp;OFFSET(BL175,0,COLUMN($B175)-COLUMN(BL175)),$A:$A,0),COLUMN(BL175)),TRUE)))))</f>
        <v>0</v>
      </c>
      <c r="BM175" s="356">
        <f ca="1">IF(OFFSET(BM175,ROW(BM$2)-ROW(BM175),0)="TT",SUMIF(INDIRECT(ADDRESS(2,COLUMN($Q175)+1) &amp; ":" &amp; ADDRESS(2,COLUMN(BM175)-1),TRUE),"TBE",INDIRECT(ADDRESS(ROW(BM175), COLUMN($Q175)+1) &amp; ":" &amp; ADDRESS(ROW(BM175),COLUMN(BM175)-1),TRUE)),IF(OFFSET(BM175,ROW(BM$2)-ROW(BM175),0)="TBE",SUMIF(INDIRECT(ADDRESS(2,MATCH(INT(OFFSET(BM175,ROW(BM$2)-ROW(BM175),-2)),$2:$2,0)) &amp; ":" &amp; ADDRESS(2,COLUMN(BM175)-1),TRUE),"T",INDIRECT(ADDRESS(ROW(BM175), MATCH(INT(OFFSET(BM175,ROW(BM$2)-ROW(BM175),-2)),$2:$2,0)) &amp; ":" &amp; ADDRESS(ROW(BM175),COLUMN(BM175)-1),TRUE)),IF(OFFSET(BM175,0,COLUMN($M175)-COLUMN(BM175))="V",OFFSET(BM175,0,-2)*OFFSET(BM175,0,-1),"TOTAL")))</f>
        <v>0</v>
      </c>
      <c r="BN175" s="356">
        <f ca="1">IF(OFFSET(BN175,ROW(BN$2)-ROW(BN175),0)="TT",SUMIF(INDIRECT(ADDRESS(2,COLUMN($Q175)+1) &amp; ":" &amp; ADDRESS(2,COLUMN(BN175)-1),TRUE),"TBE",INDIRECT(ADDRESS(ROW(BN175), COLUMN($Q175)+1) &amp; ":" &amp; ADDRESS(ROW(BN175),COLUMN(BN175)-1),TRUE)),IF(OFFSET(BN175,ROW(BN$2)-ROW(BN175),0)="TBE",SUMIF(INDIRECT(ADDRESS(2,MATCH(INT(OFFSET(BN175,ROW(BN$2)-ROW(BN175),-2)),$2:$2,0)) &amp; ":" &amp; ADDRESS(2,COLUMN(BN175)-1),TRUE),"T",INDIRECT(ADDRESS(ROW(BN175), MATCH(INT(OFFSET(BN175,ROW(BN$2)-ROW(BN175),-2)),$2:$2,0)) &amp; ":" &amp; ADDRESS(ROW(BN175),COLUMN(BN175)-1),TRUE)),IF(OFFSET(BN175,0,COLUMN($M175)-COLUMN(BN175))="V",OFFSET(BN175,0,-2)*OFFSET(BN175,0,-1),"TOTAL")))</f>
        <v>0</v>
      </c>
    </row>
    <row r="176" spans="1:66">
      <c r="A176" s="221" t="str">
        <f t="shared" ca="1" si="248"/>
        <v>WP005</v>
      </c>
      <c r="B176" s="221" t="str">
        <f t="shared" ca="1" si="249"/>
        <v>WP005</v>
      </c>
      <c r="C176" s="221">
        <v>1</v>
      </c>
      <c r="N176" s="461"/>
      <c r="O176" s="259"/>
      <c r="P176" s="389"/>
      <c r="Q176" s="389"/>
      <c r="R176" s="361"/>
      <c r="S176" s="362"/>
      <c r="T176" s="363"/>
      <c r="U176" s="360"/>
      <c r="V176" s="361"/>
      <c r="W176" s="362"/>
      <c r="X176" s="363"/>
      <c r="Y176" s="360"/>
      <c r="Z176" s="361"/>
      <c r="AA176" s="362"/>
      <c r="AB176" s="363"/>
      <c r="AC176" s="360"/>
      <c r="AD176" s="361"/>
      <c r="AE176" s="362"/>
      <c r="AF176" s="363"/>
      <c r="AG176" s="360"/>
      <c r="AH176" s="361"/>
      <c r="AI176" s="362"/>
      <c r="AJ176" s="363"/>
      <c r="AK176" s="360"/>
      <c r="AL176" s="361"/>
      <c r="AM176" s="362"/>
      <c r="AN176" s="363"/>
      <c r="AO176" s="360"/>
      <c r="AP176" s="361"/>
      <c r="AQ176" s="362"/>
      <c r="AR176" s="363"/>
      <c r="AS176" s="360"/>
      <c r="AT176" s="361"/>
      <c r="AU176" s="362"/>
      <c r="AV176" s="363"/>
      <c r="AW176" s="360"/>
      <c r="AX176" s="361"/>
      <c r="AY176" s="362"/>
      <c r="AZ176" s="363"/>
      <c r="BA176" s="360"/>
      <c r="BB176" s="361"/>
      <c r="BC176" s="362"/>
      <c r="BD176" s="363"/>
      <c r="BE176" s="360"/>
      <c r="BF176" s="361"/>
      <c r="BG176" s="362"/>
      <c r="BH176" s="363"/>
      <c r="BI176" s="360"/>
      <c r="BJ176" s="361"/>
      <c r="BK176" s="362"/>
      <c r="BL176" s="363"/>
      <c r="BM176" s="360"/>
      <c r="BN176" s="360"/>
    </row>
    <row r="177" spans="1:68" ht="12.75" thickBot="1">
      <c r="A177" s="221" t="str">
        <f t="shared" ca="1" si="248"/>
        <v>ENDWP005</v>
      </c>
      <c r="B177" s="221" t="str">
        <f t="shared" ca="1" si="249"/>
        <v>WP005</v>
      </c>
      <c r="C177" s="221">
        <v>0</v>
      </c>
      <c r="D177" s="221" t="s">
        <v>135</v>
      </c>
      <c r="E177" s="221" t="s">
        <v>130</v>
      </c>
      <c r="M177" s="221" t="s">
        <v>46</v>
      </c>
      <c r="N177" s="462"/>
      <c r="O177" s="454" t="str">
        <f ca="1">"TOTAL COSTS (A+B+C+D+E) - " &amp; OFFSET(O177,-26,0)</f>
        <v xml:space="preserve">TOTAL COSTS (A+B+C+D+E) - </v>
      </c>
      <c r="P177" s="455"/>
      <c r="Q177" s="455"/>
      <c r="R177" s="373"/>
      <c r="S177" s="374"/>
      <c r="T177" s="375">
        <f t="shared" ca="1" si="262"/>
        <v>0</v>
      </c>
      <c r="U177" s="376">
        <f ca="1">IF(OFFSET(U177,ROW(U$2)-ROW(U177),0)="TT",SUMIF(INDIRECT(ADDRESS(2,COLUMN($Q177)+1) &amp; ":" &amp; ADDRESS(2,COLUMN(U177)-1),TRUE),"TBE",INDIRECT(ADDRESS(ROW(U177), COLUMN($Q177)+1) &amp; ":" &amp; ADDRESS(ROW(U177),COLUMN(U177)-1),TRUE)),IF(OFFSET(U177,ROW(U$2)-ROW(U177),0)="TBE",SUMIF(INDIRECT(ADDRESS(2,MATCH(INT(OFFSET(U177,ROW(U$2)-ROW(U177),-2)),$2:$2,0)) &amp; ":" &amp; ADDRESS(2,COLUMN(U177)-1),TRUE),"T",INDIRECT(ADDRESS(ROW(U177), MATCH(INT(OFFSET(U177,ROW(U$2)-ROW(U177),-2)),$2:$2,0)) &amp; ":" &amp; ADDRESS(ROW(U177),COLUMN(U177)-1),TRUE)),IF(OFFSET(U177,0,COLUMN($M177)-COLUMN(U177))="V",OFFSET(U177,0,-2)*OFFSET(U177,0,-1),"TOTAL")))</f>
        <v>0</v>
      </c>
      <c r="V177" s="373"/>
      <c r="W177" s="374"/>
      <c r="X177" s="375">
        <f t="shared" ca="1" si="263"/>
        <v>0</v>
      </c>
      <c r="Y177" s="376">
        <f ca="1">IF(OFFSET(Y177,ROW(Y$2)-ROW(Y177),0)="TT",SUMIF(INDIRECT(ADDRESS(2,COLUMN($Q177)+1) &amp; ":" &amp; ADDRESS(2,COLUMN(Y177)-1),TRUE),"TBE",INDIRECT(ADDRESS(ROW(Y177), COLUMN($Q177)+1) &amp; ":" &amp; ADDRESS(ROW(Y177),COLUMN(Y177)-1),TRUE)),IF(OFFSET(Y177,ROW(Y$2)-ROW(Y177),0)="TBE",SUMIF(INDIRECT(ADDRESS(2,MATCH(INT(OFFSET(Y177,ROW(Y$2)-ROW(Y177),-2)),$2:$2,0)) &amp; ":" &amp; ADDRESS(2,COLUMN(Y177)-1),TRUE),"T",INDIRECT(ADDRESS(ROW(Y177), MATCH(INT(OFFSET(Y177,ROW(Y$2)-ROW(Y177),-2)),$2:$2,0)) &amp; ":" &amp; ADDRESS(ROW(Y177),COLUMN(Y177)-1),TRUE)),IF(OFFSET(Y177,0,COLUMN($M177)-COLUMN(Y177))="V",OFFSET(Y177,0,-2)*OFFSET(Y177,0,-1),"TOTAL")))</f>
        <v>0</v>
      </c>
      <c r="Z177" s="373"/>
      <c r="AA177" s="374"/>
      <c r="AB177" s="375">
        <f t="shared" ca="1" si="264"/>
        <v>0</v>
      </c>
      <c r="AC177" s="376">
        <f ca="1">IF(OFFSET(AC177,ROW(AC$2)-ROW(AC177),0)="TT",SUMIF(INDIRECT(ADDRESS(2,COLUMN($Q177)+1) &amp; ":" &amp; ADDRESS(2,COLUMN(AC177)-1),TRUE),"TBE",INDIRECT(ADDRESS(ROW(AC177), COLUMN($Q177)+1) &amp; ":" &amp; ADDRESS(ROW(AC177),COLUMN(AC177)-1),TRUE)),IF(OFFSET(AC177,ROW(AC$2)-ROW(AC177),0)="TBE",SUMIF(INDIRECT(ADDRESS(2,MATCH(INT(OFFSET(AC177,ROW(AC$2)-ROW(AC177),-2)),$2:$2,0)) &amp; ":" &amp; ADDRESS(2,COLUMN(AC177)-1),TRUE),"T",INDIRECT(ADDRESS(ROW(AC177), MATCH(INT(OFFSET(AC177,ROW(AC$2)-ROW(AC177),-2)),$2:$2,0)) &amp; ":" &amp; ADDRESS(ROW(AC177),COLUMN(AC177)-1),TRUE)),IF(OFFSET(AC177,0,COLUMN($M177)-COLUMN(AC177))="V",OFFSET(AC177,0,-2)*OFFSET(AC177,0,-1),"TOTAL")))</f>
        <v>0</v>
      </c>
      <c r="AD177" s="373"/>
      <c r="AE177" s="374"/>
      <c r="AF177" s="375">
        <f t="shared" ca="1" si="265"/>
        <v>0</v>
      </c>
      <c r="AG177" s="376">
        <f ca="1">IF(OFFSET(AG177,ROW(AG$2)-ROW(AG177),0)="TT",SUMIF(INDIRECT(ADDRESS(2,COLUMN($Q177)+1) &amp; ":" &amp; ADDRESS(2,COLUMN(AG177)-1),TRUE),"TBE",INDIRECT(ADDRESS(ROW(AG177), COLUMN($Q177)+1) &amp; ":" &amp; ADDRESS(ROW(AG177),COLUMN(AG177)-1),TRUE)),IF(OFFSET(AG177,ROW(AG$2)-ROW(AG177),0)="TBE",SUMIF(INDIRECT(ADDRESS(2,MATCH(INT(OFFSET(AG177,ROW(AG$2)-ROW(AG177),-2)),$2:$2,0)) &amp; ":" &amp; ADDRESS(2,COLUMN(AG177)-1),TRUE),"T",INDIRECT(ADDRESS(ROW(AG177), MATCH(INT(OFFSET(AG177,ROW(AG$2)-ROW(AG177),-2)),$2:$2,0)) &amp; ":" &amp; ADDRESS(ROW(AG177),COLUMN(AG177)-1),TRUE)),IF(OFFSET(AG177,0,COLUMN($M177)-COLUMN(AG177))="V",OFFSET(AG177,0,-2)*OFFSET(AG177,0,-1),"TOTAL")))</f>
        <v>0</v>
      </c>
      <c r="AH177" s="373"/>
      <c r="AI177" s="374"/>
      <c r="AJ177" s="375">
        <f t="shared" ca="1" si="266"/>
        <v>0</v>
      </c>
      <c r="AK177" s="376">
        <f ca="1">IF(OFFSET(AK177,ROW(AK$2)-ROW(AK177),0)="TT",SUMIF(INDIRECT(ADDRESS(2,COLUMN($Q177)+1) &amp; ":" &amp; ADDRESS(2,COLUMN(AK177)-1),TRUE),"TBE",INDIRECT(ADDRESS(ROW(AK177), COLUMN($Q177)+1) &amp; ":" &amp; ADDRESS(ROW(AK177),COLUMN(AK177)-1),TRUE)),IF(OFFSET(AK177,ROW(AK$2)-ROW(AK177),0)="TBE",SUMIF(INDIRECT(ADDRESS(2,MATCH(INT(OFFSET(AK177,ROW(AK$2)-ROW(AK177),-2)),$2:$2,0)) &amp; ":" &amp; ADDRESS(2,COLUMN(AK177)-1),TRUE),"T",INDIRECT(ADDRESS(ROW(AK177), MATCH(INT(OFFSET(AK177,ROW(AK$2)-ROW(AK177),-2)),$2:$2,0)) &amp; ":" &amp; ADDRESS(ROW(AK177),COLUMN(AK177)-1),TRUE)),IF(OFFSET(AK177,0,COLUMN($M177)-COLUMN(AK177))="V",OFFSET(AK177,0,-2)*OFFSET(AK177,0,-1),"TOTAL")))</f>
        <v>0</v>
      </c>
      <c r="AL177" s="373"/>
      <c r="AM177" s="374"/>
      <c r="AN177" s="375">
        <f t="shared" ca="1" si="267"/>
        <v>0</v>
      </c>
      <c r="AO177" s="376">
        <f ca="1">IF(OFFSET(AO177,ROW(AO$2)-ROW(AO177),0)="TT",SUMIF(INDIRECT(ADDRESS(2,COLUMN($Q177)+1) &amp; ":" &amp; ADDRESS(2,COLUMN(AO177)-1),TRUE),"TBE",INDIRECT(ADDRESS(ROW(AO177), COLUMN($Q177)+1) &amp; ":" &amp; ADDRESS(ROW(AO177),COLUMN(AO177)-1),TRUE)),IF(OFFSET(AO177,ROW(AO$2)-ROW(AO177),0)="TBE",SUMIF(INDIRECT(ADDRESS(2,MATCH(INT(OFFSET(AO177,ROW(AO$2)-ROW(AO177),-2)),$2:$2,0)) &amp; ":" &amp; ADDRESS(2,COLUMN(AO177)-1),TRUE),"T",INDIRECT(ADDRESS(ROW(AO177), MATCH(INT(OFFSET(AO177,ROW(AO$2)-ROW(AO177),-2)),$2:$2,0)) &amp; ":" &amp; ADDRESS(ROW(AO177),COLUMN(AO177)-1),TRUE)),IF(OFFSET(AO177,0,COLUMN($M177)-COLUMN(AO177))="V",OFFSET(AO177,0,-2)*OFFSET(AO177,0,-1),"TOTAL")))</f>
        <v>0</v>
      </c>
      <c r="AP177" s="373"/>
      <c r="AQ177" s="374"/>
      <c r="AR177" s="375">
        <f t="shared" ca="1" si="268"/>
        <v>0</v>
      </c>
      <c r="AS177" s="376">
        <f ca="1">IF(OFFSET(AS177,ROW(AS$2)-ROW(AS177),0)="TT",SUMIF(INDIRECT(ADDRESS(2,COLUMN($Q177)+1) &amp; ":" &amp; ADDRESS(2,COLUMN(AS177)-1),TRUE),"TBE",INDIRECT(ADDRESS(ROW(AS177), COLUMN($Q177)+1) &amp; ":" &amp; ADDRESS(ROW(AS177),COLUMN(AS177)-1),TRUE)),IF(OFFSET(AS177,ROW(AS$2)-ROW(AS177),0)="TBE",SUMIF(INDIRECT(ADDRESS(2,MATCH(INT(OFFSET(AS177,ROW(AS$2)-ROW(AS177),-2)),$2:$2,0)) &amp; ":" &amp; ADDRESS(2,COLUMN(AS177)-1),TRUE),"T",INDIRECT(ADDRESS(ROW(AS177), MATCH(INT(OFFSET(AS177,ROW(AS$2)-ROW(AS177),-2)),$2:$2,0)) &amp; ":" &amp; ADDRESS(ROW(AS177),COLUMN(AS177)-1),TRUE)),IF(OFFSET(AS177,0,COLUMN($M177)-COLUMN(AS177))="V",OFFSET(AS177,0,-2)*OFFSET(AS177,0,-1),"TOTAL")))</f>
        <v>0</v>
      </c>
      <c r="AT177" s="373"/>
      <c r="AU177" s="374"/>
      <c r="AV177" s="375">
        <f t="shared" ca="1" si="269"/>
        <v>0</v>
      </c>
      <c r="AW177" s="376">
        <f ca="1">IF(OFFSET(AW177,ROW(AW$2)-ROW(AW177),0)="TT",SUMIF(INDIRECT(ADDRESS(2,COLUMN($Q177)+1) &amp; ":" &amp; ADDRESS(2,COLUMN(AW177)-1),TRUE),"TBE",INDIRECT(ADDRESS(ROW(AW177), COLUMN($Q177)+1) &amp; ":" &amp; ADDRESS(ROW(AW177),COLUMN(AW177)-1),TRUE)),IF(OFFSET(AW177,ROW(AW$2)-ROW(AW177),0)="TBE",SUMIF(INDIRECT(ADDRESS(2,MATCH(INT(OFFSET(AW177,ROW(AW$2)-ROW(AW177),-2)),$2:$2,0)) &amp; ":" &amp; ADDRESS(2,COLUMN(AW177)-1),TRUE),"T",INDIRECT(ADDRESS(ROW(AW177), MATCH(INT(OFFSET(AW177,ROW(AW$2)-ROW(AW177),-2)),$2:$2,0)) &amp; ":" &amp; ADDRESS(ROW(AW177),COLUMN(AW177)-1),TRUE)),IF(OFFSET(AW177,0,COLUMN($M177)-COLUMN(AW177))="V",OFFSET(AW177,0,-2)*OFFSET(AW177,0,-1),"TOTAL")))</f>
        <v>0</v>
      </c>
      <c r="AX177" s="373"/>
      <c r="AY177" s="374"/>
      <c r="AZ177" s="375">
        <f t="shared" ca="1" si="270"/>
        <v>0</v>
      </c>
      <c r="BA177" s="376">
        <f ca="1">IF(OFFSET(BA177,ROW(BA$2)-ROW(BA177),0)="TT",SUMIF(INDIRECT(ADDRESS(2,COLUMN($Q177)+1) &amp; ":" &amp; ADDRESS(2,COLUMN(BA177)-1),TRUE),"TBE",INDIRECT(ADDRESS(ROW(BA177), COLUMN($Q177)+1) &amp; ":" &amp; ADDRESS(ROW(BA177),COLUMN(BA177)-1),TRUE)),IF(OFFSET(BA177,ROW(BA$2)-ROW(BA177),0)="TBE",SUMIF(INDIRECT(ADDRESS(2,MATCH(INT(OFFSET(BA177,ROW(BA$2)-ROW(BA177),-2)),$2:$2,0)) &amp; ":" &amp; ADDRESS(2,COLUMN(BA177)-1),TRUE),"T",INDIRECT(ADDRESS(ROW(BA177), MATCH(INT(OFFSET(BA177,ROW(BA$2)-ROW(BA177),-2)),$2:$2,0)) &amp; ":" &amp; ADDRESS(ROW(BA177),COLUMN(BA177)-1),TRUE)),IF(OFFSET(BA177,0,COLUMN($M177)-COLUMN(BA177))="V",OFFSET(BA177,0,-2)*OFFSET(BA177,0,-1),"TOTAL")))</f>
        <v>0</v>
      </c>
      <c r="BB177" s="373"/>
      <c r="BC177" s="374"/>
      <c r="BD177" s="375">
        <f t="shared" ca="1" si="271"/>
        <v>0</v>
      </c>
      <c r="BE177" s="376">
        <f ca="1">IF(OFFSET(BE177,ROW(BE$2)-ROW(BE177),0)="TT",SUMIF(INDIRECT(ADDRESS(2,COLUMN($Q177)+1) &amp; ":" &amp; ADDRESS(2,COLUMN(BE177)-1),TRUE),"TBE",INDIRECT(ADDRESS(ROW(BE177), COLUMN($Q177)+1) &amp; ":" &amp; ADDRESS(ROW(BE177),COLUMN(BE177)-1),TRUE)),IF(OFFSET(BE177,ROW(BE$2)-ROW(BE177),0)="TBE",SUMIF(INDIRECT(ADDRESS(2,MATCH(INT(OFFSET(BE177,ROW(BE$2)-ROW(BE177),-2)),$2:$2,0)) &amp; ":" &amp; ADDRESS(2,COLUMN(BE177)-1),TRUE),"T",INDIRECT(ADDRESS(ROW(BE177), MATCH(INT(OFFSET(BE177,ROW(BE$2)-ROW(BE177),-2)),$2:$2,0)) &amp; ":" &amp; ADDRESS(ROW(BE177),COLUMN(BE177)-1),TRUE)),IF(OFFSET(BE177,0,COLUMN($M177)-COLUMN(BE177))="V",OFFSET(BE177,0,-2)*OFFSET(BE177,0,-1),"TOTAL")))</f>
        <v>0</v>
      </c>
      <c r="BF177" s="373"/>
      <c r="BG177" s="374"/>
      <c r="BH177" s="375">
        <f t="shared" ca="1" si="272"/>
        <v>0</v>
      </c>
      <c r="BI177" s="376">
        <f ca="1">IF(OFFSET(BI177,ROW(BI$2)-ROW(BI177),0)="TT",SUMIF(INDIRECT(ADDRESS(2,COLUMN($Q177)+1) &amp; ":" &amp; ADDRESS(2,COLUMN(BI177)-1),TRUE),"TBE",INDIRECT(ADDRESS(ROW(BI177), COLUMN($Q177)+1) &amp; ":" &amp; ADDRESS(ROW(BI177),COLUMN(BI177)-1),TRUE)),IF(OFFSET(BI177,ROW(BI$2)-ROW(BI177),0)="TBE",SUMIF(INDIRECT(ADDRESS(2,MATCH(INT(OFFSET(BI177,ROW(BI$2)-ROW(BI177),-2)),$2:$2,0)) &amp; ":" &amp; ADDRESS(2,COLUMN(BI177)-1),TRUE),"T",INDIRECT(ADDRESS(ROW(BI177), MATCH(INT(OFFSET(BI177,ROW(BI$2)-ROW(BI177),-2)),$2:$2,0)) &amp; ":" &amp; ADDRESS(ROW(BI177),COLUMN(BI177)-1),TRUE)),IF(OFFSET(BI177,0,COLUMN($M177)-COLUMN(BI177))="V",OFFSET(BI177,0,-2)*OFFSET(BI177,0,-1),"TOTAL")))</f>
        <v>0</v>
      </c>
      <c r="BJ177" s="373"/>
      <c r="BK177" s="374"/>
      <c r="BL177" s="375">
        <f t="shared" ca="1" si="273"/>
        <v>0</v>
      </c>
      <c r="BM177" s="376">
        <f ca="1">IF(OFFSET(BM177,ROW(BM$2)-ROW(BM177),0)="TT",SUMIF(INDIRECT(ADDRESS(2,COLUMN($Q177)+1) &amp; ":" &amp; ADDRESS(2,COLUMN(BM177)-1),TRUE),"TBE",INDIRECT(ADDRESS(ROW(BM177), COLUMN($Q177)+1) &amp; ":" &amp; ADDRESS(ROW(BM177),COLUMN(BM177)-1),TRUE)),IF(OFFSET(BM177,ROW(BM$2)-ROW(BM177),0)="TBE",SUMIF(INDIRECT(ADDRESS(2,MATCH(INT(OFFSET(BM177,ROW(BM$2)-ROW(BM177),-2)),$2:$2,0)) &amp; ":" &amp; ADDRESS(2,COLUMN(BM177)-1),TRUE),"T",INDIRECT(ADDRESS(ROW(BM177), MATCH(INT(OFFSET(BM177,ROW(BM$2)-ROW(BM177),-2)),$2:$2,0)) &amp; ":" &amp; ADDRESS(ROW(BM177),COLUMN(BM177)-1),TRUE)),IF(OFFSET(BM177,0,COLUMN($M177)-COLUMN(BM177))="V",OFFSET(BM177,0,-2)*OFFSET(BM177,0,-1),"TOTAL")))</f>
        <v>0</v>
      </c>
      <c r="BN177" s="376">
        <f ca="1">IF(OFFSET(BN177,ROW(BN$2)-ROW(BN177),0)="TT",SUMIF(INDIRECT(ADDRESS(2,COLUMN($Q177)+1) &amp; ":" &amp; ADDRESS(2,COLUMN(BN177)-1),TRUE),"TBE",INDIRECT(ADDRESS(ROW(BN177), COLUMN($Q177)+1) &amp; ":" &amp; ADDRESS(ROW(BN177),COLUMN(BN177)-1),TRUE)),IF(OFFSET(BN177,ROW(BN$2)-ROW(BN177),0)="TBE",SUMIF(INDIRECT(ADDRESS(2,MATCH(INT(OFFSET(BN177,ROW(BN$2)-ROW(BN177),-2)),$2:$2,0)) &amp; ":" &amp; ADDRESS(2,COLUMN(BN177)-1),TRUE),"T",INDIRECT(ADDRESS(ROW(BN177), MATCH(INT(OFFSET(BN177,ROW(BN$2)-ROW(BN177),-2)),$2:$2,0)) &amp; ":" &amp; ADDRESS(ROW(BN177),COLUMN(BN177)-1),TRUE)),IF(OFFSET(BN177,0,COLUMN($M177)-COLUMN(BN177))="V",OFFSET(BN177,0,-2)*OFFSET(BN177,0,-1),"TOTAL")))</f>
        <v>0</v>
      </c>
    </row>
    <row r="178" spans="1:68" ht="13.5" thickTop="1" thickBot="1">
      <c r="A178" s="221" t="s">
        <v>137</v>
      </c>
    </row>
    <row r="179" spans="1:68" ht="13.5" thickTop="1" thickBot="1">
      <c r="A179" s="221" t="str">
        <f ca="1">IF(ISNUMBER(OFFSET(A179,0,13)),"START",IF(AND(OFFSET(A179,0,2)=0,OFFSET(A179,0,4)="GT"),"END",""))&amp;OFFSET(A179,0,1)</f>
        <v>STARTWP006</v>
      </c>
      <c r="B179" s="221" t="str">
        <f ca="1">IF(ISNUMBER(OFFSET(B179,0,12)),"WP" &amp; TEXT(OFFSET(B179,0,12),"000"),OFFSET(B179,-1,0))</f>
        <v>WP006</v>
      </c>
      <c r="N179" s="244">
        <v>6</v>
      </c>
      <c r="O179" s="459" t="str">
        <f ca="1">""&amp;VLOOKUP(OFFSET(N179,1,0),'Work Packages List'!A:B,2,FALSE)</f>
        <v/>
      </c>
      <c r="P179" s="459"/>
      <c r="Q179" s="460"/>
      <c r="R179" s="349"/>
      <c r="S179" s="350"/>
      <c r="T179" s="351"/>
      <c r="U179" s="352"/>
      <c r="V179" s="349"/>
      <c r="W179" s="350"/>
      <c r="X179" s="351"/>
      <c r="Y179" s="352"/>
      <c r="Z179" s="349"/>
      <c r="AA179" s="350"/>
      <c r="AB179" s="351"/>
      <c r="AC179" s="352"/>
      <c r="AD179" s="349"/>
      <c r="AE179" s="350"/>
      <c r="AF179" s="351"/>
      <c r="AG179" s="352"/>
      <c r="AH179" s="349"/>
      <c r="AI179" s="350"/>
      <c r="AJ179" s="351"/>
      <c r="AK179" s="352"/>
      <c r="AL179" s="349"/>
      <c r="AM179" s="350"/>
      <c r="AN179" s="351"/>
      <c r="AO179" s="352"/>
      <c r="AP179" s="349"/>
      <c r="AQ179" s="350"/>
      <c r="AR179" s="351"/>
      <c r="AS179" s="352"/>
      <c r="AT179" s="349"/>
      <c r="AU179" s="350"/>
      <c r="AV179" s="351"/>
      <c r="AW179" s="352"/>
      <c r="AX179" s="349"/>
      <c r="AY179" s="350"/>
      <c r="AZ179" s="351"/>
      <c r="BA179" s="352"/>
      <c r="BB179" s="349"/>
      <c r="BC179" s="350"/>
      <c r="BD179" s="351"/>
      <c r="BE179" s="352"/>
      <c r="BF179" s="349"/>
      <c r="BG179" s="350"/>
      <c r="BH179" s="351"/>
      <c r="BI179" s="352"/>
      <c r="BJ179" s="349"/>
      <c r="BK179" s="350"/>
      <c r="BL179" s="351"/>
      <c r="BM179" s="352"/>
      <c r="BN179" s="352"/>
    </row>
    <row r="180" spans="1:68">
      <c r="A180" s="221" t="str">
        <f t="shared" ref="A180:A211" ca="1" si="310">IF(ISNUMBER(OFFSET(A180,0,12)),"START",IF(AND(OFFSET(A180,0,2)=0,OFFSET(A180,0,4)="GT"),"END",""))&amp;OFFSET(A180,0,1)</f>
        <v>WP006</v>
      </c>
      <c r="B180" s="221" t="str">
        <f t="shared" ref="B180:B211" ca="1" si="311">IF(ISNUMBER(OFFSET(B180,0,11)),"WP" &amp; TEXT(OFFSET(B180,0,11),"000"),OFFSET(B180,-1,0))</f>
        <v>WP006</v>
      </c>
      <c r="C180" s="221">
        <v>4</v>
      </c>
      <c r="D180" s="221" t="s">
        <v>73</v>
      </c>
      <c r="H180" s="221" t="s">
        <v>74</v>
      </c>
      <c r="I180" s="221" t="s">
        <v>75</v>
      </c>
      <c r="M180" s="221" t="s">
        <v>46</v>
      </c>
      <c r="N180" s="461" t="str">
        <f ca="1">"WP " &amp; TEXT(OFFSET(N180,-1,0),"000")</f>
        <v>WP 006</v>
      </c>
      <c r="O180" s="452" t="s">
        <v>37</v>
      </c>
      <c r="P180" s="453"/>
      <c r="Q180" s="463"/>
      <c r="R180" s="353">
        <f ca="1">IF(OFFSET(R180,ROW(R$2)-ROW(R180),0)="TT","TT",IF(OFFSET(R180,0,COLUMN($M180)-COLUMN(R180))="%",ROUND(OFFSET(R180,-2,0)*0.07,0),IF(OFFSET(R180,0,COLUMN($M180)-COLUMN(R180))="V","x",SUMIF(INDIRECT(ADDRESS(MATCH("START"&amp;OFFSET(R180,0,COLUMN($B180)-COLUMN(R180)),$A:$A,0),$C180+COLUMN($E180)+1)&amp;":"&amp;ADDRESS(MATCH("END"&amp;OFFSET(R180,0,COLUMN($B180)-COLUMN(R180)),$A:$A,0),$C180+COLUMN($E180)+1),TRUE),INDIRECT(ADDRESS(ROW(R180),$C180+COLUMN($E180)),TRUE),INDIRECT(ADDRESS(MATCH("START"&amp;OFFSET(R180,0,COLUMN($B180)-COLUMN(R180)),$A:$A,0),COLUMN(R180))&amp;":"&amp;ADDRESS(MATCH("END"&amp;OFFSET(R180,0,COLUMN($B180)-COLUMN(R180)),$A:$A,0),COLUMN(R180)),TRUE)))))</f>
        <v>0</v>
      </c>
      <c r="S180" s="354"/>
      <c r="T180" s="355">
        <f ca="1">IF(OFFSET(T180,ROW(T$2)-ROW(T180),0)="TT","TT",IF(OFFSET(T180,0,COLUMN($M180)-COLUMN(T180))="%",ROUND((OFFSET(T180,-2,0)-OFFSET(T180,-21,0))*0.07,2),IF(OFFSET(T180,0,COLUMN($M180)-COLUMN(T180))="V",ROUND(OFFSET(T180,0,-2)*OFFSET(T180,0,-1),2),SUMIF(INDIRECT(ADDRESS(MATCH("START"&amp;OFFSET(T180,0,COLUMN($B180)-COLUMN(T180)),$A:$A,0),$C180+COLUMN($E180)+1)&amp;":"&amp;ADDRESS(MATCH("END"&amp;OFFSET(T180,0,COLUMN($B180)-COLUMN(T180)),$A:$A,0),$C180+COLUMN($E180)+1),TRUE),INDIRECT(ADDRESS(ROW(T180),$C180+COLUMN($E180)),TRUE),INDIRECT(ADDRESS(MATCH("START"&amp;OFFSET(T180,0,COLUMN($B180)-COLUMN(T180)),$A:$A,0),COLUMN(T180))&amp;":"&amp;ADDRESS(MATCH("END"&amp;OFFSET(T180,0,COLUMN($B180)-COLUMN(T180)),$A:$A,0),COLUMN(T180)),TRUE)))))</f>
        <v>0</v>
      </c>
      <c r="U180" s="356">
        <f t="shared" ref="U180:U207" ca="1" si="312">IF(OFFSET(U180,ROW(U$2)-ROW(U180),0)="TT",SUMIF(INDIRECT(ADDRESS(2,COLUMN($Q180)+1) &amp; ":" &amp; ADDRESS(2,COLUMN(U180)-1),TRUE),"TBE",INDIRECT(ADDRESS(ROW(U180), COLUMN($Q180)+1) &amp; ":" &amp; ADDRESS(ROW(U180),COLUMN(U180)-1),TRUE)),IF(OFFSET(U180,ROW(U$2)-ROW(U180),0)="TBE",SUMIF(INDIRECT(ADDRESS(2,MATCH(INT(OFFSET(U180,ROW(U$2)-ROW(U180),-2)),$2:$2,0)) &amp; ":" &amp; ADDRESS(2,COLUMN(U180)-1),TRUE),"T",INDIRECT(ADDRESS(ROW(U180), MATCH(INT(OFFSET(U180,ROW(U$2)-ROW(U180),-2)),$2:$2,0)) &amp; ":" &amp; ADDRESS(ROW(U180),COLUMN(U180)-1),TRUE)),IF(OFFSET(U180,0,COLUMN($M180)-COLUMN(U180))="V",OFFSET(U180,0,-2)*OFFSET(U180,0,-1),"TOTAL")))</f>
        <v>0</v>
      </c>
      <c r="V180" s="353">
        <f ca="1">IF(OFFSET(V180,ROW(V$2)-ROW(V180),0)="TT","TT",IF(OFFSET(V180,0,COLUMN($M180)-COLUMN(V180))="%",ROUND(OFFSET(V180,-2,0)*0.07,0),IF(OFFSET(V180,0,COLUMN($M180)-COLUMN(V180))="V","x",SUMIF(INDIRECT(ADDRESS(MATCH("START"&amp;OFFSET(V180,0,COLUMN($B180)-COLUMN(V180)),$A:$A,0),$C180+COLUMN($E180)+1)&amp;":"&amp;ADDRESS(MATCH("END"&amp;OFFSET(V180,0,COLUMN($B180)-COLUMN(V180)),$A:$A,0),$C180+COLUMN($E180)+1),TRUE),INDIRECT(ADDRESS(ROW(V180),$C180+COLUMN($E180)),TRUE),INDIRECT(ADDRESS(MATCH("START"&amp;OFFSET(V180,0,COLUMN($B180)-COLUMN(V180)),$A:$A,0),COLUMN(V180))&amp;":"&amp;ADDRESS(MATCH("END"&amp;OFFSET(V180,0,COLUMN($B180)-COLUMN(V180)),$A:$A,0),COLUMN(V180)),TRUE)))))</f>
        <v>0</v>
      </c>
      <c r="W180" s="354"/>
      <c r="X180" s="355">
        <f ca="1">IF(OFFSET(X180,ROW(X$2)-ROW(X180),0)="TT","TT",IF(OFFSET(X180,0,COLUMN($M180)-COLUMN(X180))="%",ROUND((OFFSET(X180,-2,0)-OFFSET(X180,-21,0))*0.07,2),IF(OFFSET(X180,0,COLUMN($M180)-COLUMN(X180))="V",ROUND(OFFSET(X180,0,-2)*OFFSET(X180,0,-1),2),SUMIF(INDIRECT(ADDRESS(MATCH("START"&amp;OFFSET(X180,0,COLUMN($B180)-COLUMN(X180)),$A:$A,0),$C180+COLUMN($E180)+1)&amp;":"&amp;ADDRESS(MATCH("END"&amp;OFFSET(X180,0,COLUMN($B180)-COLUMN(X180)),$A:$A,0),$C180+COLUMN($E180)+1),TRUE),INDIRECT(ADDRESS(ROW(X180),$C180+COLUMN($E180)),TRUE),INDIRECT(ADDRESS(MATCH("START"&amp;OFFSET(X180,0,COLUMN($B180)-COLUMN(X180)),$A:$A,0),COLUMN(X180))&amp;":"&amp;ADDRESS(MATCH("END"&amp;OFFSET(X180,0,COLUMN($B180)-COLUMN(X180)),$A:$A,0),COLUMN(X180)),TRUE)))))</f>
        <v>0</v>
      </c>
      <c r="Y180" s="356">
        <f t="shared" ref="Y180:Y207" ca="1" si="313">IF(OFFSET(Y180,ROW(Y$2)-ROW(Y180),0)="TT",SUMIF(INDIRECT(ADDRESS(2,COLUMN($Q180)+1) &amp; ":" &amp; ADDRESS(2,COLUMN(Y180)-1),TRUE),"TBE",INDIRECT(ADDRESS(ROW(Y180), COLUMN($Q180)+1) &amp; ":" &amp; ADDRESS(ROW(Y180),COLUMN(Y180)-1),TRUE)),IF(OFFSET(Y180,ROW(Y$2)-ROW(Y180),0)="TBE",SUMIF(INDIRECT(ADDRESS(2,MATCH(INT(OFFSET(Y180,ROW(Y$2)-ROW(Y180),-2)),$2:$2,0)) &amp; ":" &amp; ADDRESS(2,COLUMN(Y180)-1),TRUE),"T",INDIRECT(ADDRESS(ROW(Y180), MATCH(INT(OFFSET(Y180,ROW(Y$2)-ROW(Y180),-2)),$2:$2,0)) &amp; ":" &amp; ADDRESS(ROW(Y180),COLUMN(Y180)-1),TRUE)),IF(OFFSET(Y180,0,COLUMN($M180)-COLUMN(Y180))="V",OFFSET(Y180,0,-2)*OFFSET(Y180,0,-1),"TOTAL")))</f>
        <v>0</v>
      </c>
      <c r="Z180" s="353">
        <f ca="1">IF(OFFSET(Z180,ROW(Z$2)-ROW(Z180),0)="TT","TT",IF(OFFSET(Z180,0,COLUMN($M180)-COLUMN(Z180))="%",ROUND(OFFSET(Z180,-2,0)*0.07,0),IF(OFFSET(Z180,0,COLUMN($M180)-COLUMN(Z180))="V","x",SUMIF(INDIRECT(ADDRESS(MATCH("START"&amp;OFFSET(Z180,0,COLUMN($B180)-COLUMN(Z180)),$A:$A,0),$C180+COLUMN($E180)+1)&amp;":"&amp;ADDRESS(MATCH("END"&amp;OFFSET(Z180,0,COLUMN($B180)-COLUMN(Z180)),$A:$A,0),$C180+COLUMN($E180)+1),TRUE),INDIRECT(ADDRESS(ROW(Z180),$C180+COLUMN($E180)),TRUE),INDIRECT(ADDRESS(MATCH("START"&amp;OFFSET(Z180,0,COLUMN($B180)-COLUMN(Z180)),$A:$A,0),COLUMN(Z180))&amp;":"&amp;ADDRESS(MATCH("END"&amp;OFFSET(Z180,0,COLUMN($B180)-COLUMN(Z180)),$A:$A,0),COLUMN(Z180)),TRUE)))))</f>
        <v>0</v>
      </c>
      <c r="AA180" s="354"/>
      <c r="AB180" s="355">
        <f ca="1">IF(OFFSET(AB180,ROW(AB$2)-ROW(AB180),0)="TT","TT",IF(OFFSET(AB180,0,COLUMN($M180)-COLUMN(AB180))="%",ROUND((OFFSET(AB180,-2,0)-OFFSET(AB180,-21,0))*0.07,2),IF(OFFSET(AB180,0,COLUMN($M180)-COLUMN(AB180))="V",ROUND(OFFSET(AB180,0,-2)*OFFSET(AB180,0,-1),2),SUMIF(INDIRECT(ADDRESS(MATCH("START"&amp;OFFSET(AB180,0,COLUMN($B180)-COLUMN(AB180)),$A:$A,0),$C180+COLUMN($E180)+1)&amp;":"&amp;ADDRESS(MATCH("END"&amp;OFFSET(AB180,0,COLUMN($B180)-COLUMN(AB180)),$A:$A,0),$C180+COLUMN($E180)+1),TRUE),INDIRECT(ADDRESS(ROW(AB180),$C180+COLUMN($E180)),TRUE),INDIRECT(ADDRESS(MATCH("START"&amp;OFFSET(AB180,0,COLUMN($B180)-COLUMN(AB180)),$A:$A,0),COLUMN(AB180))&amp;":"&amp;ADDRESS(MATCH("END"&amp;OFFSET(AB180,0,COLUMN($B180)-COLUMN(AB180)),$A:$A,0),COLUMN(AB180)),TRUE)))))</f>
        <v>0</v>
      </c>
      <c r="AC180" s="356">
        <f t="shared" ref="AC180:AC207" ca="1" si="314">IF(OFFSET(AC180,ROW(AC$2)-ROW(AC180),0)="TT",SUMIF(INDIRECT(ADDRESS(2,COLUMN($Q180)+1) &amp; ":" &amp; ADDRESS(2,COLUMN(AC180)-1),TRUE),"TBE",INDIRECT(ADDRESS(ROW(AC180), COLUMN($Q180)+1) &amp; ":" &amp; ADDRESS(ROW(AC180),COLUMN(AC180)-1),TRUE)),IF(OFFSET(AC180,ROW(AC$2)-ROW(AC180),0)="TBE",SUMIF(INDIRECT(ADDRESS(2,MATCH(INT(OFFSET(AC180,ROW(AC$2)-ROW(AC180),-2)),$2:$2,0)) &amp; ":" &amp; ADDRESS(2,COLUMN(AC180)-1),TRUE),"T",INDIRECT(ADDRESS(ROW(AC180), MATCH(INT(OFFSET(AC180,ROW(AC$2)-ROW(AC180),-2)),$2:$2,0)) &amp; ":" &amp; ADDRESS(ROW(AC180),COLUMN(AC180)-1),TRUE)),IF(OFFSET(AC180,0,COLUMN($M180)-COLUMN(AC180))="V",OFFSET(AC180,0,-2)*OFFSET(AC180,0,-1),"TOTAL")))</f>
        <v>0</v>
      </c>
      <c r="AD180" s="353">
        <f ca="1">IF(OFFSET(AD180,ROW(AD$2)-ROW(AD180),0)="TT","TT",IF(OFFSET(AD180,0,COLUMN($M180)-COLUMN(AD180))="%",ROUND(OFFSET(AD180,-2,0)*0.07,0),IF(OFFSET(AD180,0,COLUMN($M180)-COLUMN(AD180))="V","x",SUMIF(INDIRECT(ADDRESS(MATCH("START"&amp;OFFSET(AD180,0,COLUMN($B180)-COLUMN(AD180)),$A:$A,0),$C180+COLUMN($E180)+1)&amp;":"&amp;ADDRESS(MATCH("END"&amp;OFFSET(AD180,0,COLUMN($B180)-COLUMN(AD180)),$A:$A,0),$C180+COLUMN($E180)+1),TRUE),INDIRECT(ADDRESS(ROW(AD180),$C180+COLUMN($E180)),TRUE),INDIRECT(ADDRESS(MATCH("START"&amp;OFFSET(AD180,0,COLUMN($B180)-COLUMN(AD180)),$A:$A,0),COLUMN(AD180))&amp;":"&amp;ADDRESS(MATCH("END"&amp;OFFSET(AD180,0,COLUMN($B180)-COLUMN(AD180)),$A:$A,0),COLUMN(AD180)),TRUE)))))</f>
        <v>0</v>
      </c>
      <c r="AE180" s="354"/>
      <c r="AF180" s="355">
        <f ca="1">IF(OFFSET(AF180,ROW(AF$2)-ROW(AF180),0)="TT","TT",IF(OFFSET(AF180,0,COLUMN($M180)-COLUMN(AF180))="%",ROUND((OFFSET(AF180,-2,0)-OFFSET(AF180,-21,0))*0.07,2),IF(OFFSET(AF180,0,COLUMN($M180)-COLUMN(AF180))="V",ROUND(OFFSET(AF180,0,-2)*OFFSET(AF180,0,-1),2),SUMIF(INDIRECT(ADDRESS(MATCH("START"&amp;OFFSET(AF180,0,COLUMN($B180)-COLUMN(AF180)),$A:$A,0),$C180+COLUMN($E180)+1)&amp;":"&amp;ADDRESS(MATCH("END"&amp;OFFSET(AF180,0,COLUMN($B180)-COLUMN(AF180)),$A:$A,0),$C180+COLUMN($E180)+1),TRUE),INDIRECT(ADDRESS(ROW(AF180),$C180+COLUMN($E180)),TRUE),INDIRECT(ADDRESS(MATCH("START"&amp;OFFSET(AF180,0,COLUMN($B180)-COLUMN(AF180)),$A:$A,0),COLUMN(AF180))&amp;":"&amp;ADDRESS(MATCH("END"&amp;OFFSET(AF180,0,COLUMN($B180)-COLUMN(AF180)),$A:$A,0),COLUMN(AF180)),TRUE)))))</f>
        <v>0</v>
      </c>
      <c r="AG180" s="356">
        <f t="shared" ref="AG180:AG207" ca="1" si="315">IF(OFFSET(AG180,ROW(AG$2)-ROW(AG180),0)="TT",SUMIF(INDIRECT(ADDRESS(2,COLUMN($Q180)+1) &amp; ":" &amp; ADDRESS(2,COLUMN(AG180)-1),TRUE),"TBE",INDIRECT(ADDRESS(ROW(AG180), COLUMN($Q180)+1) &amp; ":" &amp; ADDRESS(ROW(AG180),COLUMN(AG180)-1),TRUE)),IF(OFFSET(AG180,ROW(AG$2)-ROW(AG180),0)="TBE",SUMIF(INDIRECT(ADDRESS(2,MATCH(INT(OFFSET(AG180,ROW(AG$2)-ROW(AG180),-2)),$2:$2,0)) &amp; ":" &amp; ADDRESS(2,COLUMN(AG180)-1),TRUE),"T",INDIRECT(ADDRESS(ROW(AG180), MATCH(INT(OFFSET(AG180,ROW(AG$2)-ROW(AG180),-2)),$2:$2,0)) &amp; ":" &amp; ADDRESS(ROW(AG180),COLUMN(AG180)-1),TRUE)),IF(OFFSET(AG180,0,COLUMN($M180)-COLUMN(AG180))="V",OFFSET(AG180,0,-2)*OFFSET(AG180,0,-1),"TOTAL")))</f>
        <v>0</v>
      </c>
      <c r="AH180" s="353">
        <f ca="1">IF(OFFSET(AH180,ROW(AH$2)-ROW(AH180),0)="TT","TT",IF(OFFSET(AH180,0,COLUMN($M180)-COLUMN(AH180))="%",ROUND(OFFSET(AH180,-2,0)*0.07,0),IF(OFFSET(AH180,0,COLUMN($M180)-COLUMN(AH180))="V","x",SUMIF(INDIRECT(ADDRESS(MATCH("START"&amp;OFFSET(AH180,0,COLUMN($B180)-COLUMN(AH180)),$A:$A,0),$C180+COLUMN($E180)+1)&amp;":"&amp;ADDRESS(MATCH("END"&amp;OFFSET(AH180,0,COLUMN($B180)-COLUMN(AH180)),$A:$A,0),$C180+COLUMN($E180)+1),TRUE),INDIRECT(ADDRESS(ROW(AH180),$C180+COLUMN($E180)),TRUE),INDIRECT(ADDRESS(MATCH("START"&amp;OFFSET(AH180,0,COLUMN($B180)-COLUMN(AH180)),$A:$A,0),COLUMN(AH180))&amp;":"&amp;ADDRESS(MATCH("END"&amp;OFFSET(AH180,0,COLUMN($B180)-COLUMN(AH180)),$A:$A,0),COLUMN(AH180)),TRUE)))))</f>
        <v>0</v>
      </c>
      <c r="AI180" s="354"/>
      <c r="AJ180" s="355">
        <f ca="1">IF(OFFSET(AJ180,ROW(AJ$2)-ROW(AJ180),0)="TT","TT",IF(OFFSET(AJ180,0,COLUMN($M180)-COLUMN(AJ180))="%",ROUND((OFFSET(AJ180,-2,0)-OFFSET(AJ180,-21,0))*0.07,2),IF(OFFSET(AJ180,0,COLUMN($M180)-COLUMN(AJ180))="V",ROUND(OFFSET(AJ180,0,-2)*OFFSET(AJ180,0,-1),2),SUMIF(INDIRECT(ADDRESS(MATCH("START"&amp;OFFSET(AJ180,0,COLUMN($B180)-COLUMN(AJ180)),$A:$A,0),$C180+COLUMN($E180)+1)&amp;":"&amp;ADDRESS(MATCH("END"&amp;OFFSET(AJ180,0,COLUMN($B180)-COLUMN(AJ180)),$A:$A,0),$C180+COLUMN($E180)+1),TRUE),INDIRECT(ADDRESS(ROW(AJ180),$C180+COLUMN($E180)),TRUE),INDIRECT(ADDRESS(MATCH("START"&amp;OFFSET(AJ180,0,COLUMN($B180)-COLUMN(AJ180)),$A:$A,0),COLUMN(AJ180))&amp;":"&amp;ADDRESS(MATCH("END"&amp;OFFSET(AJ180,0,COLUMN($B180)-COLUMN(AJ180)),$A:$A,0),COLUMN(AJ180)),TRUE)))))</f>
        <v>0</v>
      </c>
      <c r="AK180" s="356">
        <f t="shared" ref="AK180:AK207" ca="1" si="316">IF(OFFSET(AK180,ROW(AK$2)-ROW(AK180),0)="TT",SUMIF(INDIRECT(ADDRESS(2,COLUMN($Q180)+1) &amp; ":" &amp; ADDRESS(2,COLUMN(AK180)-1),TRUE),"TBE",INDIRECT(ADDRESS(ROW(AK180), COLUMN($Q180)+1) &amp; ":" &amp; ADDRESS(ROW(AK180),COLUMN(AK180)-1),TRUE)),IF(OFFSET(AK180,ROW(AK$2)-ROW(AK180),0)="TBE",SUMIF(INDIRECT(ADDRESS(2,MATCH(INT(OFFSET(AK180,ROW(AK$2)-ROW(AK180),-2)),$2:$2,0)) &amp; ":" &amp; ADDRESS(2,COLUMN(AK180)-1),TRUE),"T",INDIRECT(ADDRESS(ROW(AK180), MATCH(INT(OFFSET(AK180,ROW(AK$2)-ROW(AK180),-2)),$2:$2,0)) &amp; ":" &amp; ADDRESS(ROW(AK180),COLUMN(AK180)-1),TRUE)),IF(OFFSET(AK180,0,COLUMN($M180)-COLUMN(AK180))="V",OFFSET(AK180,0,-2)*OFFSET(AK180,0,-1),"TOTAL")))</f>
        <v>0</v>
      </c>
      <c r="AL180" s="353">
        <f ca="1">IF(OFFSET(AL180,ROW(AL$2)-ROW(AL180),0)="TT","TT",IF(OFFSET(AL180,0,COLUMN($M180)-COLUMN(AL180))="%",ROUND(OFFSET(AL180,-2,0)*0.07,0),IF(OFFSET(AL180,0,COLUMN($M180)-COLUMN(AL180))="V","x",SUMIF(INDIRECT(ADDRESS(MATCH("START"&amp;OFFSET(AL180,0,COLUMN($B180)-COLUMN(AL180)),$A:$A,0),$C180+COLUMN($E180)+1)&amp;":"&amp;ADDRESS(MATCH("END"&amp;OFFSET(AL180,0,COLUMN($B180)-COLUMN(AL180)),$A:$A,0),$C180+COLUMN($E180)+1),TRUE),INDIRECT(ADDRESS(ROW(AL180),$C180+COLUMN($E180)),TRUE),INDIRECT(ADDRESS(MATCH("START"&amp;OFFSET(AL180,0,COLUMN($B180)-COLUMN(AL180)),$A:$A,0),COLUMN(AL180))&amp;":"&amp;ADDRESS(MATCH("END"&amp;OFFSET(AL180,0,COLUMN($B180)-COLUMN(AL180)),$A:$A,0),COLUMN(AL180)),TRUE)))))</f>
        <v>0</v>
      </c>
      <c r="AM180" s="354"/>
      <c r="AN180" s="355">
        <f ca="1">IF(OFFSET(AN180,ROW(AN$2)-ROW(AN180),0)="TT","TT",IF(OFFSET(AN180,0,COLUMN($M180)-COLUMN(AN180))="%",ROUND((OFFSET(AN180,-2,0)-OFFSET(AN180,-21,0))*0.07,2),IF(OFFSET(AN180,0,COLUMN($M180)-COLUMN(AN180))="V",ROUND(OFFSET(AN180,0,-2)*OFFSET(AN180,0,-1),2),SUMIF(INDIRECT(ADDRESS(MATCH("START"&amp;OFFSET(AN180,0,COLUMN($B180)-COLUMN(AN180)),$A:$A,0),$C180+COLUMN($E180)+1)&amp;":"&amp;ADDRESS(MATCH("END"&amp;OFFSET(AN180,0,COLUMN($B180)-COLUMN(AN180)),$A:$A,0),$C180+COLUMN($E180)+1),TRUE),INDIRECT(ADDRESS(ROW(AN180),$C180+COLUMN($E180)),TRUE),INDIRECT(ADDRESS(MATCH("START"&amp;OFFSET(AN180,0,COLUMN($B180)-COLUMN(AN180)),$A:$A,0),COLUMN(AN180))&amp;":"&amp;ADDRESS(MATCH("END"&amp;OFFSET(AN180,0,COLUMN($B180)-COLUMN(AN180)),$A:$A,0),COLUMN(AN180)),TRUE)))))</f>
        <v>0</v>
      </c>
      <c r="AO180" s="356">
        <f t="shared" ref="AO180:AO207" ca="1" si="317">IF(OFFSET(AO180,ROW(AO$2)-ROW(AO180),0)="TT",SUMIF(INDIRECT(ADDRESS(2,COLUMN($Q180)+1) &amp; ":" &amp; ADDRESS(2,COLUMN(AO180)-1),TRUE),"TBE",INDIRECT(ADDRESS(ROW(AO180), COLUMN($Q180)+1) &amp; ":" &amp; ADDRESS(ROW(AO180),COLUMN(AO180)-1),TRUE)),IF(OFFSET(AO180,ROW(AO$2)-ROW(AO180),0)="TBE",SUMIF(INDIRECT(ADDRESS(2,MATCH(INT(OFFSET(AO180,ROW(AO$2)-ROW(AO180),-2)),$2:$2,0)) &amp; ":" &amp; ADDRESS(2,COLUMN(AO180)-1),TRUE),"T",INDIRECT(ADDRESS(ROW(AO180), MATCH(INT(OFFSET(AO180,ROW(AO$2)-ROW(AO180),-2)),$2:$2,0)) &amp; ":" &amp; ADDRESS(ROW(AO180),COLUMN(AO180)-1),TRUE)),IF(OFFSET(AO180,0,COLUMN($M180)-COLUMN(AO180))="V",OFFSET(AO180,0,-2)*OFFSET(AO180,0,-1),"TOTAL")))</f>
        <v>0</v>
      </c>
      <c r="AP180" s="353">
        <f ca="1">IF(OFFSET(AP180,ROW(AP$2)-ROW(AP180),0)="TT","TT",IF(OFFSET(AP180,0,COLUMN($M180)-COLUMN(AP180))="%",ROUND(OFFSET(AP180,-2,0)*0.07,0),IF(OFFSET(AP180,0,COLUMN($M180)-COLUMN(AP180))="V","x",SUMIF(INDIRECT(ADDRESS(MATCH("START"&amp;OFFSET(AP180,0,COLUMN($B180)-COLUMN(AP180)),$A:$A,0),$C180+COLUMN($E180)+1)&amp;":"&amp;ADDRESS(MATCH("END"&amp;OFFSET(AP180,0,COLUMN($B180)-COLUMN(AP180)),$A:$A,0),$C180+COLUMN($E180)+1),TRUE),INDIRECT(ADDRESS(ROW(AP180),$C180+COLUMN($E180)),TRUE),INDIRECT(ADDRESS(MATCH("START"&amp;OFFSET(AP180,0,COLUMN($B180)-COLUMN(AP180)),$A:$A,0),COLUMN(AP180))&amp;":"&amp;ADDRESS(MATCH("END"&amp;OFFSET(AP180,0,COLUMN($B180)-COLUMN(AP180)),$A:$A,0),COLUMN(AP180)),TRUE)))))</f>
        <v>0</v>
      </c>
      <c r="AQ180" s="354"/>
      <c r="AR180" s="355">
        <f ca="1">IF(OFFSET(AR180,ROW(AR$2)-ROW(AR180),0)="TT","TT",IF(OFFSET(AR180,0,COLUMN($M180)-COLUMN(AR180))="%",ROUND((OFFSET(AR180,-2,0)-OFFSET(AR180,-21,0))*0.07,2),IF(OFFSET(AR180,0,COLUMN($M180)-COLUMN(AR180))="V",ROUND(OFFSET(AR180,0,-2)*OFFSET(AR180,0,-1),2),SUMIF(INDIRECT(ADDRESS(MATCH("START"&amp;OFFSET(AR180,0,COLUMN($B180)-COLUMN(AR180)),$A:$A,0),$C180+COLUMN($E180)+1)&amp;":"&amp;ADDRESS(MATCH("END"&amp;OFFSET(AR180,0,COLUMN($B180)-COLUMN(AR180)),$A:$A,0),$C180+COLUMN($E180)+1),TRUE),INDIRECT(ADDRESS(ROW(AR180),$C180+COLUMN($E180)),TRUE),INDIRECT(ADDRESS(MATCH("START"&amp;OFFSET(AR180,0,COLUMN($B180)-COLUMN(AR180)),$A:$A,0),COLUMN(AR180))&amp;":"&amp;ADDRESS(MATCH("END"&amp;OFFSET(AR180,0,COLUMN($B180)-COLUMN(AR180)),$A:$A,0),COLUMN(AR180)),TRUE)))))</f>
        <v>0</v>
      </c>
      <c r="AS180" s="356">
        <f t="shared" ref="AS180:AS207" ca="1" si="318">IF(OFFSET(AS180,ROW(AS$2)-ROW(AS180),0)="TT",SUMIF(INDIRECT(ADDRESS(2,COLUMN($Q180)+1) &amp; ":" &amp; ADDRESS(2,COLUMN(AS180)-1),TRUE),"TBE",INDIRECT(ADDRESS(ROW(AS180), COLUMN($Q180)+1) &amp; ":" &amp; ADDRESS(ROW(AS180),COLUMN(AS180)-1),TRUE)),IF(OFFSET(AS180,ROW(AS$2)-ROW(AS180),0)="TBE",SUMIF(INDIRECT(ADDRESS(2,MATCH(INT(OFFSET(AS180,ROW(AS$2)-ROW(AS180),-2)),$2:$2,0)) &amp; ":" &amp; ADDRESS(2,COLUMN(AS180)-1),TRUE),"T",INDIRECT(ADDRESS(ROW(AS180), MATCH(INT(OFFSET(AS180,ROW(AS$2)-ROW(AS180),-2)),$2:$2,0)) &amp; ":" &amp; ADDRESS(ROW(AS180),COLUMN(AS180)-1),TRUE)),IF(OFFSET(AS180,0,COLUMN($M180)-COLUMN(AS180))="V",OFFSET(AS180,0,-2)*OFFSET(AS180,0,-1),"TOTAL")))</f>
        <v>0</v>
      </c>
      <c r="AT180" s="353">
        <f ca="1">IF(OFFSET(AT180,ROW(AT$2)-ROW(AT180),0)="TT","TT",IF(OFFSET(AT180,0,COLUMN($M180)-COLUMN(AT180))="%",ROUND(OFFSET(AT180,-2,0)*0.07,0),IF(OFFSET(AT180,0,COLUMN($M180)-COLUMN(AT180))="V","x",SUMIF(INDIRECT(ADDRESS(MATCH("START"&amp;OFFSET(AT180,0,COLUMN($B180)-COLUMN(AT180)),$A:$A,0),$C180+COLUMN($E180)+1)&amp;":"&amp;ADDRESS(MATCH("END"&amp;OFFSET(AT180,0,COLUMN($B180)-COLUMN(AT180)),$A:$A,0),$C180+COLUMN($E180)+1),TRUE),INDIRECT(ADDRESS(ROW(AT180),$C180+COLUMN($E180)),TRUE),INDIRECT(ADDRESS(MATCH("START"&amp;OFFSET(AT180,0,COLUMN($B180)-COLUMN(AT180)),$A:$A,0),COLUMN(AT180))&amp;":"&amp;ADDRESS(MATCH("END"&amp;OFFSET(AT180,0,COLUMN($B180)-COLUMN(AT180)),$A:$A,0),COLUMN(AT180)),TRUE)))))</f>
        <v>0</v>
      </c>
      <c r="AU180" s="354"/>
      <c r="AV180" s="355">
        <f ca="1">IF(OFFSET(AV180,ROW(AV$2)-ROW(AV180),0)="TT","TT",IF(OFFSET(AV180,0,COLUMN($M180)-COLUMN(AV180))="%",ROUND((OFFSET(AV180,-2,0)-OFFSET(AV180,-21,0))*0.07,2),IF(OFFSET(AV180,0,COLUMN($M180)-COLUMN(AV180))="V",ROUND(OFFSET(AV180,0,-2)*OFFSET(AV180,0,-1),2),SUMIF(INDIRECT(ADDRESS(MATCH("START"&amp;OFFSET(AV180,0,COLUMN($B180)-COLUMN(AV180)),$A:$A,0),$C180+COLUMN($E180)+1)&amp;":"&amp;ADDRESS(MATCH("END"&amp;OFFSET(AV180,0,COLUMN($B180)-COLUMN(AV180)),$A:$A,0),$C180+COLUMN($E180)+1),TRUE),INDIRECT(ADDRESS(ROW(AV180),$C180+COLUMN($E180)),TRUE),INDIRECT(ADDRESS(MATCH("START"&amp;OFFSET(AV180,0,COLUMN($B180)-COLUMN(AV180)),$A:$A,0),COLUMN(AV180))&amp;":"&amp;ADDRESS(MATCH("END"&amp;OFFSET(AV180,0,COLUMN($B180)-COLUMN(AV180)),$A:$A,0),COLUMN(AV180)),TRUE)))))</f>
        <v>0</v>
      </c>
      <c r="AW180" s="356">
        <f t="shared" ref="AW180:AW207" ca="1" si="319">IF(OFFSET(AW180,ROW(AW$2)-ROW(AW180),0)="TT",SUMIF(INDIRECT(ADDRESS(2,COLUMN($Q180)+1) &amp; ":" &amp; ADDRESS(2,COLUMN(AW180)-1),TRUE),"TBE",INDIRECT(ADDRESS(ROW(AW180), COLUMN($Q180)+1) &amp; ":" &amp; ADDRESS(ROW(AW180),COLUMN(AW180)-1),TRUE)),IF(OFFSET(AW180,ROW(AW$2)-ROW(AW180),0)="TBE",SUMIF(INDIRECT(ADDRESS(2,MATCH(INT(OFFSET(AW180,ROW(AW$2)-ROW(AW180),-2)),$2:$2,0)) &amp; ":" &amp; ADDRESS(2,COLUMN(AW180)-1),TRUE),"T",INDIRECT(ADDRESS(ROW(AW180), MATCH(INT(OFFSET(AW180,ROW(AW$2)-ROW(AW180),-2)),$2:$2,0)) &amp; ":" &amp; ADDRESS(ROW(AW180),COLUMN(AW180)-1),TRUE)),IF(OFFSET(AW180,0,COLUMN($M180)-COLUMN(AW180))="V",OFFSET(AW180,0,-2)*OFFSET(AW180,0,-1),"TOTAL")))</f>
        <v>0</v>
      </c>
      <c r="AX180" s="353">
        <f ca="1">IF(OFFSET(AX180,ROW(AX$2)-ROW(AX180),0)="TT","TT",IF(OFFSET(AX180,0,COLUMN($M180)-COLUMN(AX180))="%",ROUND(OFFSET(AX180,-2,0)*0.07,0),IF(OFFSET(AX180,0,COLUMN($M180)-COLUMN(AX180))="V","x",SUMIF(INDIRECT(ADDRESS(MATCH("START"&amp;OFFSET(AX180,0,COLUMN($B180)-COLUMN(AX180)),$A:$A,0),$C180+COLUMN($E180)+1)&amp;":"&amp;ADDRESS(MATCH("END"&amp;OFFSET(AX180,0,COLUMN($B180)-COLUMN(AX180)),$A:$A,0),$C180+COLUMN($E180)+1),TRUE),INDIRECT(ADDRESS(ROW(AX180),$C180+COLUMN($E180)),TRUE),INDIRECT(ADDRESS(MATCH("START"&amp;OFFSET(AX180,0,COLUMN($B180)-COLUMN(AX180)),$A:$A,0),COLUMN(AX180))&amp;":"&amp;ADDRESS(MATCH("END"&amp;OFFSET(AX180,0,COLUMN($B180)-COLUMN(AX180)),$A:$A,0),COLUMN(AX180)),TRUE)))))</f>
        <v>0</v>
      </c>
      <c r="AY180" s="354"/>
      <c r="AZ180" s="355">
        <f ca="1">IF(OFFSET(AZ180,ROW(AZ$2)-ROW(AZ180),0)="TT","TT",IF(OFFSET(AZ180,0,COLUMN($M180)-COLUMN(AZ180))="%",ROUND((OFFSET(AZ180,-2,0)-OFFSET(AZ180,-21,0))*0.07,2),IF(OFFSET(AZ180,0,COLUMN($M180)-COLUMN(AZ180))="V",ROUND(OFFSET(AZ180,0,-2)*OFFSET(AZ180,0,-1),2),SUMIF(INDIRECT(ADDRESS(MATCH("START"&amp;OFFSET(AZ180,0,COLUMN($B180)-COLUMN(AZ180)),$A:$A,0),$C180+COLUMN($E180)+1)&amp;":"&amp;ADDRESS(MATCH("END"&amp;OFFSET(AZ180,0,COLUMN($B180)-COLUMN(AZ180)),$A:$A,0),$C180+COLUMN($E180)+1),TRUE),INDIRECT(ADDRESS(ROW(AZ180),$C180+COLUMN($E180)),TRUE),INDIRECT(ADDRESS(MATCH("START"&amp;OFFSET(AZ180,0,COLUMN($B180)-COLUMN(AZ180)),$A:$A,0),COLUMN(AZ180))&amp;":"&amp;ADDRESS(MATCH("END"&amp;OFFSET(AZ180,0,COLUMN($B180)-COLUMN(AZ180)),$A:$A,0),COLUMN(AZ180)),TRUE)))))</f>
        <v>0</v>
      </c>
      <c r="BA180" s="356">
        <f t="shared" ref="BA180:BA207" ca="1" si="320">IF(OFFSET(BA180,ROW(BA$2)-ROW(BA180),0)="TT",SUMIF(INDIRECT(ADDRESS(2,COLUMN($Q180)+1) &amp; ":" &amp; ADDRESS(2,COLUMN(BA180)-1),TRUE),"TBE",INDIRECT(ADDRESS(ROW(BA180), COLUMN($Q180)+1) &amp; ":" &amp; ADDRESS(ROW(BA180),COLUMN(BA180)-1),TRUE)),IF(OFFSET(BA180,ROW(BA$2)-ROW(BA180),0)="TBE",SUMIF(INDIRECT(ADDRESS(2,MATCH(INT(OFFSET(BA180,ROW(BA$2)-ROW(BA180),-2)),$2:$2,0)) &amp; ":" &amp; ADDRESS(2,COLUMN(BA180)-1),TRUE),"T",INDIRECT(ADDRESS(ROW(BA180), MATCH(INT(OFFSET(BA180,ROW(BA$2)-ROW(BA180),-2)),$2:$2,0)) &amp; ":" &amp; ADDRESS(ROW(BA180),COLUMN(BA180)-1),TRUE)),IF(OFFSET(BA180,0,COLUMN($M180)-COLUMN(BA180))="V",OFFSET(BA180,0,-2)*OFFSET(BA180,0,-1),"TOTAL")))</f>
        <v>0</v>
      </c>
      <c r="BB180" s="353">
        <f ca="1">IF(OFFSET(BB180,ROW(BB$2)-ROW(BB180),0)="TT","TT",IF(OFFSET(BB180,0,COLUMN($M180)-COLUMN(BB180))="%",ROUND(OFFSET(BB180,-2,0)*0.07,0),IF(OFFSET(BB180,0,COLUMN($M180)-COLUMN(BB180))="V","x",SUMIF(INDIRECT(ADDRESS(MATCH("START"&amp;OFFSET(BB180,0,COLUMN($B180)-COLUMN(BB180)),$A:$A,0),$C180+COLUMN($E180)+1)&amp;":"&amp;ADDRESS(MATCH("END"&amp;OFFSET(BB180,0,COLUMN($B180)-COLUMN(BB180)),$A:$A,0),$C180+COLUMN($E180)+1),TRUE),INDIRECT(ADDRESS(ROW(BB180),$C180+COLUMN($E180)),TRUE),INDIRECT(ADDRESS(MATCH("START"&amp;OFFSET(BB180,0,COLUMN($B180)-COLUMN(BB180)),$A:$A,0),COLUMN(BB180))&amp;":"&amp;ADDRESS(MATCH("END"&amp;OFFSET(BB180,0,COLUMN($B180)-COLUMN(BB180)),$A:$A,0),COLUMN(BB180)),TRUE)))))</f>
        <v>0</v>
      </c>
      <c r="BC180" s="354"/>
      <c r="BD180" s="355">
        <f ca="1">IF(OFFSET(BD180,ROW(BD$2)-ROW(BD180),0)="TT","TT",IF(OFFSET(BD180,0,COLUMN($M180)-COLUMN(BD180))="%",ROUND((OFFSET(BD180,-2,0)-OFFSET(BD180,-21,0))*0.07,2),IF(OFFSET(BD180,0,COLUMN($M180)-COLUMN(BD180))="V",ROUND(OFFSET(BD180,0,-2)*OFFSET(BD180,0,-1),2),SUMIF(INDIRECT(ADDRESS(MATCH("START"&amp;OFFSET(BD180,0,COLUMN($B180)-COLUMN(BD180)),$A:$A,0),$C180+COLUMN($E180)+1)&amp;":"&amp;ADDRESS(MATCH("END"&amp;OFFSET(BD180,0,COLUMN($B180)-COLUMN(BD180)),$A:$A,0),$C180+COLUMN($E180)+1),TRUE),INDIRECT(ADDRESS(ROW(BD180),$C180+COLUMN($E180)),TRUE),INDIRECT(ADDRESS(MATCH("START"&amp;OFFSET(BD180,0,COLUMN($B180)-COLUMN(BD180)),$A:$A,0),COLUMN(BD180))&amp;":"&amp;ADDRESS(MATCH("END"&amp;OFFSET(BD180,0,COLUMN($B180)-COLUMN(BD180)),$A:$A,0),COLUMN(BD180)),TRUE)))))</f>
        <v>0</v>
      </c>
      <c r="BE180" s="356">
        <f t="shared" ref="BE180:BE207" ca="1" si="321">IF(OFFSET(BE180,ROW(BE$2)-ROW(BE180),0)="TT",SUMIF(INDIRECT(ADDRESS(2,COLUMN($Q180)+1) &amp; ":" &amp; ADDRESS(2,COLUMN(BE180)-1),TRUE),"TBE",INDIRECT(ADDRESS(ROW(BE180), COLUMN($Q180)+1) &amp; ":" &amp; ADDRESS(ROW(BE180),COLUMN(BE180)-1),TRUE)),IF(OFFSET(BE180,ROW(BE$2)-ROW(BE180),0)="TBE",SUMIF(INDIRECT(ADDRESS(2,MATCH(INT(OFFSET(BE180,ROW(BE$2)-ROW(BE180),-2)),$2:$2,0)) &amp; ":" &amp; ADDRESS(2,COLUMN(BE180)-1),TRUE),"T",INDIRECT(ADDRESS(ROW(BE180), MATCH(INT(OFFSET(BE180,ROW(BE$2)-ROW(BE180),-2)),$2:$2,0)) &amp; ":" &amp; ADDRESS(ROW(BE180),COLUMN(BE180)-1),TRUE)),IF(OFFSET(BE180,0,COLUMN($M180)-COLUMN(BE180))="V",OFFSET(BE180,0,-2)*OFFSET(BE180,0,-1),"TOTAL")))</f>
        <v>0</v>
      </c>
      <c r="BF180" s="353">
        <f ca="1">IF(OFFSET(BF180,ROW(BF$2)-ROW(BF180),0)="TT","TT",IF(OFFSET(BF180,0,COLUMN($M180)-COLUMN(BF180))="%",ROUND(OFFSET(BF180,-2,0)*0.07,0),IF(OFFSET(BF180,0,COLUMN($M180)-COLUMN(BF180))="V","x",SUMIF(INDIRECT(ADDRESS(MATCH("START"&amp;OFFSET(BF180,0,COLUMN($B180)-COLUMN(BF180)),$A:$A,0),$C180+COLUMN($E180)+1)&amp;":"&amp;ADDRESS(MATCH("END"&amp;OFFSET(BF180,0,COLUMN($B180)-COLUMN(BF180)),$A:$A,0),$C180+COLUMN($E180)+1),TRUE),INDIRECT(ADDRESS(ROW(BF180),$C180+COLUMN($E180)),TRUE),INDIRECT(ADDRESS(MATCH("START"&amp;OFFSET(BF180,0,COLUMN($B180)-COLUMN(BF180)),$A:$A,0),COLUMN(BF180))&amp;":"&amp;ADDRESS(MATCH("END"&amp;OFFSET(BF180,0,COLUMN($B180)-COLUMN(BF180)),$A:$A,0),COLUMN(BF180)),TRUE)))))</f>
        <v>0</v>
      </c>
      <c r="BG180" s="354"/>
      <c r="BH180" s="355">
        <f ca="1">IF(OFFSET(BH180,ROW(BH$2)-ROW(BH180),0)="TT","TT",IF(OFFSET(BH180,0,COLUMN($M180)-COLUMN(BH180))="%",ROUND((OFFSET(BH180,-2,0)-OFFSET(BH180,-21,0))*0.07,2),IF(OFFSET(BH180,0,COLUMN($M180)-COLUMN(BH180))="V",ROUND(OFFSET(BH180,0,-2)*OFFSET(BH180,0,-1),2),SUMIF(INDIRECT(ADDRESS(MATCH("START"&amp;OFFSET(BH180,0,COLUMN($B180)-COLUMN(BH180)),$A:$A,0),$C180+COLUMN($E180)+1)&amp;":"&amp;ADDRESS(MATCH("END"&amp;OFFSET(BH180,0,COLUMN($B180)-COLUMN(BH180)),$A:$A,0),$C180+COLUMN($E180)+1),TRUE),INDIRECT(ADDRESS(ROW(BH180),$C180+COLUMN($E180)),TRUE),INDIRECT(ADDRESS(MATCH("START"&amp;OFFSET(BH180,0,COLUMN($B180)-COLUMN(BH180)),$A:$A,0),COLUMN(BH180))&amp;":"&amp;ADDRESS(MATCH("END"&amp;OFFSET(BH180,0,COLUMN($B180)-COLUMN(BH180)),$A:$A,0),COLUMN(BH180)),TRUE)))))</f>
        <v>0</v>
      </c>
      <c r="BI180" s="356">
        <f t="shared" ref="BI180:BI207" ca="1" si="322">IF(OFFSET(BI180,ROW(BI$2)-ROW(BI180),0)="TT",SUMIF(INDIRECT(ADDRESS(2,COLUMN($Q180)+1) &amp; ":" &amp; ADDRESS(2,COLUMN(BI180)-1),TRUE),"TBE",INDIRECT(ADDRESS(ROW(BI180), COLUMN($Q180)+1) &amp; ":" &amp; ADDRESS(ROW(BI180),COLUMN(BI180)-1),TRUE)),IF(OFFSET(BI180,ROW(BI$2)-ROW(BI180),0)="TBE",SUMIF(INDIRECT(ADDRESS(2,MATCH(INT(OFFSET(BI180,ROW(BI$2)-ROW(BI180),-2)),$2:$2,0)) &amp; ":" &amp; ADDRESS(2,COLUMN(BI180)-1),TRUE),"T",INDIRECT(ADDRESS(ROW(BI180), MATCH(INT(OFFSET(BI180,ROW(BI$2)-ROW(BI180),-2)),$2:$2,0)) &amp; ":" &amp; ADDRESS(ROW(BI180),COLUMN(BI180)-1),TRUE)),IF(OFFSET(BI180,0,COLUMN($M180)-COLUMN(BI180))="V",OFFSET(BI180,0,-2)*OFFSET(BI180,0,-1),"TOTAL")))</f>
        <v>0</v>
      </c>
      <c r="BJ180" s="353">
        <f ca="1">IF(OFFSET(BJ180,ROW(BJ$2)-ROW(BJ180),0)="TT","TT",IF(OFFSET(BJ180,0,COLUMN($M180)-COLUMN(BJ180))="%",ROUND(OFFSET(BJ180,-2,0)*0.07,0),IF(OFFSET(BJ180,0,COLUMN($M180)-COLUMN(BJ180))="V","x",SUMIF(INDIRECT(ADDRESS(MATCH("START"&amp;OFFSET(BJ180,0,COLUMN($B180)-COLUMN(BJ180)),$A:$A,0),$C180+COLUMN($E180)+1)&amp;":"&amp;ADDRESS(MATCH("END"&amp;OFFSET(BJ180,0,COLUMN($B180)-COLUMN(BJ180)),$A:$A,0),$C180+COLUMN($E180)+1),TRUE),INDIRECT(ADDRESS(ROW(BJ180),$C180+COLUMN($E180)),TRUE),INDIRECT(ADDRESS(MATCH("START"&amp;OFFSET(BJ180,0,COLUMN($B180)-COLUMN(BJ180)),$A:$A,0),COLUMN(BJ180))&amp;":"&amp;ADDRESS(MATCH("END"&amp;OFFSET(BJ180,0,COLUMN($B180)-COLUMN(BJ180)),$A:$A,0),COLUMN(BJ180)),TRUE)))))</f>
        <v>0</v>
      </c>
      <c r="BK180" s="354"/>
      <c r="BL180" s="355">
        <f ca="1">IF(OFFSET(BL180,ROW(BL$2)-ROW(BL180),0)="TT","TT",IF(OFFSET(BL180,0,COLUMN($M180)-COLUMN(BL180))="%",ROUND((OFFSET(BL180,-2,0)-OFFSET(BL180,-21,0))*0.07,2),IF(OFFSET(BL180,0,COLUMN($M180)-COLUMN(BL180))="V",ROUND(OFFSET(BL180,0,-2)*OFFSET(BL180,0,-1),2),SUMIF(INDIRECT(ADDRESS(MATCH("START"&amp;OFFSET(BL180,0,COLUMN($B180)-COLUMN(BL180)),$A:$A,0),$C180+COLUMN($E180)+1)&amp;":"&amp;ADDRESS(MATCH("END"&amp;OFFSET(BL180,0,COLUMN($B180)-COLUMN(BL180)),$A:$A,0),$C180+COLUMN($E180)+1),TRUE),INDIRECT(ADDRESS(ROW(BL180),$C180+COLUMN($E180)),TRUE),INDIRECT(ADDRESS(MATCH("START"&amp;OFFSET(BL180,0,COLUMN($B180)-COLUMN(BL180)),$A:$A,0),COLUMN(BL180))&amp;":"&amp;ADDRESS(MATCH("END"&amp;OFFSET(BL180,0,COLUMN($B180)-COLUMN(BL180)),$A:$A,0),COLUMN(BL180)),TRUE)))))</f>
        <v>0</v>
      </c>
      <c r="BM180" s="356">
        <f t="shared" ref="BM180:BN207" ca="1" si="323">IF(OFFSET(BM180,ROW(BM$2)-ROW(BM180),0)="TT",SUMIF(INDIRECT(ADDRESS(2,COLUMN($Q180)+1) &amp; ":" &amp; ADDRESS(2,COLUMN(BM180)-1),TRUE),"TBE",INDIRECT(ADDRESS(ROW(BM180), COLUMN($Q180)+1) &amp; ":" &amp; ADDRESS(ROW(BM180),COLUMN(BM180)-1),TRUE)),IF(OFFSET(BM180,ROW(BM$2)-ROW(BM180),0)="TBE",SUMIF(INDIRECT(ADDRESS(2,MATCH(INT(OFFSET(BM180,ROW(BM$2)-ROW(BM180),-2)),$2:$2,0)) &amp; ":" &amp; ADDRESS(2,COLUMN(BM180)-1),TRUE),"T",INDIRECT(ADDRESS(ROW(BM180), MATCH(INT(OFFSET(BM180,ROW(BM$2)-ROW(BM180),-2)),$2:$2,0)) &amp; ":" &amp; ADDRESS(ROW(BM180),COLUMN(BM180)-1),TRUE)),IF(OFFSET(BM180,0,COLUMN($M180)-COLUMN(BM180))="V",OFFSET(BM180,0,-2)*OFFSET(BM180,0,-1),"TOTAL")))</f>
        <v>0</v>
      </c>
      <c r="BN180" s="356">
        <f t="shared" ca="1" si="323"/>
        <v>0</v>
      </c>
    </row>
    <row r="181" spans="1:68">
      <c r="A181" s="221" t="str">
        <f t="shared" ca="1" si="310"/>
        <v>WP006</v>
      </c>
      <c r="B181" s="221" t="str">
        <f t="shared" ca="1" si="311"/>
        <v>WP006</v>
      </c>
      <c r="C181" s="221">
        <v>6</v>
      </c>
      <c r="D181" s="221" t="s">
        <v>76</v>
      </c>
      <c r="J181" s="222" t="s">
        <v>75</v>
      </c>
      <c r="K181" s="221" t="s">
        <v>77</v>
      </c>
      <c r="M181" s="221" t="s">
        <v>46</v>
      </c>
      <c r="N181" s="461"/>
      <c r="O181" s="245"/>
      <c r="P181" s="464" t="s">
        <v>78</v>
      </c>
      <c r="Q181" s="465"/>
      <c r="R181" s="357">
        <f ca="1">IF(OFFSET(R181,ROW(R$2)-ROW(R181),0)="TT","TT",IF(OFFSET(R181,0,COLUMN($M181)-COLUMN(R181))="%",ROUND(OFFSET(R181,-2,0)*0.07,0),IF(OFFSET(R181,0,COLUMN($M181)-COLUMN(R181))="V","x",SUMIF(INDIRECT(ADDRESS(MATCH("START"&amp;OFFSET(R181,0,COLUMN($B181)-COLUMN(R181)),$A:$A,0),$C181+COLUMN($E181)+1)&amp;":"&amp;ADDRESS(MATCH("END"&amp;OFFSET(R181,0,COLUMN($B181)-COLUMN(R181)),$A:$A,0),$C181+COLUMN($E181)+1),TRUE),INDIRECT(ADDRESS(ROW(R181),$C181+COLUMN($E181)),TRUE),INDIRECT(ADDRESS(MATCH("START"&amp;OFFSET(R181,0,COLUMN($B181)-COLUMN(R181)),$A:$A,0),COLUMN(R181))&amp;":"&amp;ADDRESS(MATCH("END"&amp;OFFSET(R181,0,COLUMN($B181)-COLUMN(R181)),$A:$A,0),COLUMN(R181)),TRUE)))))</f>
        <v>0</v>
      </c>
      <c r="S181" s="358"/>
      <c r="T181" s="359">
        <f t="shared" ref="T181:T211" ca="1" si="324">IF(OFFSET(T181,ROW(T$2)-ROW(T181),0)="TT","TT",IF(OFFSET(T181,0,COLUMN($M181)-COLUMN(T181))="%",ROUND((OFFSET(T181,-2,0)-OFFSET(T181,-21,0))*0.07,2),IF(OFFSET(T181,0,COLUMN($M181)-COLUMN(T181))="V",ROUND(OFFSET(T181,0,-2)*OFFSET(T181,0,-1),2),SUMIF(INDIRECT(ADDRESS(MATCH("START"&amp;OFFSET(T181,0,COLUMN($B181)-COLUMN(T181)),$A:$A,0),$C181+COLUMN($E181)+1)&amp;":"&amp;ADDRESS(MATCH("END"&amp;OFFSET(T181,0,COLUMN($B181)-COLUMN(T181)),$A:$A,0),$C181+COLUMN($E181)+1),TRUE),INDIRECT(ADDRESS(ROW(T181),$C181+COLUMN($E181)),TRUE),INDIRECT(ADDRESS(MATCH("START"&amp;OFFSET(T181,0,COLUMN($B181)-COLUMN(T181)),$A:$A,0),COLUMN(T181))&amp;":"&amp;ADDRESS(MATCH("END"&amp;OFFSET(T181,0,COLUMN($B181)-COLUMN(T181)),$A:$A,0),COLUMN(T181)),TRUE)))))</f>
        <v>0</v>
      </c>
      <c r="U181" s="360">
        <f t="shared" ca="1" si="312"/>
        <v>0</v>
      </c>
      <c r="V181" s="357">
        <f ca="1">IF(OFFSET(V181,ROW(V$2)-ROW(V181),0)="TT","TT",IF(OFFSET(V181,0,COLUMN($M181)-COLUMN(V181))="%",ROUND(OFFSET(V181,-2,0)*0.07,0),IF(OFFSET(V181,0,COLUMN($M181)-COLUMN(V181))="V","x",SUMIF(INDIRECT(ADDRESS(MATCH("START"&amp;OFFSET(V181,0,COLUMN($B181)-COLUMN(V181)),$A:$A,0),$C181+COLUMN($E181)+1)&amp;":"&amp;ADDRESS(MATCH("END"&amp;OFFSET(V181,0,COLUMN($B181)-COLUMN(V181)),$A:$A,0),$C181+COLUMN($E181)+1),TRUE),INDIRECT(ADDRESS(ROW(V181),$C181+COLUMN($E181)),TRUE),INDIRECT(ADDRESS(MATCH("START"&amp;OFFSET(V181,0,COLUMN($B181)-COLUMN(V181)),$A:$A,0),COLUMN(V181))&amp;":"&amp;ADDRESS(MATCH("END"&amp;OFFSET(V181,0,COLUMN($B181)-COLUMN(V181)),$A:$A,0),COLUMN(V181)),TRUE)))))</f>
        <v>0</v>
      </c>
      <c r="W181" s="358"/>
      <c r="X181" s="359">
        <f t="shared" ref="X181:X211" ca="1" si="325">IF(OFFSET(X181,ROW(X$2)-ROW(X181),0)="TT","TT",IF(OFFSET(X181,0,COLUMN($M181)-COLUMN(X181))="%",ROUND((OFFSET(X181,-2,0)-OFFSET(X181,-21,0))*0.07,2),IF(OFFSET(X181,0,COLUMN($M181)-COLUMN(X181))="V",ROUND(OFFSET(X181,0,-2)*OFFSET(X181,0,-1),2),SUMIF(INDIRECT(ADDRESS(MATCH("START"&amp;OFFSET(X181,0,COLUMN($B181)-COLUMN(X181)),$A:$A,0),$C181+COLUMN($E181)+1)&amp;":"&amp;ADDRESS(MATCH("END"&amp;OFFSET(X181,0,COLUMN($B181)-COLUMN(X181)),$A:$A,0),$C181+COLUMN($E181)+1),TRUE),INDIRECT(ADDRESS(ROW(X181),$C181+COLUMN($E181)),TRUE),INDIRECT(ADDRESS(MATCH("START"&amp;OFFSET(X181,0,COLUMN($B181)-COLUMN(X181)),$A:$A,0),COLUMN(X181))&amp;":"&amp;ADDRESS(MATCH("END"&amp;OFFSET(X181,0,COLUMN($B181)-COLUMN(X181)),$A:$A,0),COLUMN(X181)),TRUE)))))</f>
        <v>0</v>
      </c>
      <c r="Y181" s="360">
        <f t="shared" ca="1" si="313"/>
        <v>0</v>
      </c>
      <c r="Z181" s="357">
        <f ca="1">IF(OFFSET(Z181,ROW(Z$2)-ROW(Z181),0)="TT","TT",IF(OFFSET(Z181,0,COLUMN($M181)-COLUMN(Z181))="%",ROUND(OFFSET(Z181,-2,0)*0.07,0),IF(OFFSET(Z181,0,COLUMN($M181)-COLUMN(Z181))="V","x",SUMIF(INDIRECT(ADDRESS(MATCH("START"&amp;OFFSET(Z181,0,COLUMN($B181)-COLUMN(Z181)),$A:$A,0),$C181+COLUMN($E181)+1)&amp;":"&amp;ADDRESS(MATCH("END"&amp;OFFSET(Z181,0,COLUMN($B181)-COLUMN(Z181)),$A:$A,0),$C181+COLUMN($E181)+1),TRUE),INDIRECT(ADDRESS(ROW(Z181),$C181+COLUMN($E181)),TRUE),INDIRECT(ADDRESS(MATCH("START"&amp;OFFSET(Z181,0,COLUMN($B181)-COLUMN(Z181)),$A:$A,0),COLUMN(Z181))&amp;":"&amp;ADDRESS(MATCH("END"&amp;OFFSET(Z181,0,COLUMN($B181)-COLUMN(Z181)),$A:$A,0),COLUMN(Z181)),TRUE)))))</f>
        <v>0</v>
      </c>
      <c r="AA181" s="358"/>
      <c r="AB181" s="359">
        <f t="shared" ref="AB181:AB211" ca="1" si="326">IF(OFFSET(AB181,ROW(AB$2)-ROW(AB181),0)="TT","TT",IF(OFFSET(AB181,0,COLUMN($M181)-COLUMN(AB181))="%",ROUND((OFFSET(AB181,-2,0)-OFFSET(AB181,-21,0))*0.07,2),IF(OFFSET(AB181,0,COLUMN($M181)-COLUMN(AB181))="V",ROUND(OFFSET(AB181,0,-2)*OFFSET(AB181,0,-1),2),SUMIF(INDIRECT(ADDRESS(MATCH("START"&amp;OFFSET(AB181,0,COLUMN($B181)-COLUMN(AB181)),$A:$A,0),$C181+COLUMN($E181)+1)&amp;":"&amp;ADDRESS(MATCH("END"&amp;OFFSET(AB181,0,COLUMN($B181)-COLUMN(AB181)),$A:$A,0),$C181+COLUMN($E181)+1),TRUE),INDIRECT(ADDRESS(ROW(AB181),$C181+COLUMN($E181)),TRUE),INDIRECT(ADDRESS(MATCH("START"&amp;OFFSET(AB181,0,COLUMN($B181)-COLUMN(AB181)),$A:$A,0),COLUMN(AB181))&amp;":"&amp;ADDRESS(MATCH("END"&amp;OFFSET(AB181,0,COLUMN($B181)-COLUMN(AB181)),$A:$A,0),COLUMN(AB181)),TRUE)))))</f>
        <v>0</v>
      </c>
      <c r="AC181" s="360">
        <f t="shared" ca="1" si="314"/>
        <v>0</v>
      </c>
      <c r="AD181" s="357">
        <f ca="1">IF(OFFSET(AD181,ROW(AD$2)-ROW(AD181),0)="TT","TT",IF(OFFSET(AD181,0,COLUMN($M181)-COLUMN(AD181))="%",ROUND(OFFSET(AD181,-2,0)*0.07,0),IF(OFFSET(AD181,0,COLUMN($M181)-COLUMN(AD181))="V","x",SUMIF(INDIRECT(ADDRESS(MATCH("START"&amp;OFFSET(AD181,0,COLUMN($B181)-COLUMN(AD181)),$A:$A,0),$C181+COLUMN($E181)+1)&amp;":"&amp;ADDRESS(MATCH("END"&amp;OFFSET(AD181,0,COLUMN($B181)-COLUMN(AD181)),$A:$A,0),$C181+COLUMN($E181)+1),TRUE),INDIRECT(ADDRESS(ROW(AD181),$C181+COLUMN($E181)),TRUE),INDIRECT(ADDRESS(MATCH("START"&amp;OFFSET(AD181,0,COLUMN($B181)-COLUMN(AD181)),$A:$A,0),COLUMN(AD181))&amp;":"&amp;ADDRESS(MATCH("END"&amp;OFFSET(AD181,0,COLUMN($B181)-COLUMN(AD181)),$A:$A,0),COLUMN(AD181)),TRUE)))))</f>
        <v>0</v>
      </c>
      <c r="AE181" s="358"/>
      <c r="AF181" s="359">
        <f t="shared" ref="AF181:AF211" ca="1" si="327">IF(OFFSET(AF181,ROW(AF$2)-ROW(AF181),0)="TT","TT",IF(OFFSET(AF181,0,COLUMN($M181)-COLUMN(AF181))="%",ROUND((OFFSET(AF181,-2,0)-OFFSET(AF181,-21,0))*0.07,2),IF(OFFSET(AF181,0,COLUMN($M181)-COLUMN(AF181))="V",ROUND(OFFSET(AF181,0,-2)*OFFSET(AF181,0,-1),2),SUMIF(INDIRECT(ADDRESS(MATCH("START"&amp;OFFSET(AF181,0,COLUMN($B181)-COLUMN(AF181)),$A:$A,0),$C181+COLUMN($E181)+1)&amp;":"&amp;ADDRESS(MATCH("END"&amp;OFFSET(AF181,0,COLUMN($B181)-COLUMN(AF181)),$A:$A,0),$C181+COLUMN($E181)+1),TRUE),INDIRECT(ADDRESS(ROW(AF181),$C181+COLUMN($E181)),TRUE),INDIRECT(ADDRESS(MATCH("START"&amp;OFFSET(AF181,0,COLUMN($B181)-COLUMN(AF181)),$A:$A,0),COLUMN(AF181))&amp;":"&amp;ADDRESS(MATCH("END"&amp;OFFSET(AF181,0,COLUMN($B181)-COLUMN(AF181)),$A:$A,0),COLUMN(AF181)),TRUE)))))</f>
        <v>0</v>
      </c>
      <c r="AG181" s="360">
        <f t="shared" ca="1" si="315"/>
        <v>0</v>
      </c>
      <c r="AH181" s="357">
        <f ca="1">IF(OFFSET(AH181,ROW(AH$2)-ROW(AH181),0)="TT","TT",IF(OFFSET(AH181,0,COLUMN($M181)-COLUMN(AH181))="%",ROUND(OFFSET(AH181,-2,0)*0.07,0),IF(OFFSET(AH181,0,COLUMN($M181)-COLUMN(AH181))="V","x",SUMIF(INDIRECT(ADDRESS(MATCH("START"&amp;OFFSET(AH181,0,COLUMN($B181)-COLUMN(AH181)),$A:$A,0),$C181+COLUMN($E181)+1)&amp;":"&amp;ADDRESS(MATCH("END"&amp;OFFSET(AH181,0,COLUMN($B181)-COLUMN(AH181)),$A:$A,0),$C181+COLUMN($E181)+1),TRUE),INDIRECT(ADDRESS(ROW(AH181),$C181+COLUMN($E181)),TRUE),INDIRECT(ADDRESS(MATCH("START"&amp;OFFSET(AH181,0,COLUMN($B181)-COLUMN(AH181)),$A:$A,0),COLUMN(AH181))&amp;":"&amp;ADDRESS(MATCH("END"&amp;OFFSET(AH181,0,COLUMN($B181)-COLUMN(AH181)),$A:$A,0),COLUMN(AH181)),TRUE)))))</f>
        <v>0</v>
      </c>
      <c r="AI181" s="358"/>
      <c r="AJ181" s="359">
        <f t="shared" ref="AJ181:AJ211" ca="1" si="328">IF(OFFSET(AJ181,ROW(AJ$2)-ROW(AJ181),0)="TT","TT",IF(OFFSET(AJ181,0,COLUMN($M181)-COLUMN(AJ181))="%",ROUND((OFFSET(AJ181,-2,0)-OFFSET(AJ181,-21,0))*0.07,2),IF(OFFSET(AJ181,0,COLUMN($M181)-COLUMN(AJ181))="V",ROUND(OFFSET(AJ181,0,-2)*OFFSET(AJ181,0,-1),2),SUMIF(INDIRECT(ADDRESS(MATCH("START"&amp;OFFSET(AJ181,0,COLUMN($B181)-COLUMN(AJ181)),$A:$A,0),$C181+COLUMN($E181)+1)&amp;":"&amp;ADDRESS(MATCH("END"&amp;OFFSET(AJ181,0,COLUMN($B181)-COLUMN(AJ181)),$A:$A,0),$C181+COLUMN($E181)+1),TRUE),INDIRECT(ADDRESS(ROW(AJ181),$C181+COLUMN($E181)),TRUE),INDIRECT(ADDRESS(MATCH("START"&amp;OFFSET(AJ181,0,COLUMN($B181)-COLUMN(AJ181)),$A:$A,0),COLUMN(AJ181))&amp;":"&amp;ADDRESS(MATCH("END"&amp;OFFSET(AJ181,0,COLUMN($B181)-COLUMN(AJ181)),$A:$A,0),COLUMN(AJ181)),TRUE)))))</f>
        <v>0</v>
      </c>
      <c r="AK181" s="360">
        <f t="shared" ca="1" si="316"/>
        <v>0</v>
      </c>
      <c r="AL181" s="357">
        <f ca="1">IF(OFFSET(AL181,ROW(AL$2)-ROW(AL181),0)="TT","TT",IF(OFFSET(AL181,0,COLUMN($M181)-COLUMN(AL181))="%",ROUND(OFFSET(AL181,-2,0)*0.07,0),IF(OFFSET(AL181,0,COLUMN($M181)-COLUMN(AL181))="V","x",SUMIF(INDIRECT(ADDRESS(MATCH("START"&amp;OFFSET(AL181,0,COLUMN($B181)-COLUMN(AL181)),$A:$A,0),$C181+COLUMN($E181)+1)&amp;":"&amp;ADDRESS(MATCH("END"&amp;OFFSET(AL181,0,COLUMN($B181)-COLUMN(AL181)),$A:$A,0),$C181+COLUMN($E181)+1),TRUE),INDIRECT(ADDRESS(ROW(AL181),$C181+COLUMN($E181)),TRUE),INDIRECT(ADDRESS(MATCH("START"&amp;OFFSET(AL181,0,COLUMN($B181)-COLUMN(AL181)),$A:$A,0),COLUMN(AL181))&amp;":"&amp;ADDRESS(MATCH("END"&amp;OFFSET(AL181,0,COLUMN($B181)-COLUMN(AL181)),$A:$A,0),COLUMN(AL181)),TRUE)))))</f>
        <v>0</v>
      </c>
      <c r="AM181" s="358"/>
      <c r="AN181" s="359">
        <f t="shared" ref="AN181:AN211" ca="1" si="329">IF(OFFSET(AN181,ROW(AN$2)-ROW(AN181),0)="TT","TT",IF(OFFSET(AN181,0,COLUMN($M181)-COLUMN(AN181))="%",ROUND((OFFSET(AN181,-2,0)-OFFSET(AN181,-21,0))*0.07,2),IF(OFFSET(AN181,0,COLUMN($M181)-COLUMN(AN181))="V",ROUND(OFFSET(AN181,0,-2)*OFFSET(AN181,0,-1),2),SUMIF(INDIRECT(ADDRESS(MATCH("START"&amp;OFFSET(AN181,0,COLUMN($B181)-COLUMN(AN181)),$A:$A,0),$C181+COLUMN($E181)+1)&amp;":"&amp;ADDRESS(MATCH("END"&amp;OFFSET(AN181,0,COLUMN($B181)-COLUMN(AN181)),$A:$A,0),$C181+COLUMN($E181)+1),TRUE),INDIRECT(ADDRESS(ROW(AN181),$C181+COLUMN($E181)),TRUE),INDIRECT(ADDRESS(MATCH("START"&amp;OFFSET(AN181,0,COLUMN($B181)-COLUMN(AN181)),$A:$A,0),COLUMN(AN181))&amp;":"&amp;ADDRESS(MATCH("END"&amp;OFFSET(AN181,0,COLUMN($B181)-COLUMN(AN181)),$A:$A,0),COLUMN(AN181)),TRUE)))))</f>
        <v>0</v>
      </c>
      <c r="AO181" s="360">
        <f t="shared" ca="1" si="317"/>
        <v>0</v>
      </c>
      <c r="AP181" s="357">
        <f ca="1">IF(OFFSET(AP181,ROW(AP$2)-ROW(AP181),0)="TT","TT",IF(OFFSET(AP181,0,COLUMN($M181)-COLUMN(AP181))="%",ROUND(OFFSET(AP181,-2,0)*0.07,0),IF(OFFSET(AP181,0,COLUMN($M181)-COLUMN(AP181))="V","x",SUMIF(INDIRECT(ADDRESS(MATCH("START"&amp;OFFSET(AP181,0,COLUMN($B181)-COLUMN(AP181)),$A:$A,0),$C181+COLUMN($E181)+1)&amp;":"&amp;ADDRESS(MATCH("END"&amp;OFFSET(AP181,0,COLUMN($B181)-COLUMN(AP181)),$A:$A,0),$C181+COLUMN($E181)+1),TRUE),INDIRECT(ADDRESS(ROW(AP181),$C181+COLUMN($E181)),TRUE),INDIRECT(ADDRESS(MATCH("START"&amp;OFFSET(AP181,0,COLUMN($B181)-COLUMN(AP181)),$A:$A,0),COLUMN(AP181))&amp;":"&amp;ADDRESS(MATCH("END"&amp;OFFSET(AP181,0,COLUMN($B181)-COLUMN(AP181)),$A:$A,0),COLUMN(AP181)),TRUE)))))</f>
        <v>0</v>
      </c>
      <c r="AQ181" s="358"/>
      <c r="AR181" s="359">
        <f t="shared" ref="AR181:AR211" ca="1" si="330">IF(OFFSET(AR181,ROW(AR$2)-ROW(AR181),0)="TT","TT",IF(OFFSET(AR181,0,COLUMN($M181)-COLUMN(AR181))="%",ROUND((OFFSET(AR181,-2,0)-OFFSET(AR181,-21,0))*0.07,2),IF(OFFSET(AR181,0,COLUMN($M181)-COLUMN(AR181))="V",ROUND(OFFSET(AR181,0,-2)*OFFSET(AR181,0,-1),2),SUMIF(INDIRECT(ADDRESS(MATCH("START"&amp;OFFSET(AR181,0,COLUMN($B181)-COLUMN(AR181)),$A:$A,0),$C181+COLUMN($E181)+1)&amp;":"&amp;ADDRESS(MATCH("END"&amp;OFFSET(AR181,0,COLUMN($B181)-COLUMN(AR181)),$A:$A,0),$C181+COLUMN($E181)+1),TRUE),INDIRECT(ADDRESS(ROW(AR181),$C181+COLUMN($E181)),TRUE),INDIRECT(ADDRESS(MATCH("START"&amp;OFFSET(AR181,0,COLUMN($B181)-COLUMN(AR181)),$A:$A,0),COLUMN(AR181))&amp;":"&amp;ADDRESS(MATCH("END"&amp;OFFSET(AR181,0,COLUMN($B181)-COLUMN(AR181)),$A:$A,0),COLUMN(AR181)),TRUE)))))</f>
        <v>0</v>
      </c>
      <c r="AS181" s="360">
        <f t="shared" ca="1" si="318"/>
        <v>0</v>
      </c>
      <c r="AT181" s="357">
        <f ca="1">IF(OFFSET(AT181,ROW(AT$2)-ROW(AT181),0)="TT","TT",IF(OFFSET(AT181,0,COLUMN($M181)-COLUMN(AT181))="%",ROUND(OFFSET(AT181,-2,0)*0.07,0),IF(OFFSET(AT181,0,COLUMN($M181)-COLUMN(AT181))="V","x",SUMIF(INDIRECT(ADDRESS(MATCH("START"&amp;OFFSET(AT181,0,COLUMN($B181)-COLUMN(AT181)),$A:$A,0),$C181+COLUMN($E181)+1)&amp;":"&amp;ADDRESS(MATCH("END"&amp;OFFSET(AT181,0,COLUMN($B181)-COLUMN(AT181)),$A:$A,0),$C181+COLUMN($E181)+1),TRUE),INDIRECT(ADDRESS(ROW(AT181),$C181+COLUMN($E181)),TRUE),INDIRECT(ADDRESS(MATCH("START"&amp;OFFSET(AT181,0,COLUMN($B181)-COLUMN(AT181)),$A:$A,0),COLUMN(AT181))&amp;":"&amp;ADDRESS(MATCH("END"&amp;OFFSET(AT181,0,COLUMN($B181)-COLUMN(AT181)),$A:$A,0),COLUMN(AT181)),TRUE)))))</f>
        <v>0</v>
      </c>
      <c r="AU181" s="358"/>
      <c r="AV181" s="359">
        <f t="shared" ref="AV181:AV211" ca="1" si="331">IF(OFFSET(AV181,ROW(AV$2)-ROW(AV181),0)="TT","TT",IF(OFFSET(AV181,0,COLUMN($M181)-COLUMN(AV181))="%",ROUND((OFFSET(AV181,-2,0)-OFFSET(AV181,-21,0))*0.07,2),IF(OFFSET(AV181,0,COLUMN($M181)-COLUMN(AV181))="V",ROUND(OFFSET(AV181,0,-2)*OFFSET(AV181,0,-1),2),SUMIF(INDIRECT(ADDRESS(MATCH("START"&amp;OFFSET(AV181,0,COLUMN($B181)-COLUMN(AV181)),$A:$A,0),$C181+COLUMN($E181)+1)&amp;":"&amp;ADDRESS(MATCH("END"&amp;OFFSET(AV181,0,COLUMN($B181)-COLUMN(AV181)),$A:$A,0),$C181+COLUMN($E181)+1),TRUE),INDIRECT(ADDRESS(ROW(AV181),$C181+COLUMN($E181)),TRUE),INDIRECT(ADDRESS(MATCH("START"&amp;OFFSET(AV181,0,COLUMN($B181)-COLUMN(AV181)),$A:$A,0),COLUMN(AV181))&amp;":"&amp;ADDRESS(MATCH("END"&amp;OFFSET(AV181,0,COLUMN($B181)-COLUMN(AV181)),$A:$A,0),COLUMN(AV181)),TRUE)))))</f>
        <v>0</v>
      </c>
      <c r="AW181" s="360">
        <f t="shared" ca="1" si="319"/>
        <v>0</v>
      </c>
      <c r="AX181" s="357">
        <f ca="1">IF(OFFSET(AX181,ROW(AX$2)-ROW(AX181),0)="TT","TT",IF(OFFSET(AX181,0,COLUMN($M181)-COLUMN(AX181))="%",ROUND(OFFSET(AX181,-2,0)*0.07,0),IF(OFFSET(AX181,0,COLUMN($M181)-COLUMN(AX181))="V","x",SUMIF(INDIRECT(ADDRESS(MATCH("START"&amp;OFFSET(AX181,0,COLUMN($B181)-COLUMN(AX181)),$A:$A,0),$C181+COLUMN($E181)+1)&amp;":"&amp;ADDRESS(MATCH("END"&amp;OFFSET(AX181,0,COLUMN($B181)-COLUMN(AX181)),$A:$A,0),$C181+COLUMN($E181)+1),TRUE),INDIRECT(ADDRESS(ROW(AX181),$C181+COLUMN($E181)),TRUE),INDIRECT(ADDRESS(MATCH("START"&amp;OFFSET(AX181,0,COLUMN($B181)-COLUMN(AX181)),$A:$A,0),COLUMN(AX181))&amp;":"&amp;ADDRESS(MATCH("END"&amp;OFFSET(AX181,0,COLUMN($B181)-COLUMN(AX181)),$A:$A,0),COLUMN(AX181)),TRUE)))))</f>
        <v>0</v>
      </c>
      <c r="AY181" s="358"/>
      <c r="AZ181" s="359">
        <f t="shared" ref="AZ181:AZ211" ca="1" si="332">IF(OFFSET(AZ181,ROW(AZ$2)-ROW(AZ181),0)="TT","TT",IF(OFFSET(AZ181,0,COLUMN($M181)-COLUMN(AZ181))="%",ROUND((OFFSET(AZ181,-2,0)-OFFSET(AZ181,-21,0))*0.07,2),IF(OFFSET(AZ181,0,COLUMN($M181)-COLUMN(AZ181))="V",ROUND(OFFSET(AZ181,0,-2)*OFFSET(AZ181,0,-1),2),SUMIF(INDIRECT(ADDRESS(MATCH("START"&amp;OFFSET(AZ181,0,COLUMN($B181)-COLUMN(AZ181)),$A:$A,0),$C181+COLUMN($E181)+1)&amp;":"&amp;ADDRESS(MATCH("END"&amp;OFFSET(AZ181,0,COLUMN($B181)-COLUMN(AZ181)),$A:$A,0),$C181+COLUMN($E181)+1),TRUE),INDIRECT(ADDRESS(ROW(AZ181),$C181+COLUMN($E181)),TRUE),INDIRECT(ADDRESS(MATCH("START"&amp;OFFSET(AZ181,0,COLUMN($B181)-COLUMN(AZ181)),$A:$A,0),COLUMN(AZ181))&amp;":"&amp;ADDRESS(MATCH("END"&amp;OFFSET(AZ181,0,COLUMN($B181)-COLUMN(AZ181)),$A:$A,0),COLUMN(AZ181)),TRUE)))))</f>
        <v>0</v>
      </c>
      <c r="BA181" s="360">
        <f t="shared" ca="1" si="320"/>
        <v>0</v>
      </c>
      <c r="BB181" s="357">
        <f ca="1">IF(OFFSET(BB181,ROW(BB$2)-ROW(BB181),0)="TT","TT",IF(OFFSET(BB181,0,COLUMN($M181)-COLUMN(BB181))="%",ROUND(OFFSET(BB181,-2,0)*0.07,0),IF(OFFSET(BB181,0,COLUMN($M181)-COLUMN(BB181))="V","x",SUMIF(INDIRECT(ADDRESS(MATCH("START"&amp;OFFSET(BB181,0,COLUMN($B181)-COLUMN(BB181)),$A:$A,0),$C181+COLUMN($E181)+1)&amp;":"&amp;ADDRESS(MATCH("END"&amp;OFFSET(BB181,0,COLUMN($B181)-COLUMN(BB181)),$A:$A,0),$C181+COLUMN($E181)+1),TRUE),INDIRECT(ADDRESS(ROW(BB181),$C181+COLUMN($E181)),TRUE),INDIRECT(ADDRESS(MATCH("START"&amp;OFFSET(BB181,0,COLUMN($B181)-COLUMN(BB181)),$A:$A,0),COLUMN(BB181))&amp;":"&amp;ADDRESS(MATCH("END"&amp;OFFSET(BB181,0,COLUMN($B181)-COLUMN(BB181)),$A:$A,0),COLUMN(BB181)),TRUE)))))</f>
        <v>0</v>
      </c>
      <c r="BC181" s="358"/>
      <c r="BD181" s="359">
        <f t="shared" ref="BD181:BD211" ca="1" si="333">IF(OFFSET(BD181,ROW(BD$2)-ROW(BD181),0)="TT","TT",IF(OFFSET(BD181,0,COLUMN($M181)-COLUMN(BD181))="%",ROUND((OFFSET(BD181,-2,0)-OFFSET(BD181,-21,0))*0.07,2),IF(OFFSET(BD181,0,COLUMN($M181)-COLUMN(BD181))="V",ROUND(OFFSET(BD181,0,-2)*OFFSET(BD181,0,-1),2),SUMIF(INDIRECT(ADDRESS(MATCH("START"&amp;OFFSET(BD181,0,COLUMN($B181)-COLUMN(BD181)),$A:$A,0),$C181+COLUMN($E181)+1)&amp;":"&amp;ADDRESS(MATCH("END"&amp;OFFSET(BD181,0,COLUMN($B181)-COLUMN(BD181)),$A:$A,0),$C181+COLUMN($E181)+1),TRUE),INDIRECT(ADDRESS(ROW(BD181),$C181+COLUMN($E181)),TRUE),INDIRECT(ADDRESS(MATCH("START"&amp;OFFSET(BD181,0,COLUMN($B181)-COLUMN(BD181)),$A:$A,0),COLUMN(BD181))&amp;":"&amp;ADDRESS(MATCH("END"&amp;OFFSET(BD181,0,COLUMN($B181)-COLUMN(BD181)),$A:$A,0),COLUMN(BD181)),TRUE)))))</f>
        <v>0</v>
      </c>
      <c r="BE181" s="360">
        <f t="shared" ca="1" si="321"/>
        <v>0</v>
      </c>
      <c r="BF181" s="357">
        <f ca="1">IF(OFFSET(BF181,ROW(BF$2)-ROW(BF181),0)="TT","TT",IF(OFFSET(BF181,0,COLUMN($M181)-COLUMN(BF181))="%",ROUND(OFFSET(BF181,-2,0)*0.07,0),IF(OFFSET(BF181,0,COLUMN($M181)-COLUMN(BF181))="V","x",SUMIF(INDIRECT(ADDRESS(MATCH("START"&amp;OFFSET(BF181,0,COLUMN($B181)-COLUMN(BF181)),$A:$A,0),$C181+COLUMN($E181)+1)&amp;":"&amp;ADDRESS(MATCH("END"&amp;OFFSET(BF181,0,COLUMN($B181)-COLUMN(BF181)),$A:$A,0),$C181+COLUMN($E181)+1),TRUE),INDIRECT(ADDRESS(ROW(BF181),$C181+COLUMN($E181)),TRUE),INDIRECT(ADDRESS(MATCH("START"&amp;OFFSET(BF181,0,COLUMN($B181)-COLUMN(BF181)),$A:$A,0),COLUMN(BF181))&amp;":"&amp;ADDRESS(MATCH("END"&amp;OFFSET(BF181,0,COLUMN($B181)-COLUMN(BF181)),$A:$A,0),COLUMN(BF181)),TRUE)))))</f>
        <v>0</v>
      </c>
      <c r="BG181" s="358"/>
      <c r="BH181" s="359">
        <f t="shared" ref="BH181:BH211" ca="1" si="334">IF(OFFSET(BH181,ROW(BH$2)-ROW(BH181),0)="TT","TT",IF(OFFSET(BH181,0,COLUMN($M181)-COLUMN(BH181))="%",ROUND((OFFSET(BH181,-2,0)-OFFSET(BH181,-21,0))*0.07,2),IF(OFFSET(BH181,0,COLUMN($M181)-COLUMN(BH181))="V",ROUND(OFFSET(BH181,0,-2)*OFFSET(BH181,0,-1),2),SUMIF(INDIRECT(ADDRESS(MATCH("START"&amp;OFFSET(BH181,0,COLUMN($B181)-COLUMN(BH181)),$A:$A,0),$C181+COLUMN($E181)+1)&amp;":"&amp;ADDRESS(MATCH("END"&amp;OFFSET(BH181,0,COLUMN($B181)-COLUMN(BH181)),$A:$A,0),$C181+COLUMN($E181)+1),TRUE),INDIRECT(ADDRESS(ROW(BH181),$C181+COLUMN($E181)),TRUE),INDIRECT(ADDRESS(MATCH("START"&amp;OFFSET(BH181,0,COLUMN($B181)-COLUMN(BH181)),$A:$A,0),COLUMN(BH181))&amp;":"&amp;ADDRESS(MATCH("END"&amp;OFFSET(BH181,0,COLUMN($B181)-COLUMN(BH181)),$A:$A,0),COLUMN(BH181)),TRUE)))))</f>
        <v>0</v>
      </c>
      <c r="BI181" s="360">
        <f t="shared" ca="1" si="322"/>
        <v>0</v>
      </c>
      <c r="BJ181" s="357">
        <f ca="1">IF(OFFSET(BJ181,ROW(BJ$2)-ROW(BJ181),0)="TT","TT",IF(OFFSET(BJ181,0,COLUMN($M181)-COLUMN(BJ181))="%",ROUND(OFFSET(BJ181,-2,0)*0.07,0),IF(OFFSET(BJ181,0,COLUMN($M181)-COLUMN(BJ181))="V","x",SUMIF(INDIRECT(ADDRESS(MATCH("START"&amp;OFFSET(BJ181,0,COLUMN($B181)-COLUMN(BJ181)),$A:$A,0),$C181+COLUMN($E181)+1)&amp;":"&amp;ADDRESS(MATCH("END"&amp;OFFSET(BJ181,0,COLUMN($B181)-COLUMN(BJ181)),$A:$A,0),$C181+COLUMN($E181)+1),TRUE),INDIRECT(ADDRESS(ROW(BJ181),$C181+COLUMN($E181)),TRUE),INDIRECT(ADDRESS(MATCH("START"&amp;OFFSET(BJ181,0,COLUMN($B181)-COLUMN(BJ181)),$A:$A,0),COLUMN(BJ181))&amp;":"&amp;ADDRESS(MATCH("END"&amp;OFFSET(BJ181,0,COLUMN($B181)-COLUMN(BJ181)),$A:$A,0),COLUMN(BJ181)),TRUE)))))</f>
        <v>0</v>
      </c>
      <c r="BK181" s="358"/>
      <c r="BL181" s="359">
        <f t="shared" ref="BL181:BL211" ca="1" si="335">IF(OFFSET(BL181,ROW(BL$2)-ROW(BL181),0)="TT","TT",IF(OFFSET(BL181,0,COLUMN($M181)-COLUMN(BL181))="%",ROUND((OFFSET(BL181,-2,0)-OFFSET(BL181,-21,0))*0.07,2),IF(OFFSET(BL181,0,COLUMN($M181)-COLUMN(BL181))="V",ROUND(OFFSET(BL181,0,-2)*OFFSET(BL181,0,-1),2),SUMIF(INDIRECT(ADDRESS(MATCH("START"&amp;OFFSET(BL181,0,COLUMN($B181)-COLUMN(BL181)),$A:$A,0),$C181+COLUMN($E181)+1)&amp;":"&amp;ADDRESS(MATCH("END"&amp;OFFSET(BL181,0,COLUMN($B181)-COLUMN(BL181)),$A:$A,0),$C181+COLUMN($E181)+1),TRUE),INDIRECT(ADDRESS(ROW(BL181),$C181+COLUMN($E181)),TRUE),INDIRECT(ADDRESS(MATCH("START"&amp;OFFSET(BL181,0,COLUMN($B181)-COLUMN(BL181)),$A:$A,0),COLUMN(BL181))&amp;":"&amp;ADDRESS(MATCH("END"&amp;OFFSET(BL181,0,COLUMN($B181)-COLUMN(BL181)),$A:$A,0),COLUMN(BL181)),TRUE)))))</f>
        <v>0</v>
      </c>
      <c r="BM181" s="360">
        <f t="shared" ca="1" si="323"/>
        <v>0</v>
      </c>
      <c r="BN181" s="360">
        <f t="shared" ca="1" si="323"/>
        <v>0</v>
      </c>
      <c r="BP181" s="246"/>
    </row>
    <row r="182" spans="1:68">
      <c r="A182" s="221" t="str">
        <f t="shared" ca="1" si="310"/>
        <v>WP006</v>
      </c>
      <c r="B182" s="221" t="str">
        <f t="shared" ca="1" si="311"/>
        <v>WP006</v>
      </c>
      <c r="C182" s="221">
        <v>7</v>
      </c>
      <c r="D182" s="221" t="s">
        <v>79</v>
      </c>
      <c r="L182" s="221" t="s">
        <v>77</v>
      </c>
      <c r="M182" s="221" t="s">
        <v>80</v>
      </c>
      <c r="N182" s="461"/>
      <c r="O182" s="247"/>
      <c r="P182" s="248"/>
      <c r="Q182" s="249" t="str">
        <f>EMP_TYPE1</f>
        <v>Type 1</v>
      </c>
      <c r="R182" s="361">
        <f t="shared" ref="R182:S191" ca="1" si="336">INDIRECT("'"&amp; MID(OFFSET(R182,ROW(R$3)-ROW(R182),IF(OFFSET(R182,ROW(R$2)-ROW(R182),2)="T",0,IF(OFFSET(R182,ROW(R$2)-ROW(R182),1)="T",-1,-2))),1,6) &amp; "'!" &amp; ADDRESS(ROW(R182),MATCH(INDIRECT(ADDRESS(2,COLUMN(R182)+IF(OFFSET(R182,ROW(R$2)-ROW(R182),2)="T",1,IF(OFFSET(R182,ROW(R$2)-ROW(R182),1)="T",0,-1))),TRUE),INDIRECT("'"&amp; MID(OFFSET(R182,ROW(R$3)-ROW(R182),IF(OFFSET(R182,ROW(R$2)-ROW(R182),2)="T",0,IF(OFFSET(R182,ROW(R$2)-ROW(R182),1)="T",-1,-2))),1,6) &amp; "'!2:2",TRUE),0)-IF(OFFSET(R182,ROW(R$2)-ROW(R182),2)="T",1,IF(OFFSET(R182,ROW(R$2)-ROW(R182),1)="T",0,-1))),TRUE)</f>
        <v>0</v>
      </c>
      <c r="S182" s="362">
        <f t="shared" ca="1" si="336"/>
        <v>0</v>
      </c>
      <c r="T182" s="363">
        <f t="shared" ca="1" si="324"/>
        <v>0</v>
      </c>
      <c r="U182" s="360">
        <f t="shared" ca="1" si="312"/>
        <v>0</v>
      </c>
      <c r="V182" s="361">
        <f t="shared" ref="V182:W191" ca="1" si="337">INDIRECT("'"&amp; MID(OFFSET(V182,ROW(V$3)-ROW(V182),IF(OFFSET(V182,ROW(V$2)-ROW(V182),2)="T",0,IF(OFFSET(V182,ROW(V$2)-ROW(V182),1)="T",-1,-2))),1,6) &amp; "'!" &amp; ADDRESS(ROW(V182),MATCH(INDIRECT(ADDRESS(2,COLUMN(V182)+IF(OFFSET(V182,ROW(V$2)-ROW(V182),2)="T",1,IF(OFFSET(V182,ROW(V$2)-ROW(V182),1)="T",0,-1))),TRUE),INDIRECT("'"&amp; MID(OFFSET(V182,ROW(V$3)-ROW(V182),IF(OFFSET(V182,ROW(V$2)-ROW(V182),2)="T",0,IF(OFFSET(V182,ROW(V$2)-ROW(V182),1)="T",-1,-2))),1,6) &amp; "'!2:2",TRUE),0)-IF(OFFSET(V182,ROW(V$2)-ROW(V182),2)="T",1,IF(OFFSET(V182,ROW(V$2)-ROW(V182),1)="T",0,-1))),TRUE)</f>
        <v>0</v>
      </c>
      <c r="W182" s="362">
        <f t="shared" ca="1" si="337"/>
        <v>0</v>
      </c>
      <c r="X182" s="363">
        <f t="shared" ca="1" si="325"/>
        <v>0</v>
      </c>
      <c r="Y182" s="360">
        <f t="shared" ca="1" si="313"/>
        <v>0</v>
      </c>
      <c r="Z182" s="361">
        <f t="shared" ref="Z182:AA191" ca="1" si="338">INDIRECT("'"&amp; MID(OFFSET(Z182,ROW(Z$3)-ROW(Z182),IF(OFFSET(Z182,ROW(Z$2)-ROW(Z182),2)="T",0,IF(OFFSET(Z182,ROW(Z$2)-ROW(Z182),1)="T",-1,-2))),1,6) &amp; "'!" &amp; ADDRESS(ROW(Z182),MATCH(INDIRECT(ADDRESS(2,COLUMN(Z182)+IF(OFFSET(Z182,ROW(Z$2)-ROW(Z182),2)="T",1,IF(OFFSET(Z182,ROW(Z$2)-ROW(Z182),1)="T",0,-1))),TRUE),INDIRECT("'"&amp; MID(OFFSET(Z182,ROW(Z$3)-ROW(Z182),IF(OFFSET(Z182,ROW(Z$2)-ROW(Z182),2)="T",0,IF(OFFSET(Z182,ROW(Z$2)-ROW(Z182),1)="T",-1,-2))),1,6) &amp; "'!2:2",TRUE),0)-IF(OFFSET(Z182,ROW(Z$2)-ROW(Z182),2)="T",1,IF(OFFSET(Z182,ROW(Z$2)-ROW(Z182),1)="T",0,-1))),TRUE)</f>
        <v>0</v>
      </c>
      <c r="AA182" s="362">
        <f t="shared" ca="1" si="338"/>
        <v>0</v>
      </c>
      <c r="AB182" s="363">
        <f t="shared" ca="1" si="326"/>
        <v>0</v>
      </c>
      <c r="AC182" s="360">
        <f t="shared" ca="1" si="314"/>
        <v>0</v>
      </c>
      <c r="AD182" s="361">
        <f t="shared" ref="AD182:AE191" ca="1" si="339">INDIRECT("'"&amp; MID(OFFSET(AD182,ROW(AD$3)-ROW(AD182),IF(OFFSET(AD182,ROW(AD$2)-ROW(AD182),2)="T",0,IF(OFFSET(AD182,ROW(AD$2)-ROW(AD182),1)="T",-1,-2))),1,6) &amp; "'!" &amp; ADDRESS(ROW(AD182),MATCH(INDIRECT(ADDRESS(2,COLUMN(AD182)+IF(OFFSET(AD182,ROW(AD$2)-ROW(AD182),2)="T",1,IF(OFFSET(AD182,ROW(AD$2)-ROW(AD182),1)="T",0,-1))),TRUE),INDIRECT("'"&amp; MID(OFFSET(AD182,ROW(AD$3)-ROW(AD182),IF(OFFSET(AD182,ROW(AD$2)-ROW(AD182),2)="T",0,IF(OFFSET(AD182,ROW(AD$2)-ROW(AD182),1)="T",-1,-2))),1,6) &amp; "'!2:2",TRUE),0)-IF(OFFSET(AD182,ROW(AD$2)-ROW(AD182),2)="T",1,IF(OFFSET(AD182,ROW(AD$2)-ROW(AD182),1)="T",0,-1))),TRUE)</f>
        <v>0</v>
      </c>
      <c r="AE182" s="362">
        <f t="shared" ca="1" si="339"/>
        <v>0</v>
      </c>
      <c r="AF182" s="363">
        <f t="shared" ca="1" si="327"/>
        <v>0</v>
      </c>
      <c r="AG182" s="360">
        <f t="shared" ca="1" si="315"/>
        <v>0</v>
      </c>
      <c r="AH182" s="361">
        <f t="shared" ref="AH182:AI191" ca="1" si="340">INDIRECT("'"&amp; MID(OFFSET(AH182,ROW(AH$3)-ROW(AH182),IF(OFFSET(AH182,ROW(AH$2)-ROW(AH182),2)="T",0,IF(OFFSET(AH182,ROW(AH$2)-ROW(AH182),1)="T",-1,-2))),1,6) &amp; "'!" &amp; ADDRESS(ROW(AH182),MATCH(INDIRECT(ADDRESS(2,COLUMN(AH182)+IF(OFFSET(AH182,ROW(AH$2)-ROW(AH182),2)="T",1,IF(OFFSET(AH182,ROW(AH$2)-ROW(AH182),1)="T",0,-1))),TRUE),INDIRECT("'"&amp; MID(OFFSET(AH182,ROW(AH$3)-ROW(AH182),IF(OFFSET(AH182,ROW(AH$2)-ROW(AH182),2)="T",0,IF(OFFSET(AH182,ROW(AH$2)-ROW(AH182),1)="T",-1,-2))),1,6) &amp; "'!2:2",TRUE),0)-IF(OFFSET(AH182,ROW(AH$2)-ROW(AH182),2)="T",1,IF(OFFSET(AH182,ROW(AH$2)-ROW(AH182),1)="T",0,-1))),TRUE)</f>
        <v>0</v>
      </c>
      <c r="AI182" s="362">
        <f t="shared" ca="1" si="340"/>
        <v>0</v>
      </c>
      <c r="AJ182" s="363">
        <f t="shared" ca="1" si="328"/>
        <v>0</v>
      </c>
      <c r="AK182" s="360">
        <f t="shared" ca="1" si="316"/>
        <v>0</v>
      </c>
      <c r="AL182" s="361">
        <f t="shared" ref="AL182:AM191" ca="1" si="341">INDIRECT("'"&amp; MID(OFFSET(AL182,ROW(AL$3)-ROW(AL182),IF(OFFSET(AL182,ROW(AL$2)-ROW(AL182),2)="T",0,IF(OFFSET(AL182,ROW(AL$2)-ROW(AL182),1)="T",-1,-2))),1,6) &amp; "'!" &amp; ADDRESS(ROW(AL182),MATCH(INDIRECT(ADDRESS(2,COLUMN(AL182)+IF(OFFSET(AL182,ROW(AL$2)-ROW(AL182),2)="T",1,IF(OFFSET(AL182,ROW(AL$2)-ROW(AL182),1)="T",0,-1))),TRUE),INDIRECT("'"&amp; MID(OFFSET(AL182,ROW(AL$3)-ROW(AL182),IF(OFFSET(AL182,ROW(AL$2)-ROW(AL182),2)="T",0,IF(OFFSET(AL182,ROW(AL$2)-ROW(AL182),1)="T",-1,-2))),1,6) &amp; "'!2:2",TRUE),0)-IF(OFFSET(AL182,ROW(AL$2)-ROW(AL182),2)="T",1,IF(OFFSET(AL182,ROW(AL$2)-ROW(AL182),1)="T",0,-1))),TRUE)</f>
        <v>0</v>
      </c>
      <c r="AM182" s="362">
        <f t="shared" ca="1" si="341"/>
        <v>0</v>
      </c>
      <c r="AN182" s="363">
        <f t="shared" ca="1" si="329"/>
        <v>0</v>
      </c>
      <c r="AO182" s="360">
        <f t="shared" ca="1" si="317"/>
        <v>0</v>
      </c>
      <c r="AP182" s="361">
        <f t="shared" ref="AP182:AQ191" ca="1" si="342">INDIRECT("'"&amp; MID(OFFSET(AP182,ROW(AP$3)-ROW(AP182),IF(OFFSET(AP182,ROW(AP$2)-ROW(AP182),2)="T",0,IF(OFFSET(AP182,ROW(AP$2)-ROW(AP182),1)="T",-1,-2))),1,6) &amp; "'!" &amp; ADDRESS(ROW(AP182),MATCH(INDIRECT(ADDRESS(2,COLUMN(AP182)+IF(OFFSET(AP182,ROW(AP$2)-ROW(AP182),2)="T",1,IF(OFFSET(AP182,ROW(AP$2)-ROW(AP182),1)="T",0,-1))),TRUE),INDIRECT("'"&amp; MID(OFFSET(AP182,ROW(AP$3)-ROW(AP182),IF(OFFSET(AP182,ROW(AP$2)-ROW(AP182),2)="T",0,IF(OFFSET(AP182,ROW(AP$2)-ROW(AP182),1)="T",-1,-2))),1,6) &amp; "'!2:2",TRUE),0)-IF(OFFSET(AP182,ROW(AP$2)-ROW(AP182),2)="T",1,IF(OFFSET(AP182,ROW(AP$2)-ROW(AP182),1)="T",0,-1))),TRUE)</f>
        <v>0</v>
      </c>
      <c r="AQ182" s="362">
        <f t="shared" ca="1" si="342"/>
        <v>0</v>
      </c>
      <c r="AR182" s="363">
        <f t="shared" ca="1" si="330"/>
        <v>0</v>
      </c>
      <c r="AS182" s="360">
        <f t="shared" ca="1" si="318"/>
        <v>0</v>
      </c>
      <c r="AT182" s="361">
        <f t="shared" ref="AT182:AU191" ca="1" si="343">INDIRECT("'"&amp; MID(OFFSET(AT182,ROW(AT$3)-ROW(AT182),IF(OFFSET(AT182,ROW(AT$2)-ROW(AT182),2)="T",0,IF(OFFSET(AT182,ROW(AT$2)-ROW(AT182),1)="T",-1,-2))),1,6) &amp; "'!" &amp; ADDRESS(ROW(AT182),MATCH(INDIRECT(ADDRESS(2,COLUMN(AT182)+IF(OFFSET(AT182,ROW(AT$2)-ROW(AT182),2)="T",1,IF(OFFSET(AT182,ROW(AT$2)-ROW(AT182),1)="T",0,-1))),TRUE),INDIRECT("'"&amp; MID(OFFSET(AT182,ROW(AT$3)-ROW(AT182),IF(OFFSET(AT182,ROW(AT$2)-ROW(AT182),2)="T",0,IF(OFFSET(AT182,ROW(AT$2)-ROW(AT182),1)="T",-1,-2))),1,6) &amp; "'!2:2",TRUE),0)-IF(OFFSET(AT182,ROW(AT$2)-ROW(AT182),2)="T",1,IF(OFFSET(AT182,ROW(AT$2)-ROW(AT182),1)="T",0,-1))),TRUE)</f>
        <v>0</v>
      </c>
      <c r="AU182" s="362">
        <f t="shared" ca="1" si="343"/>
        <v>0</v>
      </c>
      <c r="AV182" s="363">
        <f t="shared" ca="1" si="331"/>
        <v>0</v>
      </c>
      <c r="AW182" s="360">
        <f t="shared" ca="1" si="319"/>
        <v>0</v>
      </c>
      <c r="AX182" s="361">
        <f t="shared" ref="AX182:AY191" ca="1" si="344">INDIRECT("'"&amp; MID(OFFSET(AX182,ROW(AX$3)-ROW(AX182),IF(OFFSET(AX182,ROW(AX$2)-ROW(AX182),2)="T",0,IF(OFFSET(AX182,ROW(AX$2)-ROW(AX182),1)="T",-1,-2))),1,6) &amp; "'!" &amp; ADDRESS(ROW(AX182),MATCH(INDIRECT(ADDRESS(2,COLUMN(AX182)+IF(OFFSET(AX182,ROW(AX$2)-ROW(AX182),2)="T",1,IF(OFFSET(AX182,ROW(AX$2)-ROW(AX182),1)="T",0,-1))),TRUE),INDIRECT("'"&amp; MID(OFFSET(AX182,ROW(AX$3)-ROW(AX182),IF(OFFSET(AX182,ROW(AX$2)-ROW(AX182),2)="T",0,IF(OFFSET(AX182,ROW(AX$2)-ROW(AX182),1)="T",-1,-2))),1,6) &amp; "'!2:2",TRUE),0)-IF(OFFSET(AX182,ROW(AX$2)-ROW(AX182),2)="T",1,IF(OFFSET(AX182,ROW(AX$2)-ROW(AX182),1)="T",0,-1))),TRUE)</f>
        <v>0</v>
      </c>
      <c r="AY182" s="362">
        <f t="shared" ca="1" si="344"/>
        <v>0</v>
      </c>
      <c r="AZ182" s="363">
        <f t="shared" ca="1" si="332"/>
        <v>0</v>
      </c>
      <c r="BA182" s="360">
        <f t="shared" ca="1" si="320"/>
        <v>0</v>
      </c>
      <c r="BB182" s="361">
        <f t="shared" ref="BB182:BC191" ca="1" si="345">INDIRECT("'"&amp; MID(OFFSET(BB182,ROW(BB$3)-ROW(BB182),IF(OFFSET(BB182,ROW(BB$2)-ROW(BB182),2)="T",0,IF(OFFSET(BB182,ROW(BB$2)-ROW(BB182),1)="T",-1,-2))),1,6) &amp; "'!" &amp; ADDRESS(ROW(BB182),MATCH(INDIRECT(ADDRESS(2,COLUMN(BB182)+IF(OFFSET(BB182,ROW(BB$2)-ROW(BB182),2)="T",1,IF(OFFSET(BB182,ROW(BB$2)-ROW(BB182),1)="T",0,-1))),TRUE),INDIRECT("'"&amp; MID(OFFSET(BB182,ROW(BB$3)-ROW(BB182),IF(OFFSET(BB182,ROW(BB$2)-ROW(BB182),2)="T",0,IF(OFFSET(BB182,ROW(BB$2)-ROW(BB182),1)="T",-1,-2))),1,6) &amp; "'!2:2",TRUE),0)-IF(OFFSET(BB182,ROW(BB$2)-ROW(BB182),2)="T",1,IF(OFFSET(BB182,ROW(BB$2)-ROW(BB182),1)="T",0,-1))),TRUE)</f>
        <v>0</v>
      </c>
      <c r="BC182" s="362">
        <f t="shared" ca="1" si="345"/>
        <v>0</v>
      </c>
      <c r="BD182" s="363">
        <f t="shared" ca="1" si="333"/>
        <v>0</v>
      </c>
      <c r="BE182" s="360">
        <f t="shared" ca="1" si="321"/>
        <v>0</v>
      </c>
      <c r="BF182" s="361">
        <f t="shared" ref="BF182:BG191" ca="1" si="346">INDIRECT("'"&amp; MID(OFFSET(BF182,ROW(BF$3)-ROW(BF182),IF(OFFSET(BF182,ROW(BF$2)-ROW(BF182),2)="T",0,IF(OFFSET(BF182,ROW(BF$2)-ROW(BF182),1)="T",-1,-2))),1,6) &amp; "'!" &amp; ADDRESS(ROW(BF182),MATCH(INDIRECT(ADDRESS(2,COLUMN(BF182)+IF(OFFSET(BF182,ROW(BF$2)-ROW(BF182),2)="T",1,IF(OFFSET(BF182,ROW(BF$2)-ROW(BF182),1)="T",0,-1))),TRUE),INDIRECT("'"&amp; MID(OFFSET(BF182,ROW(BF$3)-ROW(BF182),IF(OFFSET(BF182,ROW(BF$2)-ROW(BF182),2)="T",0,IF(OFFSET(BF182,ROW(BF$2)-ROW(BF182),1)="T",-1,-2))),1,6) &amp; "'!2:2",TRUE),0)-IF(OFFSET(BF182,ROW(BF$2)-ROW(BF182),2)="T",1,IF(OFFSET(BF182,ROW(BF$2)-ROW(BF182),1)="T",0,-1))),TRUE)</f>
        <v>0</v>
      </c>
      <c r="BG182" s="362">
        <f t="shared" ca="1" si="346"/>
        <v>0</v>
      </c>
      <c r="BH182" s="363">
        <f t="shared" ca="1" si="334"/>
        <v>0</v>
      </c>
      <c r="BI182" s="360">
        <f t="shared" ca="1" si="322"/>
        <v>0</v>
      </c>
      <c r="BJ182" s="361">
        <f t="shared" ref="BJ182:BK191" ca="1" si="347">INDIRECT("'"&amp; MID(OFFSET(BJ182,ROW(BJ$3)-ROW(BJ182),IF(OFFSET(BJ182,ROW(BJ$2)-ROW(BJ182),2)="T",0,IF(OFFSET(BJ182,ROW(BJ$2)-ROW(BJ182),1)="T",-1,-2))),1,6) &amp; "'!" &amp; ADDRESS(ROW(BJ182),MATCH(INDIRECT(ADDRESS(2,COLUMN(BJ182)+IF(OFFSET(BJ182,ROW(BJ$2)-ROW(BJ182),2)="T",1,IF(OFFSET(BJ182,ROW(BJ$2)-ROW(BJ182),1)="T",0,-1))),TRUE),INDIRECT("'"&amp; MID(OFFSET(BJ182,ROW(BJ$3)-ROW(BJ182),IF(OFFSET(BJ182,ROW(BJ$2)-ROW(BJ182),2)="T",0,IF(OFFSET(BJ182,ROW(BJ$2)-ROW(BJ182),1)="T",-1,-2))),1,6) &amp; "'!2:2",TRUE),0)-IF(OFFSET(BJ182,ROW(BJ$2)-ROW(BJ182),2)="T",1,IF(OFFSET(BJ182,ROW(BJ$2)-ROW(BJ182),1)="T",0,-1))),TRUE)</f>
        <v>0</v>
      </c>
      <c r="BK182" s="362">
        <f t="shared" ca="1" si="347"/>
        <v>0</v>
      </c>
      <c r="BL182" s="363">
        <f t="shared" ca="1" si="335"/>
        <v>0</v>
      </c>
      <c r="BM182" s="360">
        <f t="shared" ca="1" si="323"/>
        <v>0</v>
      </c>
      <c r="BN182" s="360">
        <f t="shared" ca="1" si="323"/>
        <v>0</v>
      </c>
      <c r="BP182" s="246"/>
    </row>
    <row r="183" spans="1:68">
      <c r="A183" s="221" t="str">
        <f t="shared" ca="1" si="310"/>
        <v>WP006</v>
      </c>
      <c r="B183" s="221" t="str">
        <f t="shared" ca="1" si="311"/>
        <v>WP006</v>
      </c>
      <c r="C183" s="221">
        <v>7</v>
      </c>
      <c r="D183" s="221" t="s">
        <v>81</v>
      </c>
      <c r="L183" s="221" t="s">
        <v>77</v>
      </c>
      <c r="M183" s="221" t="s">
        <v>80</v>
      </c>
      <c r="N183" s="461"/>
      <c r="O183" s="247"/>
      <c r="P183" s="248"/>
      <c r="Q183" s="249" t="str">
        <f>EMP_TYPE2</f>
        <v>Type 2</v>
      </c>
      <c r="R183" s="361">
        <f t="shared" ca="1" si="336"/>
        <v>0</v>
      </c>
      <c r="S183" s="362">
        <f t="shared" ca="1" si="336"/>
        <v>0</v>
      </c>
      <c r="T183" s="363">
        <f t="shared" ca="1" si="324"/>
        <v>0</v>
      </c>
      <c r="U183" s="360">
        <f t="shared" ca="1" si="312"/>
        <v>0</v>
      </c>
      <c r="V183" s="361">
        <f t="shared" ca="1" si="337"/>
        <v>0</v>
      </c>
      <c r="W183" s="362">
        <f t="shared" ca="1" si="337"/>
        <v>0</v>
      </c>
      <c r="X183" s="363">
        <f t="shared" ca="1" si="325"/>
        <v>0</v>
      </c>
      <c r="Y183" s="360">
        <f t="shared" ca="1" si="313"/>
        <v>0</v>
      </c>
      <c r="Z183" s="361">
        <f t="shared" ca="1" si="338"/>
        <v>0</v>
      </c>
      <c r="AA183" s="362">
        <f t="shared" ca="1" si="338"/>
        <v>0</v>
      </c>
      <c r="AB183" s="363">
        <f t="shared" ca="1" si="326"/>
        <v>0</v>
      </c>
      <c r="AC183" s="360">
        <f t="shared" ca="1" si="314"/>
        <v>0</v>
      </c>
      <c r="AD183" s="361">
        <f t="shared" ca="1" si="339"/>
        <v>0</v>
      </c>
      <c r="AE183" s="362">
        <f t="shared" ca="1" si="339"/>
        <v>0</v>
      </c>
      <c r="AF183" s="363">
        <f t="shared" ca="1" si="327"/>
        <v>0</v>
      </c>
      <c r="AG183" s="360">
        <f t="shared" ca="1" si="315"/>
        <v>0</v>
      </c>
      <c r="AH183" s="361">
        <f t="shared" ca="1" si="340"/>
        <v>0</v>
      </c>
      <c r="AI183" s="362">
        <f t="shared" ca="1" si="340"/>
        <v>0</v>
      </c>
      <c r="AJ183" s="363">
        <f t="shared" ca="1" si="328"/>
        <v>0</v>
      </c>
      <c r="AK183" s="360">
        <f t="shared" ca="1" si="316"/>
        <v>0</v>
      </c>
      <c r="AL183" s="361">
        <f t="shared" ca="1" si="341"/>
        <v>0</v>
      </c>
      <c r="AM183" s="362">
        <f t="shared" ca="1" si="341"/>
        <v>0</v>
      </c>
      <c r="AN183" s="363">
        <f t="shared" ca="1" si="329"/>
        <v>0</v>
      </c>
      <c r="AO183" s="360">
        <f t="shared" ca="1" si="317"/>
        <v>0</v>
      </c>
      <c r="AP183" s="361">
        <f t="shared" ca="1" si="342"/>
        <v>0</v>
      </c>
      <c r="AQ183" s="362">
        <f t="shared" ca="1" si="342"/>
        <v>0</v>
      </c>
      <c r="AR183" s="363">
        <f t="shared" ca="1" si="330"/>
        <v>0</v>
      </c>
      <c r="AS183" s="360">
        <f t="shared" ca="1" si="318"/>
        <v>0</v>
      </c>
      <c r="AT183" s="361">
        <f t="shared" ca="1" si="343"/>
        <v>0</v>
      </c>
      <c r="AU183" s="362">
        <f t="shared" ca="1" si="343"/>
        <v>0</v>
      </c>
      <c r="AV183" s="363">
        <f t="shared" ca="1" si="331"/>
        <v>0</v>
      </c>
      <c r="AW183" s="360">
        <f t="shared" ca="1" si="319"/>
        <v>0</v>
      </c>
      <c r="AX183" s="361">
        <f t="shared" ca="1" si="344"/>
        <v>0</v>
      </c>
      <c r="AY183" s="362">
        <f t="shared" ca="1" si="344"/>
        <v>0</v>
      </c>
      <c r="AZ183" s="363">
        <f t="shared" ca="1" si="332"/>
        <v>0</v>
      </c>
      <c r="BA183" s="360">
        <f t="shared" ca="1" si="320"/>
        <v>0</v>
      </c>
      <c r="BB183" s="361">
        <f t="shared" ca="1" si="345"/>
        <v>0</v>
      </c>
      <c r="BC183" s="362">
        <f t="shared" ca="1" si="345"/>
        <v>0</v>
      </c>
      <c r="BD183" s="363">
        <f t="shared" ca="1" si="333"/>
        <v>0</v>
      </c>
      <c r="BE183" s="360">
        <f t="shared" ca="1" si="321"/>
        <v>0</v>
      </c>
      <c r="BF183" s="361">
        <f t="shared" ca="1" si="346"/>
        <v>0</v>
      </c>
      <c r="BG183" s="362">
        <f t="shared" ca="1" si="346"/>
        <v>0</v>
      </c>
      <c r="BH183" s="363">
        <f t="shared" ca="1" si="334"/>
        <v>0</v>
      </c>
      <c r="BI183" s="360">
        <f t="shared" ca="1" si="322"/>
        <v>0</v>
      </c>
      <c r="BJ183" s="361">
        <f t="shared" ca="1" si="347"/>
        <v>0</v>
      </c>
      <c r="BK183" s="362">
        <f t="shared" ca="1" si="347"/>
        <v>0</v>
      </c>
      <c r="BL183" s="363">
        <f t="shared" ca="1" si="335"/>
        <v>0</v>
      </c>
      <c r="BM183" s="360">
        <f t="shared" ca="1" si="323"/>
        <v>0</v>
      </c>
      <c r="BN183" s="360">
        <f t="shared" ca="1" si="323"/>
        <v>0</v>
      </c>
      <c r="BP183" s="246"/>
    </row>
    <row r="184" spans="1:68">
      <c r="A184" s="221" t="str">
        <f t="shared" ca="1" si="310"/>
        <v>WP006</v>
      </c>
      <c r="B184" s="221" t="str">
        <f t="shared" ca="1" si="311"/>
        <v>WP006</v>
      </c>
      <c r="C184" s="221">
        <v>7</v>
      </c>
      <c r="D184" s="221" t="s">
        <v>82</v>
      </c>
      <c r="L184" s="221" t="s">
        <v>77</v>
      </c>
      <c r="M184" s="221" t="s">
        <v>80</v>
      </c>
      <c r="N184" s="461"/>
      <c r="O184" s="247"/>
      <c r="P184" s="248"/>
      <c r="Q184" s="249" t="str">
        <f>EMP_TYPE3</f>
        <v>Type 3</v>
      </c>
      <c r="R184" s="361">
        <f t="shared" ca="1" si="336"/>
        <v>0</v>
      </c>
      <c r="S184" s="362">
        <f t="shared" ca="1" si="336"/>
        <v>0</v>
      </c>
      <c r="T184" s="363">
        <f t="shared" ca="1" si="324"/>
        <v>0</v>
      </c>
      <c r="U184" s="360">
        <f t="shared" ca="1" si="312"/>
        <v>0</v>
      </c>
      <c r="V184" s="361">
        <f t="shared" ca="1" si="337"/>
        <v>0</v>
      </c>
      <c r="W184" s="362">
        <f t="shared" ca="1" si="337"/>
        <v>0</v>
      </c>
      <c r="X184" s="363">
        <f t="shared" ca="1" si="325"/>
        <v>0</v>
      </c>
      <c r="Y184" s="360">
        <f t="shared" ca="1" si="313"/>
        <v>0</v>
      </c>
      <c r="Z184" s="361">
        <f t="shared" ca="1" si="338"/>
        <v>0</v>
      </c>
      <c r="AA184" s="362">
        <f t="shared" ca="1" si="338"/>
        <v>0</v>
      </c>
      <c r="AB184" s="363">
        <f t="shared" ca="1" si="326"/>
        <v>0</v>
      </c>
      <c r="AC184" s="360">
        <f t="shared" ca="1" si="314"/>
        <v>0</v>
      </c>
      <c r="AD184" s="361">
        <f t="shared" ca="1" si="339"/>
        <v>0</v>
      </c>
      <c r="AE184" s="362">
        <f t="shared" ca="1" si="339"/>
        <v>0</v>
      </c>
      <c r="AF184" s="363">
        <f t="shared" ca="1" si="327"/>
        <v>0</v>
      </c>
      <c r="AG184" s="360">
        <f t="shared" ca="1" si="315"/>
        <v>0</v>
      </c>
      <c r="AH184" s="361">
        <f t="shared" ca="1" si="340"/>
        <v>0</v>
      </c>
      <c r="AI184" s="362">
        <f t="shared" ca="1" si="340"/>
        <v>0</v>
      </c>
      <c r="AJ184" s="363">
        <f t="shared" ca="1" si="328"/>
        <v>0</v>
      </c>
      <c r="AK184" s="360">
        <f t="shared" ca="1" si="316"/>
        <v>0</v>
      </c>
      <c r="AL184" s="361">
        <f t="shared" ca="1" si="341"/>
        <v>0</v>
      </c>
      <c r="AM184" s="362">
        <f t="shared" ca="1" si="341"/>
        <v>0</v>
      </c>
      <c r="AN184" s="363">
        <f t="shared" ca="1" si="329"/>
        <v>0</v>
      </c>
      <c r="AO184" s="360">
        <f t="shared" ca="1" si="317"/>
        <v>0</v>
      </c>
      <c r="AP184" s="361">
        <f t="shared" ca="1" si="342"/>
        <v>0</v>
      </c>
      <c r="AQ184" s="362">
        <f t="shared" ca="1" si="342"/>
        <v>0</v>
      </c>
      <c r="AR184" s="363">
        <f t="shared" ca="1" si="330"/>
        <v>0</v>
      </c>
      <c r="AS184" s="360">
        <f t="shared" ca="1" si="318"/>
        <v>0</v>
      </c>
      <c r="AT184" s="361">
        <f t="shared" ca="1" si="343"/>
        <v>0</v>
      </c>
      <c r="AU184" s="362">
        <f t="shared" ca="1" si="343"/>
        <v>0</v>
      </c>
      <c r="AV184" s="363">
        <f t="shared" ca="1" si="331"/>
        <v>0</v>
      </c>
      <c r="AW184" s="360">
        <f t="shared" ca="1" si="319"/>
        <v>0</v>
      </c>
      <c r="AX184" s="361">
        <f t="shared" ca="1" si="344"/>
        <v>0</v>
      </c>
      <c r="AY184" s="362">
        <f t="shared" ca="1" si="344"/>
        <v>0</v>
      </c>
      <c r="AZ184" s="363">
        <f t="shared" ca="1" si="332"/>
        <v>0</v>
      </c>
      <c r="BA184" s="360">
        <f t="shared" ca="1" si="320"/>
        <v>0</v>
      </c>
      <c r="BB184" s="361">
        <f t="shared" ca="1" si="345"/>
        <v>0</v>
      </c>
      <c r="BC184" s="362">
        <f t="shared" ca="1" si="345"/>
        <v>0</v>
      </c>
      <c r="BD184" s="363">
        <f t="shared" ca="1" si="333"/>
        <v>0</v>
      </c>
      <c r="BE184" s="360">
        <f t="shared" ca="1" si="321"/>
        <v>0</v>
      </c>
      <c r="BF184" s="361">
        <f t="shared" ca="1" si="346"/>
        <v>0</v>
      </c>
      <c r="BG184" s="362">
        <f t="shared" ca="1" si="346"/>
        <v>0</v>
      </c>
      <c r="BH184" s="363">
        <f t="shared" ca="1" si="334"/>
        <v>0</v>
      </c>
      <c r="BI184" s="360">
        <f t="shared" ca="1" si="322"/>
        <v>0</v>
      </c>
      <c r="BJ184" s="361">
        <f t="shared" ca="1" si="347"/>
        <v>0</v>
      </c>
      <c r="BK184" s="362">
        <f t="shared" ca="1" si="347"/>
        <v>0</v>
      </c>
      <c r="BL184" s="363">
        <f t="shared" ca="1" si="335"/>
        <v>0</v>
      </c>
      <c r="BM184" s="360">
        <f t="shared" ca="1" si="323"/>
        <v>0</v>
      </c>
      <c r="BN184" s="360">
        <f t="shared" ca="1" si="323"/>
        <v>0</v>
      </c>
      <c r="BP184" s="246"/>
    </row>
    <row r="185" spans="1:68">
      <c r="A185" s="221" t="str">
        <f t="shared" ca="1" si="310"/>
        <v>WP006</v>
      </c>
      <c r="B185" s="221" t="str">
        <f t="shared" ca="1" si="311"/>
        <v>WP006</v>
      </c>
      <c r="C185" s="221">
        <v>7</v>
      </c>
      <c r="D185" s="221" t="s">
        <v>83</v>
      </c>
      <c r="L185" s="221" t="s">
        <v>77</v>
      </c>
      <c r="M185" s="221" t="s">
        <v>80</v>
      </c>
      <c r="N185" s="461"/>
      <c r="O185" s="247"/>
      <c r="P185" s="248"/>
      <c r="Q185" s="249" t="str">
        <f>EMP_TYPE4</f>
        <v>Type 4</v>
      </c>
      <c r="R185" s="361">
        <f t="shared" ca="1" si="336"/>
        <v>0</v>
      </c>
      <c r="S185" s="362">
        <f t="shared" ca="1" si="336"/>
        <v>0</v>
      </c>
      <c r="T185" s="363">
        <f t="shared" ca="1" si="324"/>
        <v>0</v>
      </c>
      <c r="U185" s="360">
        <f t="shared" ca="1" si="312"/>
        <v>0</v>
      </c>
      <c r="V185" s="361">
        <f t="shared" ca="1" si="337"/>
        <v>0</v>
      </c>
      <c r="W185" s="362">
        <f t="shared" ca="1" si="337"/>
        <v>0</v>
      </c>
      <c r="X185" s="363">
        <f t="shared" ca="1" si="325"/>
        <v>0</v>
      </c>
      <c r="Y185" s="360">
        <f t="shared" ca="1" si="313"/>
        <v>0</v>
      </c>
      <c r="Z185" s="361">
        <f t="shared" ca="1" si="338"/>
        <v>0</v>
      </c>
      <c r="AA185" s="362">
        <f t="shared" ca="1" si="338"/>
        <v>0</v>
      </c>
      <c r="AB185" s="363">
        <f t="shared" ca="1" si="326"/>
        <v>0</v>
      </c>
      <c r="AC185" s="360">
        <f t="shared" ca="1" si="314"/>
        <v>0</v>
      </c>
      <c r="AD185" s="361">
        <f t="shared" ca="1" si="339"/>
        <v>0</v>
      </c>
      <c r="AE185" s="362">
        <f t="shared" ca="1" si="339"/>
        <v>0</v>
      </c>
      <c r="AF185" s="363">
        <f t="shared" ca="1" si="327"/>
        <v>0</v>
      </c>
      <c r="AG185" s="360">
        <f t="shared" ca="1" si="315"/>
        <v>0</v>
      </c>
      <c r="AH185" s="361">
        <f t="shared" ca="1" si="340"/>
        <v>0</v>
      </c>
      <c r="AI185" s="362">
        <f t="shared" ca="1" si="340"/>
        <v>0</v>
      </c>
      <c r="AJ185" s="363">
        <f t="shared" ca="1" si="328"/>
        <v>0</v>
      </c>
      <c r="AK185" s="360">
        <f t="shared" ca="1" si="316"/>
        <v>0</v>
      </c>
      <c r="AL185" s="361">
        <f t="shared" ca="1" si="341"/>
        <v>0</v>
      </c>
      <c r="AM185" s="362">
        <f t="shared" ca="1" si="341"/>
        <v>0</v>
      </c>
      <c r="AN185" s="363">
        <f t="shared" ca="1" si="329"/>
        <v>0</v>
      </c>
      <c r="AO185" s="360">
        <f t="shared" ca="1" si="317"/>
        <v>0</v>
      </c>
      <c r="AP185" s="361">
        <f t="shared" ca="1" si="342"/>
        <v>0</v>
      </c>
      <c r="AQ185" s="362">
        <f t="shared" ca="1" si="342"/>
        <v>0</v>
      </c>
      <c r="AR185" s="363">
        <f t="shared" ca="1" si="330"/>
        <v>0</v>
      </c>
      <c r="AS185" s="360">
        <f t="shared" ca="1" si="318"/>
        <v>0</v>
      </c>
      <c r="AT185" s="361">
        <f t="shared" ca="1" si="343"/>
        <v>0</v>
      </c>
      <c r="AU185" s="362">
        <f t="shared" ca="1" si="343"/>
        <v>0</v>
      </c>
      <c r="AV185" s="363">
        <f t="shared" ca="1" si="331"/>
        <v>0</v>
      </c>
      <c r="AW185" s="360">
        <f t="shared" ca="1" si="319"/>
        <v>0</v>
      </c>
      <c r="AX185" s="361">
        <f t="shared" ca="1" si="344"/>
        <v>0</v>
      </c>
      <c r="AY185" s="362">
        <f t="shared" ca="1" si="344"/>
        <v>0</v>
      </c>
      <c r="AZ185" s="363">
        <f t="shared" ca="1" si="332"/>
        <v>0</v>
      </c>
      <c r="BA185" s="360">
        <f t="shared" ca="1" si="320"/>
        <v>0</v>
      </c>
      <c r="BB185" s="361">
        <f t="shared" ca="1" si="345"/>
        <v>0</v>
      </c>
      <c r="BC185" s="362">
        <f t="shared" ca="1" si="345"/>
        <v>0</v>
      </c>
      <c r="BD185" s="363">
        <f t="shared" ca="1" si="333"/>
        <v>0</v>
      </c>
      <c r="BE185" s="360">
        <f t="shared" ca="1" si="321"/>
        <v>0</v>
      </c>
      <c r="BF185" s="361">
        <f t="shared" ca="1" si="346"/>
        <v>0</v>
      </c>
      <c r="BG185" s="362">
        <f t="shared" ca="1" si="346"/>
        <v>0</v>
      </c>
      <c r="BH185" s="363">
        <f t="shared" ca="1" si="334"/>
        <v>0</v>
      </c>
      <c r="BI185" s="360">
        <f t="shared" ca="1" si="322"/>
        <v>0</v>
      </c>
      <c r="BJ185" s="361">
        <f t="shared" ca="1" si="347"/>
        <v>0</v>
      </c>
      <c r="BK185" s="362">
        <f t="shared" ca="1" si="347"/>
        <v>0</v>
      </c>
      <c r="BL185" s="363">
        <f t="shared" ca="1" si="335"/>
        <v>0</v>
      </c>
      <c r="BM185" s="360">
        <f t="shared" ca="1" si="323"/>
        <v>0</v>
      </c>
      <c r="BN185" s="360">
        <f t="shared" ca="1" si="323"/>
        <v>0</v>
      </c>
      <c r="BP185" s="246"/>
    </row>
    <row r="186" spans="1:68">
      <c r="A186" s="221" t="str">
        <f t="shared" ca="1" si="310"/>
        <v>WP006</v>
      </c>
      <c r="B186" s="221" t="str">
        <f t="shared" ca="1" si="311"/>
        <v>WP006</v>
      </c>
      <c r="C186" s="221">
        <v>7</v>
      </c>
      <c r="D186" s="221" t="s">
        <v>84</v>
      </c>
      <c r="L186" s="221" t="s">
        <v>77</v>
      </c>
      <c r="M186" s="221" t="s">
        <v>80</v>
      </c>
      <c r="N186" s="461"/>
      <c r="O186" s="247"/>
      <c r="P186" s="248"/>
      <c r="Q186" s="249" t="str">
        <f>EMP_OTHER</f>
        <v>Type 5</v>
      </c>
      <c r="R186" s="361">
        <f t="shared" ca="1" si="336"/>
        <v>0</v>
      </c>
      <c r="S186" s="362">
        <f t="shared" ca="1" si="336"/>
        <v>0</v>
      </c>
      <c r="T186" s="363">
        <f t="shared" ca="1" si="324"/>
        <v>0</v>
      </c>
      <c r="U186" s="360">
        <f t="shared" ca="1" si="312"/>
        <v>0</v>
      </c>
      <c r="V186" s="361">
        <f t="shared" ca="1" si="337"/>
        <v>0</v>
      </c>
      <c r="W186" s="362">
        <f t="shared" ca="1" si="337"/>
        <v>0</v>
      </c>
      <c r="X186" s="363">
        <f t="shared" ca="1" si="325"/>
        <v>0</v>
      </c>
      <c r="Y186" s="360">
        <f t="shared" ca="1" si="313"/>
        <v>0</v>
      </c>
      <c r="Z186" s="361">
        <f t="shared" ca="1" si="338"/>
        <v>0</v>
      </c>
      <c r="AA186" s="362">
        <f t="shared" ca="1" si="338"/>
        <v>0</v>
      </c>
      <c r="AB186" s="363">
        <f t="shared" ca="1" si="326"/>
        <v>0</v>
      </c>
      <c r="AC186" s="360">
        <f t="shared" ca="1" si="314"/>
        <v>0</v>
      </c>
      <c r="AD186" s="361">
        <f t="shared" ca="1" si="339"/>
        <v>0</v>
      </c>
      <c r="AE186" s="362">
        <f t="shared" ca="1" si="339"/>
        <v>0</v>
      </c>
      <c r="AF186" s="363">
        <f t="shared" ca="1" si="327"/>
        <v>0</v>
      </c>
      <c r="AG186" s="360">
        <f t="shared" ca="1" si="315"/>
        <v>0</v>
      </c>
      <c r="AH186" s="361">
        <f t="shared" ca="1" si="340"/>
        <v>0</v>
      </c>
      <c r="AI186" s="362">
        <f t="shared" ca="1" si="340"/>
        <v>0</v>
      </c>
      <c r="AJ186" s="363">
        <f t="shared" ca="1" si="328"/>
        <v>0</v>
      </c>
      <c r="AK186" s="360">
        <f t="shared" ca="1" si="316"/>
        <v>0</v>
      </c>
      <c r="AL186" s="361">
        <f t="shared" ca="1" si="341"/>
        <v>0</v>
      </c>
      <c r="AM186" s="362">
        <f t="shared" ca="1" si="341"/>
        <v>0</v>
      </c>
      <c r="AN186" s="363">
        <f t="shared" ca="1" si="329"/>
        <v>0</v>
      </c>
      <c r="AO186" s="360">
        <f t="shared" ca="1" si="317"/>
        <v>0</v>
      </c>
      <c r="AP186" s="361">
        <f t="shared" ca="1" si="342"/>
        <v>0</v>
      </c>
      <c r="AQ186" s="362">
        <f t="shared" ca="1" si="342"/>
        <v>0</v>
      </c>
      <c r="AR186" s="363">
        <f t="shared" ca="1" si="330"/>
        <v>0</v>
      </c>
      <c r="AS186" s="360">
        <f t="shared" ca="1" si="318"/>
        <v>0</v>
      </c>
      <c r="AT186" s="361">
        <f t="shared" ca="1" si="343"/>
        <v>0</v>
      </c>
      <c r="AU186" s="362">
        <f t="shared" ca="1" si="343"/>
        <v>0</v>
      </c>
      <c r="AV186" s="363">
        <f t="shared" ca="1" si="331"/>
        <v>0</v>
      </c>
      <c r="AW186" s="360">
        <f t="shared" ca="1" si="319"/>
        <v>0</v>
      </c>
      <c r="AX186" s="361">
        <f t="shared" ca="1" si="344"/>
        <v>0</v>
      </c>
      <c r="AY186" s="362">
        <f t="shared" ca="1" si="344"/>
        <v>0</v>
      </c>
      <c r="AZ186" s="363">
        <f t="shared" ca="1" si="332"/>
        <v>0</v>
      </c>
      <c r="BA186" s="360">
        <f t="shared" ca="1" si="320"/>
        <v>0</v>
      </c>
      <c r="BB186" s="361">
        <f t="shared" ca="1" si="345"/>
        <v>0</v>
      </c>
      <c r="BC186" s="362">
        <f t="shared" ca="1" si="345"/>
        <v>0</v>
      </c>
      <c r="BD186" s="363">
        <f t="shared" ca="1" si="333"/>
        <v>0</v>
      </c>
      <c r="BE186" s="360">
        <f t="shared" ca="1" si="321"/>
        <v>0</v>
      </c>
      <c r="BF186" s="361">
        <f t="shared" ca="1" si="346"/>
        <v>0</v>
      </c>
      <c r="BG186" s="362">
        <f t="shared" ca="1" si="346"/>
        <v>0</v>
      </c>
      <c r="BH186" s="363">
        <f t="shared" ca="1" si="334"/>
        <v>0</v>
      </c>
      <c r="BI186" s="360">
        <f t="shared" ca="1" si="322"/>
        <v>0</v>
      </c>
      <c r="BJ186" s="361">
        <f t="shared" ca="1" si="347"/>
        <v>0</v>
      </c>
      <c r="BK186" s="362">
        <f t="shared" ca="1" si="347"/>
        <v>0</v>
      </c>
      <c r="BL186" s="363">
        <f t="shared" ca="1" si="335"/>
        <v>0</v>
      </c>
      <c r="BM186" s="360">
        <f t="shared" ca="1" si="323"/>
        <v>0</v>
      </c>
      <c r="BN186" s="360">
        <f t="shared" ca="1" si="323"/>
        <v>0</v>
      </c>
      <c r="BP186" s="246"/>
    </row>
    <row r="187" spans="1:68">
      <c r="A187" s="221" t="str">
        <f t="shared" ca="1" si="310"/>
        <v>WP006</v>
      </c>
      <c r="B187" s="221" t="str">
        <f t="shared" ca="1" si="311"/>
        <v>WP006</v>
      </c>
      <c r="C187" s="221">
        <v>6</v>
      </c>
      <c r="D187" s="221" t="s">
        <v>85</v>
      </c>
      <c r="J187" s="222" t="s">
        <v>75</v>
      </c>
      <c r="M187" s="221" t="s">
        <v>80</v>
      </c>
      <c r="N187" s="461"/>
      <c r="O187" s="250"/>
      <c r="P187" s="458" t="s">
        <v>86</v>
      </c>
      <c r="Q187" s="456"/>
      <c r="R187" s="364">
        <f t="shared" ca="1" si="336"/>
        <v>0</v>
      </c>
      <c r="S187" s="358">
        <f t="shared" ca="1" si="336"/>
        <v>0</v>
      </c>
      <c r="T187" s="359">
        <f t="shared" ca="1" si="324"/>
        <v>0</v>
      </c>
      <c r="U187" s="360">
        <f t="shared" ca="1" si="312"/>
        <v>0</v>
      </c>
      <c r="V187" s="364">
        <f t="shared" ca="1" si="337"/>
        <v>0</v>
      </c>
      <c r="W187" s="358">
        <f t="shared" ca="1" si="337"/>
        <v>0</v>
      </c>
      <c r="X187" s="359">
        <f t="shared" ca="1" si="325"/>
        <v>0</v>
      </c>
      <c r="Y187" s="360">
        <f t="shared" ca="1" si="313"/>
        <v>0</v>
      </c>
      <c r="Z187" s="364">
        <f t="shared" ca="1" si="338"/>
        <v>0</v>
      </c>
      <c r="AA187" s="358">
        <f t="shared" ca="1" si="338"/>
        <v>0</v>
      </c>
      <c r="AB187" s="359">
        <f t="shared" ca="1" si="326"/>
        <v>0</v>
      </c>
      <c r="AC187" s="360">
        <f t="shared" ca="1" si="314"/>
        <v>0</v>
      </c>
      <c r="AD187" s="364">
        <f t="shared" ca="1" si="339"/>
        <v>0</v>
      </c>
      <c r="AE187" s="358">
        <f t="shared" ca="1" si="339"/>
        <v>0</v>
      </c>
      <c r="AF187" s="359">
        <f t="shared" ca="1" si="327"/>
        <v>0</v>
      </c>
      <c r="AG187" s="360">
        <f t="shared" ca="1" si="315"/>
        <v>0</v>
      </c>
      <c r="AH187" s="364">
        <f t="shared" ca="1" si="340"/>
        <v>0</v>
      </c>
      <c r="AI187" s="358">
        <f t="shared" ca="1" si="340"/>
        <v>0</v>
      </c>
      <c r="AJ187" s="359">
        <f t="shared" ca="1" si="328"/>
        <v>0</v>
      </c>
      <c r="AK187" s="360">
        <f t="shared" ca="1" si="316"/>
        <v>0</v>
      </c>
      <c r="AL187" s="364">
        <f t="shared" ca="1" si="341"/>
        <v>0</v>
      </c>
      <c r="AM187" s="358">
        <f t="shared" ca="1" si="341"/>
        <v>0</v>
      </c>
      <c r="AN187" s="359">
        <f t="shared" ca="1" si="329"/>
        <v>0</v>
      </c>
      <c r="AO187" s="360">
        <f t="shared" ca="1" si="317"/>
        <v>0</v>
      </c>
      <c r="AP187" s="364">
        <f t="shared" ca="1" si="342"/>
        <v>0</v>
      </c>
      <c r="AQ187" s="358">
        <f t="shared" ca="1" si="342"/>
        <v>0</v>
      </c>
      <c r="AR187" s="359">
        <f t="shared" ca="1" si="330"/>
        <v>0</v>
      </c>
      <c r="AS187" s="360">
        <f t="shared" ca="1" si="318"/>
        <v>0</v>
      </c>
      <c r="AT187" s="364">
        <f t="shared" ca="1" si="343"/>
        <v>0</v>
      </c>
      <c r="AU187" s="358">
        <f t="shared" ca="1" si="343"/>
        <v>0</v>
      </c>
      <c r="AV187" s="359">
        <f t="shared" ca="1" si="331"/>
        <v>0</v>
      </c>
      <c r="AW187" s="360">
        <f t="shared" ca="1" si="319"/>
        <v>0</v>
      </c>
      <c r="AX187" s="364">
        <f t="shared" ca="1" si="344"/>
        <v>0</v>
      </c>
      <c r="AY187" s="358">
        <f t="shared" ca="1" si="344"/>
        <v>0</v>
      </c>
      <c r="AZ187" s="359">
        <f t="shared" ca="1" si="332"/>
        <v>0</v>
      </c>
      <c r="BA187" s="360">
        <f t="shared" ca="1" si="320"/>
        <v>0</v>
      </c>
      <c r="BB187" s="364">
        <f t="shared" ca="1" si="345"/>
        <v>0</v>
      </c>
      <c r="BC187" s="358">
        <f t="shared" ca="1" si="345"/>
        <v>0</v>
      </c>
      <c r="BD187" s="359">
        <f t="shared" ca="1" si="333"/>
        <v>0</v>
      </c>
      <c r="BE187" s="360">
        <f t="shared" ca="1" si="321"/>
        <v>0</v>
      </c>
      <c r="BF187" s="364">
        <f t="shared" ca="1" si="346"/>
        <v>0</v>
      </c>
      <c r="BG187" s="358">
        <f t="shared" ca="1" si="346"/>
        <v>0</v>
      </c>
      <c r="BH187" s="359">
        <f t="shared" ca="1" si="334"/>
        <v>0</v>
      </c>
      <c r="BI187" s="360">
        <f t="shared" ca="1" si="322"/>
        <v>0</v>
      </c>
      <c r="BJ187" s="364">
        <f t="shared" ca="1" si="347"/>
        <v>0</v>
      </c>
      <c r="BK187" s="358">
        <f t="shared" ca="1" si="347"/>
        <v>0</v>
      </c>
      <c r="BL187" s="359">
        <f t="shared" ca="1" si="335"/>
        <v>0</v>
      </c>
      <c r="BM187" s="360">
        <f t="shared" ca="1" si="323"/>
        <v>0</v>
      </c>
      <c r="BN187" s="360">
        <f t="shared" ca="1" si="323"/>
        <v>0</v>
      </c>
      <c r="BP187" s="246"/>
    </row>
    <row r="188" spans="1:68">
      <c r="A188" s="221" t="str">
        <f t="shared" ca="1" si="310"/>
        <v>WP006</v>
      </c>
      <c r="B188" s="221" t="str">
        <f t="shared" ca="1" si="311"/>
        <v>WP006</v>
      </c>
      <c r="C188" s="221">
        <v>6</v>
      </c>
      <c r="D188" s="221" t="s">
        <v>87</v>
      </c>
      <c r="J188" s="222" t="s">
        <v>75</v>
      </c>
      <c r="M188" s="221" t="s">
        <v>80</v>
      </c>
      <c r="N188" s="461"/>
      <c r="O188" s="250"/>
      <c r="P188" s="458" t="s">
        <v>88</v>
      </c>
      <c r="Q188" s="456"/>
      <c r="R188" s="364">
        <f t="shared" ca="1" si="336"/>
        <v>0</v>
      </c>
      <c r="S188" s="358">
        <f t="shared" ca="1" si="336"/>
        <v>0</v>
      </c>
      <c r="T188" s="359">
        <f t="shared" ca="1" si="324"/>
        <v>0</v>
      </c>
      <c r="U188" s="360">
        <f t="shared" ca="1" si="312"/>
        <v>0</v>
      </c>
      <c r="V188" s="364">
        <f t="shared" ca="1" si="337"/>
        <v>0</v>
      </c>
      <c r="W188" s="358">
        <f t="shared" ca="1" si="337"/>
        <v>0</v>
      </c>
      <c r="X188" s="359">
        <f t="shared" ca="1" si="325"/>
        <v>0</v>
      </c>
      <c r="Y188" s="360">
        <f t="shared" ca="1" si="313"/>
        <v>0</v>
      </c>
      <c r="Z188" s="364">
        <f t="shared" ca="1" si="338"/>
        <v>0</v>
      </c>
      <c r="AA188" s="358">
        <f t="shared" ca="1" si="338"/>
        <v>0</v>
      </c>
      <c r="AB188" s="359">
        <f t="shared" ca="1" si="326"/>
        <v>0</v>
      </c>
      <c r="AC188" s="360">
        <f t="shared" ca="1" si="314"/>
        <v>0</v>
      </c>
      <c r="AD188" s="364">
        <f t="shared" ca="1" si="339"/>
        <v>0</v>
      </c>
      <c r="AE188" s="358">
        <f t="shared" ca="1" si="339"/>
        <v>0</v>
      </c>
      <c r="AF188" s="359">
        <f t="shared" ca="1" si="327"/>
        <v>0</v>
      </c>
      <c r="AG188" s="360">
        <f t="shared" ca="1" si="315"/>
        <v>0</v>
      </c>
      <c r="AH188" s="364">
        <f t="shared" ca="1" si="340"/>
        <v>0</v>
      </c>
      <c r="AI188" s="358">
        <f t="shared" ca="1" si="340"/>
        <v>0</v>
      </c>
      <c r="AJ188" s="359">
        <f t="shared" ca="1" si="328"/>
        <v>0</v>
      </c>
      <c r="AK188" s="360">
        <f t="shared" ca="1" si="316"/>
        <v>0</v>
      </c>
      <c r="AL188" s="364">
        <f t="shared" ca="1" si="341"/>
        <v>0</v>
      </c>
      <c r="AM188" s="358">
        <f t="shared" ca="1" si="341"/>
        <v>0</v>
      </c>
      <c r="AN188" s="359">
        <f t="shared" ca="1" si="329"/>
        <v>0</v>
      </c>
      <c r="AO188" s="360">
        <f t="shared" ca="1" si="317"/>
        <v>0</v>
      </c>
      <c r="AP188" s="364">
        <f t="shared" ca="1" si="342"/>
        <v>0</v>
      </c>
      <c r="AQ188" s="358">
        <f t="shared" ca="1" si="342"/>
        <v>0</v>
      </c>
      <c r="AR188" s="359">
        <f t="shared" ca="1" si="330"/>
        <v>0</v>
      </c>
      <c r="AS188" s="360">
        <f t="shared" ca="1" si="318"/>
        <v>0</v>
      </c>
      <c r="AT188" s="364">
        <f t="shared" ca="1" si="343"/>
        <v>0</v>
      </c>
      <c r="AU188" s="358">
        <f t="shared" ca="1" si="343"/>
        <v>0</v>
      </c>
      <c r="AV188" s="359">
        <f t="shared" ca="1" si="331"/>
        <v>0</v>
      </c>
      <c r="AW188" s="360">
        <f t="shared" ca="1" si="319"/>
        <v>0</v>
      </c>
      <c r="AX188" s="364">
        <f t="shared" ca="1" si="344"/>
        <v>0</v>
      </c>
      <c r="AY188" s="358">
        <f t="shared" ca="1" si="344"/>
        <v>0</v>
      </c>
      <c r="AZ188" s="359">
        <f t="shared" ca="1" si="332"/>
        <v>0</v>
      </c>
      <c r="BA188" s="360">
        <f t="shared" ca="1" si="320"/>
        <v>0</v>
      </c>
      <c r="BB188" s="364">
        <f t="shared" ca="1" si="345"/>
        <v>0</v>
      </c>
      <c r="BC188" s="358">
        <f t="shared" ca="1" si="345"/>
        <v>0</v>
      </c>
      <c r="BD188" s="359">
        <f t="shared" ca="1" si="333"/>
        <v>0</v>
      </c>
      <c r="BE188" s="360">
        <f t="shared" ca="1" si="321"/>
        <v>0</v>
      </c>
      <c r="BF188" s="364">
        <f t="shared" ca="1" si="346"/>
        <v>0</v>
      </c>
      <c r="BG188" s="358">
        <f t="shared" ca="1" si="346"/>
        <v>0</v>
      </c>
      <c r="BH188" s="359">
        <f t="shared" ca="1" si="334"/>
        <v>0</v>
      </c>
      <c r="BI188" s="360">
        <f t="shared" ca="1" si="322"/>
        <v>0</v>
      </c>
      <c r="BJ188" s="364">
        <f t="shared" ca="1" si="347"/>
        <v>0</v>
      </c>
      <c r="BK188" s="358">
        <f t="shared" ca="1" si="347"/>
        <v>0</v>
      </c>
      <c r="BL188" s="359">
        <f t="shared" ca="1" si="335"/>
        <v>0</v>
      </c>
      <c r="BM188" s="360">
        <f t="shared" ca="1" si="323"/>
        <v>0</v>
      </c>
      <c r="BN188" s="360">
        <f t="shared" ca="1" si="323"/>
        <v>0</v>
      </c>
      <c r="BP188" s="246"/>
    </row>
    <row r="189" spans="1:68">
      <c r="A189" s="221" t="str">
        <f t="shared" ca="1" si="310"/>
        <v>WP006</v>
      </c>
      <c r="B189" s="221" t="str">
        <f t="shared" ca="1" si="311"/>
        <v>WP006</v>
      </c>
      <c r="C189" s="221">
        <v>6</v>
      </c>
      <c r="D189" s="221" t="s">
        <v>89</v>
      </c>
      <c r="J189" s="222" t="s">
        <v>75</v>
      </c>
      <c r="M189" s="221" t="s">
        <v>80</v>
      </c>
      <c r="N189" s="461"/>
      <c r="O189" s="250"/>
      <c r="P189" s="458" t="s">
        <v>90</v>
      </c>
      <c r="Q189" s="456"/>
      <c r="R189" s="364">
        <f t="shared" ca="1" si="336"/>
        <v>0</v>
      </c>
      <c r="S189" s="358">
        <f t="shared" ca="1" si="336"/>
        <v>0</v>
      </c>
      <c r="T189" s="359">
        <f t="shared" ca="1" si="324"/>
        <v>0</v>
      </c>
      <c r="U189" s="360">
        <f t="shared" ca="1" si="312"/>
        <v>0</v>
      </c>
      <c r="V189" s="364">
        <f t="shared" ca="1" si="337"/>
        <v>0</v>
      </c>
      <c r="W189" s="358">
        <f t="shared" ca="1" si="337"/>
        <v>0</v>
      </c>
      <c r="X189" s="359">
        <f t="shared" ca="1" si="325"/>
        <v>0</v>
      </c>
      <c r="Y189" s="360">
        <f t="shared" ca="1" si="313"/>
        <v>0</v>
      </c>
      <c r="Z189" s="364">
        <f t="shared" ca="1" si="338"/>
        <v>0</v>
      </c>
      <c r="AA189" s="358">
        <f t="shared" ca="1" si="338"/>
        <v>0</v>
      </c>
      <c r="AB189" s="359">
        <f t="shared" ca="1" si="326"/>
        <v>0</v>
      </c>
      <c r="AC189" s="360">
        <f t="shared" ca="1" si="314"/>
        <v>0</v>
      </c>
      <c r="AD189" s="364">
        <f t="shared" ca="1" si="339"/>
        <v>0</v>
      </c>
      <c r="AE189" s="358">
        <f t="shared" ca="1" si="339"/>
        <v>0</v>
      </c>
      <c r="AF189" s="359">
        <f t="shared" ca="1" si="327"/>
        <v>0</v>
      </c>
      <c r="AG189" s="360">
        <f t="shared" ca="1" si="315"/>
        <v>0</v>
      </c>
      <c r="AH189" s="364">
        <f t="shared" ca="1" si="340"/>
        <v>0</v>
      </c>
      <c r="AI189" s="358">
        <f t="shared" ca="1" si="340"/>
        <v>0</v>
      </c>
      <c r="AJ189" s="359">
        <f t="shared" ca="1" si="328"/>
        <v>0</v>
      </c>
      <c r="AK189" s="360">
        <f t="shared" ca="1" si="316"/>
        <v>0</v>
      </c>
      <c r="AL189" s="364">
        <f t="shared" ca="1" si="341"/>
        <v>0</v>
      </c>
      <c r="AM189" s="358">
        <f t="shared" ca="1" si="341"/>
        <v>0</v>
      </c>
      <c r="AN189" s="359">
        <f t="shared" ca="1" si="329"/>
        <v>0</v>
      </c>
      <c r="AO189" s="360">
        <f t="shared" ca="1" si="317"/>
        <v>0</v>
      </c>
      <c r="AP189" s="364">
        <f t="shared" ca="1" si="342"/>
        <v>0</v>
      </c>
      <c r="AQ189" s="358">
        <f t="shared" ca="1" si="342"/>
        <v>0</v>
      </c>
      <c r="AR189" s="359">
        <f t="shared" ca="1" si="330"/>
        <v>0</v>
      </c>
      <c r="AS189" s="360">
        <f t="shared" ca="1" si="318"/>
        <v>0</v>
      </c>
      <c r="AT189" s="364">
        <f t="shared" ca="1" si="343"/>
        <v>0</v>
      </c>
      <c r="AU189" s="358">
        <f t="shared" ca="1" si="343"/>
        <v>0</v>
      </c>
      <c r="AV189" s="359">
        <f t="shared" ca="1" si="331"/>
        <v>0</v>
      </c>
      <c r="AW189" s="360">
        <f t="shared" ca="1" si="319"/>
        <v>0</v>
      </c>
      <c r="AX189" s="364">
        <f t="shared" ca="1" si="344"/>
        <v>0</v>
      </c>
      <c r="AY189" s="358">
        <f t="shared" ca="1" si="344"/>
        <v>0</v>
      </c>
      <c r="AZ189" s="359">
        <f t="shared" ca="1" si="332"/>
        <v>0</v>
      </c>
      <c r="BA189" s="360">
        <f t="shared" ca="1" si="320"/>
        <v>0</v>
      </c>
      <c r="BB189" s="364">
        <f t="shared" ca="1" si="345"/>
        <v>0</v>
      </c>
      <c r="BC189" s="358">
        <f t="shared" ca="1" si="345"/>
        <v>0</v>
      </c>
      <c r="BD189" s="359">
        <f t="shared" ca="1" si="333"/>
        <v>0</v>
      </c>
      <c r="BE189" s="360">
        <f t="shared" ca="1" si="321"/>
        <v>0</v>
      </c>
      <c r="BF189" s="364">
        <f t="shared" ca="1" si="346"/>
        <v>0</v>
      </c>
      <c r="BG189" s="358">
        <f t="shared" ca="1" si="346"/>
        <v>0</v>
      </c>
      <c r="BH189" s="359">
        <f t="shared" ca="1" si="334"/>
        <v>0</v>
      </c>
      <c r="BI189" s="360">
        <f t="shared" ca="1" si="322"/>
        <v>0</v>
      </c>
      <c r="BJ189" s="364">
        <f t="shared" ca="1" si="347"/>
        <v>0</v>
      </c>
      <c r="BK189" s="358">
        <f t="shared" ca="1" si="347"/>
        <v>0</v>
      </c>
      <c r="BL189" s="359">
        <f t="shared" ca="1" si="335"/>
        <v>0</v>
      </c>
      <c r="BM189" s="360">
        <f t="shared" ca="1" si="323"/>
        <v>0</v>
      </c>
      <c r="BN189" s="360">
        <f t="shared" ca="1" si="323"/>
        <v>0</v>
      </c>
      <c r="BP189" s="246"/>
    </row>
    <row r="190" spans="1:68">
      <c r="A190" s="221" t="str">
        <f t="shared" ca="1" si="310"/>
        <v>WP006</v>
      </c>
      <c r="B190" s="221" t="str">
        <f t="shared" ca="1" si="311"/>
        <v>WP006</v>
      </c>
      <c r="C190" s="221">
        <v>6</v>
      </c>
      <c r="D190" s="221" t="s">
        <v>91</v>
      </c>
      <c r="J190" s="222" t="s">
        <v>75</v>
      </c>
      <c r="M190" s="221" t="s">
        <v>80</v>
      </c>
      <c r="N190" s="461"/>
      <c r="O190" s="250"/>
      <c r="P190" s="458" t="s">
        <v>92</v>
      </c>
      <c r="Q190" s="456"/>
      <c r="R190" s="364">
        <f t="shared" ca="1" si="336"/>
        <v>0</v>
      </c>
      <c r="S190" s="358">
        <f t="shared" ca="1" si="336"/>
        <v>0</v>
      </c>
      <c r="T190" s="359">
        <f t="shared" ca="1" si="324"/>
        <v>0</v>
      </c>
      <c r="U190" s="360">
        <f t="shared" ca="1" si="312"/>
        <v>0</v>
      </c>
      <c r="V190" s="364">
        <f t="shared" ca="1" si="337"/>
        <v>0</v>
      </c>
      <c r="W190" s="358">
        <f t="shared" ca="1" si="337"/>
        <v>0</v>
      </c>
      <c r="X190" s="359">
        <f t="shared" ca="1" si="325"/>
        <v>0</v>
      </c>
      <c r="Y190" s="360">
        <f t="shared" ca="1" si="313"/>
        <v>0</v>
      </c>
      <c r="Z190" s="364">
        <f t="shared" ca="1" si="338"/>
        <v>0</v>
      </c>
      <c r="AA190" s="358">
        <f t="shared" ca="1" si="338"/>
        <v>0</v>
      </c>
      <c r="AB190" s="359">
        <f t="shared" ca="1" si="326"/>
        <v>0</v>
      </c>
      <c r="AC190" s="360">
        <f t="shared" ca="1" si="314"/>
        <v>0</v>
      </c>
      <c r="AD190" s="364">
        <f t="shared" ca="1" si="339"/>
        <v>0</v>
      </c>
      <c r="AE190" s="358">
        <f t="shared" ca="1" si="339"/>
        <v>0</v>
      </c>
      <c r="AF190" s="359">
        <f t="shared" ca="1" si="327"/>
        <v>0</v>
      </c>
      <c r="AG190" s="360">
        <f t="shared" ca="1" si="315"/>
        <v>0</v>
      </c>
      <c r="AH190" s="364">
        <f t="shared" ca="1" si="340"/>
        <v>0</v>
      </c>
      <c r="AI190" s="358">
        <f t="shared" ca="1" si="340"/>
        <v>0</v>
      </c>
      <c r="AJ190" s="359">
        <f t="shared" ca="1" si="328"/>
        <v>0</v>
      </c>
      <c r="AK190" s="360">
        <f t="shared" ca="1" si="316"/>
        <v>0</v>
      </c>
      <c r="AL190" s="364">
        <f t="shared" ca="1" si="341"/>
        <v>0</v>
      </c>
      <c r="AM190" s="358">
        <f t="shared" ca="1" si="341"/>
        <v>0</v>
      </c>
      <c r="AN190" s="359">
        <f t="shared" ca="1" si="329"/>
        <v>0</v>
      </c>
      <c r="AO190" s="360">
        <f t="shared" ca="1" si="317"/>
        <v>0</v>
      </c>
      <c r="AP190" s="364">
        <f t="shared" ca="1" si="342"/>
        <v>0</v>
      </c>
      <c r="AQ190" s="358">
        <f t="shared" ca="1" si="342"/>
        <v>0</v>
      </c>
      <c r="AR190" s="359">
        <f t="shared" ca="1" si="330"/>
        <v>0</v>
      </c>
      <c r="AS190" s="360">
        <f t="shared" ca="1" si="318"/>
        <v>0</v>
      </c>
      <c r="AT190" s="364">
        <f t="shared" ca="1" si="343"/>
        <v>0</v>
      </c>
      <c r="AU190" s="358">
        <f t="shared" ca="1" si="343"/>
        <v>0</v>
      </c>
      <c r="AV190" s="359">
        <f t="shared" ca="1" si="331"/>
        <v>0</v>
      </c>
      <c r="AW190" s="360">
        <f t="shared" ca="1" si="319"/>
        <v>0</v>
      </c>
      <c r="AX190" s="364">
        <f t="shared" ca="1" si="344"/>
        <v>0</v>
      </c>
      <c r="AY190" s="358">
        <f t="shared" ca="1" si="344"/>
        <v>0</v>
      </c>
      <c r="AZ190" s="359">
        <f t="shared" ca="1" si="332"/>
        <v>0</v>
      </c>
      <c r="BA190" s="360">
        <f t="shared" ca="1" si="320"/>
        <v>0</v>
      </c>
      <c r="BB190" s="364">
        <f t="shared" ca="1" si="345"/>
        <v>0</v>
      </c>
      <c r="BC190" s="358">
        <f t="shared" ca="1" si="345"/>
        <v>0</v>
      </c>
      <c r="BD190" s="359">
        <f t="shared" ca="1" si="333"/>
        <v>0</v>
      </c>
      <c r="BE190" s="360">
        <f t="shared" ca="1" si="321"/>
        <v>0</v>
      </c>
      <c r="BF190" s="364">
        <f t="shared" ca="1" si="346"/>
        <v>0</v>
      </c>
      <c r="BG190" s="358">
        <f t="shared" ca="1" si="346"/>
        <v>0</v>
      </c>
      <c r="BH190" s="359">
        <f t="shared" ca="1" si="334"/>
        <v>0</v>
      </c>
      <c r="BI190" s="360">
        <f t="shared" ca="1" si="322"/>
        <v>0</v>
      </c>
      <c r="BJ190" s="364">
        <f t="shared" ca="1" si="347"/>
        <v>0</v>
      </c>
      <c r="BK190" s="358">
        <f t="shared" ca="1" si="347"/>
        <v>0</v>
      </c>
      <c r="BL190" s="359">
        <f t="shared" ca="1" si="335"/>
        <v>0</v>
      </c>
      <c r="BM190" s="360">
        <f t="shared" ca="1" si="323"/>
        <v>0</v>
      </c>
      <c r="BN190" s="360">
        <f t="shared" ca="1" si="323"/>
        <v>0</v>
      </c>
    </row>
    <row r="191" spans="1:68">
      <c r="A191" s="221" t="str">
        <f t="shared" ca="1" si="310"/>
        <v>WP006</v>
      </c>
      <c r="B191" s="221" t="str">
        <f t="shared" ca="1" si="311"/>
        <v>WP006</v>
      </c>
      <c r="C191" s="221">
        <v>4</v>
      </c>
      <c r="D191" s="221" t="s">
        <v>93</v>
      </c>
      <c r="H191" s="221" t="s">
        <v>74</v>
      </c>
      <c r="I191" s="221" t="s">
        <v>94</v>
      </c>
      <c r="M191" s="221" t="s">
        <v>80</v>
      </c>
      <c r="N191" s="461"/>
      <c r="O191" s="452" t="s">
        <v>65</v>
      </c>
      <c r="P191" s="453"/>
      <c r="Q191" s="453"/>
      <c r="R191" s="365">
        <f t="shared" ca="1" si="336"/>
        <v>0</v>
      </c>
      <c r="S191" s="354">
        <f t="shared" ca="1" si="336"/>
        <v>0</v>
      </c>
      <c r="T191" s="355">
        <f t="shared" ca="1" si="324"/>
        <v>0</v>
      </c>
      <c r="U191" s="356">
        <f t="shared" ca="1" si="312"/>
        <v>0</v>
      </c>
      <c r="V191" s="365">
        <f t="shared" ca="1" si="337"/>
        <v>0</v>
      </c>
      <c r="W191" s="354">
        <f t="shared" ca="1" si="337"/>
        <v>0</v>
      </c>
      <c r="X191" s="355">
        <f t="shared" ca="1" si="325"/>
        <v>0</v>
      </c>
      <c r="Y191" s="356">
        <f t="shared" ca="1" si="313"/>
        <v>0</v>
      </c>
      <c r="Z191" s="365">
        <f t="shared" ca="1" si="338"/>
        <v>0</v>
      </c>
      <c r="AA191" s="354">
        <f t="shared" ca="1" si="338"/>
        <v>0</v>
      </c>
      <c r="AB191" s="355">
        <f t="shared" ca="1" si="326"/>
        <v>0</v>
      </c>
      <c r="AC191" s="356">
        <f t="shared" ca="1" si="314"/>
        <v>0</v>
      </c>
      <c r="AD191" s="365">
        <f t="shared" ca="1" si="339"/>
        <v>0</v>
      </c>
      <c r="AE191" s="354">
        <f t="shared" ca="1" si="339"/>
        <v>0</v>
      </c>
      <c r="AF191" s="355">
        <f t="shared" ca="1" si="327"/>
        <v>0</v>
      </c>
      <c r="AG191" s="356">
        <f t="shared" ca="1" si="315"/>
        <v>0</v>
      </c>
      <c r="AH191" s="365">
        <f t="shared" ca="1" si="340"/>
        <v>0</v>
      </c>
      <c r="AI191" s="354">
        <f t="shared" ca="1" si="340"/>
        <v>0</v>
      </c>
      <c r="AJ191" s="355">
        <f t="shared" ca="1" si="328"/>
        <v>0</v>
      </c>
      <c r="AK191" s="356">
        <f t="shared" ca="1" si="316"/>
        <v>0</v>
      </c>
      <c r="AL191" s="365">
        <f t="shared" ca="1" si="341"/>
        <v>0</v>
      </c>
      <c r="AM191" s="354">
        <f t="shared" ca="1" si="341"/>
        <v>0</v>
      </c>
      <c r="AN191" s="355">
        <f t="shared" ca="1" si="329"/>
        <v>0</v>
      </c>
      <c r="AO191" s="356">
        <f t="shared" ca="1" si="317"/>
        <v>0</v>
      </c>
      <c r="AP191" s="365">
        <f t="shared" ca="1" si="342"/>
        <v>0</v>
      </c>
      <c r="AQ191" s="354">
        <f t="shared" ca="1" si="342"/>
        <v>0</v>
      </c>
      <c r="AR191" s="355">
        <f t="shared" ca="1" si="330"/>
        <v>0</v>
      </c>
      <c r="AS191" s="356">
        <f t="shared" ca="1" si="318"/>
        <v>0</v>
      </c>
      <c r="AT191" s="365">
        <f t="shared" ca="1" si="343"/>
        <v>0</v>
      </c>
      <c r="AU191" s="354">
        <f t="shared" ca="1" si="343"/>
        <v>0</v>
      </c>
      <c r="AV191" s="355">
        <f t="shared" ca="1" si="331"/>
        <v>0</v>
      </c>
      <c r="AW191" s="356">
        <f t="shared" ca="1" si="319"/>
        <v>0</v>
      </c>
      <c r="AX191" s="365">
        <f t="shared" ca="1" si="344"/>
        <v>0</v>
      </c>
      <c r="AY191" s="354">
        <f t="shared" ca="1" si="344"/>
        <v>0</v>
      </c>
      <c r="AZ191" s="355">
        <f t="shared" ca="1" si="332"/>
        <v>0</v>
      </c>
      <c r="BA191" s="356">
        <f t="shared" ca="1" si="320"/>
        <v>0</v>
      </c>
      <c r="BB191" s="365">
        <f t="shared" ca="1" si="345"/>
        <v>0</v>
      </c>
      <c r="BC191" s="354">
        <f t="shared" ca="1" si="345"/>
        <v>0</v>
      </c>
      <c r="BD191" s="355">
        <f t="shared" ca="1" si="333"/>
        <v>0</v>
      </c>
      <c r="BE191" s="356">
        <f t="shared" ca="1" si="321"/>
        <v>0</v>
      </c>
      <c r="BF191" s="365">
        <f t="shared" ca="1" si="346"/>
        <v>0</v>
      </c>
      <c r="BG191" s="354">
        <f t="shared" ca="1" si="346"/>
        <v>0</v>
      </c>
      <c r="BH191" s="355">
        <f t="shared" ca="1" si="334"/>
        <v>0</v>
      </c>
      <c r="BI191" s="356">
        <f t="shared" ca="1" si="322"/>
        <v>0</v>
      </c>
      <c r="BJ191" s="365">
        <f t="shared" ca="1" si="347"/>
        <v>0</v>
      </c>
      <c r="BK191" s="354">
        <f t="shared" ca="1" si="347"/>
        <v>0</v>
      </c>
      <c r="BL191" s="355">
        <f t="shared" ca="1" si="335"/>
        <v>0</v>
      </c>
      <c r="BM191" s="356">
        <f t="shared" ca="1" si="323"/>
        <v>0</v>
      </c>
      <c r="BN191" s="356">
        <f t="shared" ca="1" si="323"/>
        <v>0</v>
      </c>
    </row>
    <row r="192" spans="1:68">
      <c r="A192" s="221" t="str">
        <f t="shared" ca="1" si="310"/>
        <v>WP006</v>
      </c>
      <c r="B192" s="221" t="str">
        <f t="shared" ca="1" si="311"/>
        <v>WP006</v>
      </c>
      <c r="C192" s="221">
        <v>4</v>
      </c>
      <c r="D192" s="221" t="s">
        <v>95</v>
      </c>
      <c r="H192" s="221" t="s">
        <v>74</v>
      </c>
      <c r="I192" s="221" t="s">
        <v>96</v>
      </c>
      <c r="M192" s="221" t="s">
        <v>46</v>
      </c>
      <c r="N192" s="461"/>
      <c r="O192" s="452" t="s">
        <v>97</v>
      </c>
      <c r="P192" s="453"/>
      <c r="Q192" s="453"/>
      <c r="R192" s="353"/>
      <c r="S192" s="354"/>
      <c r="T192" s="355">
        <f t="shared" ca="1" si="324"/>
        <v>0</v>
      </c>
      <c r="U192" s="356">
        <f t="shared" ca="1" si="312"/>
        <v>0</v>
      </c>
      <c r="V192" s="353"/>
      <c r="W192" s="354"/>
      <c r="X192" s="355">
        <f t="shared" ca="1" si="325"/>
        <v>0</v>
      </c>
      <c r="Y192" s="356">
        <f t="shared" ca="1" si="313"/>
        <v>0</v>
      </c>
      <c r="Z192" s="353"/>
      <c r="AA192" s="354"/>
      <c r="AB192" s="355">
        <f t="shared" ca="1" si="326"/>
        <v>0</v>
      </c>
      <c r="AC192" s="356">
        <f t="shared" ca="1" si="314"/>
        <v>0</v>
      </c>
      <c r="AD192" s="353"/>
      <c r="AE192" s="354"/>
      <c r="AF192" s="355">
        <f t="shared" ca="1" si="327"/>
        <v>0</v>
      </c>
      <c r="AG192" s="356">
        <f t="shared" ca="1" si="315"/>
        <v>0</v>
      </c>
      <c r="AH192" s="353"/>
      <c r="AI192" s="354"/>
      <c r="AJ192" s="355">
        <f t="shared" ca="1" si="328"/>
        <v>0</v>
      </c>
      <c r="AK192" s="356">
        <f t="shared" ca="1" si="316"/>
        <v>0</v>
      </c>
      <c r="AL192" s="353"/>
      <c r="AM192" s="354"/>
      <c r="AN192" s="355">
        <f t="shared" ca="1" si="329"/>
        <v>0</v>
      </c>
      <c r="AO192" s="356">
        <f t="shared" ca="1" si="317"/>
        <v>0</v>
      </c>
      <c r="AP192" s="353"/>
      <c r="AQ192" s="354"/>
      <c r="AR192" s="355">
        <f t="shared" ca="1" si="330"/>
        <v>0</v>
      </c>
      <c r="AS192" s="356">
        <f t="shared" ca="1" si="318"/>
        <v>0</v>
      </c>
      <c r="AT192" s="353"/>
      <c r="AU192" s="354"/>
      <c r="AV192" s="355">
        <f t="shared" ca="1" si="331"/>
        <v>0</v>
      </c>
      <c r="AW192" s="356">
        <f t="shared" ca="1" si="319"/>
        <v>0</v>
      </c>
      <c r="AX192" s="353"/>
      <c r="AY192" s="354"/>
      <c r="AZ192" s="355">
        <f t="shared" ca="1" si="332"/>
        <v>0</v>
      </c>
      <c r="BA192" s="356">
        <f t="shared" ca="1" si="320"/>
        <v>0</v>
      </c>
      <c r="BB192" s="353"/>
      <c r="BC192" s="354"/>
      <c r="BD192" s="355">
        <f t="shared" ca="1" si="333"/>
        <v>0</v>
      </c>
      <c r="BE192" s="356">
        <f t="shared" ca="1" si="321"/>
        <v>0</v>
      </c>
      <c r="BF192" s="353"/>
      <c r="BG192" s="354"/>
      <c r="BH192" s="355">
        <f t="shared" ca="1" si="334"/>
        <v>0</v>
      </c>
      <c r="BI192" s="356">
        <f t="shared" ca="1" si="322"/>
        <v>0</v>
      </c>
      <c r="BJ192" s="353"/>
      <c r="BK192" s="354"/>
      <c r="BL192" s="355">
        <f t="shared" ca="1" si="335"/>
        <v>0</v>
      </c>
      <c r="BM192" s="356">
        <f t="shared" ca="1" si="323"/>
        <v>0</v>
      </c>
      <c r="BN192" s="356">
        <f t="shared" ca="1" si="323"/>
        <v>0</v>
      </c>
    </row>
    <row r="193" spans="1:66">
      <c r="A193" s="221" t="str">
        <f t="shared" ca="1" si="310"/>
        <v>WP006</v>
      </c>
      <c r="B193" s="221" t="str">
        <f t="shared" ca="1" si="311"/>
        <v>WP006</v>
      </c>
      <c r="C193" s="221">
        <v>6</v>
      </c>
      <c r="D193" s="221" t="s">
        <v>98</v>
      </c>
      <c r="J193" s="222" t="s">
        <v>96</v>
      </c>
      <c r="K193" s="221" t="s">
        <v>99</v>
      </c>
      <c r="M193" s="221" t="s">
        <v>46</v>
      </c>
      <c r="N193" s="461"/>
      <c r="O193" s="251"/>
      <c r="P193" s="456" t="s">
        <v>100</v>
      </c>
      <c r="Q193" s="456"/>
      <c r="R193" s="357"/>
      <c r="S193" s="358"/>
      <c r="T193" s="359">
        <f t="shared" ca="1" si="324"/>
        <v>0</v>
      </c>
      <c r="U193" s="360">
        <f t="shared" ca="1" si="312"/>
        <v>0</v>
      </c>
      <c r="V193" s="357"/>
      <c r="W193" s="358"/>
      <c r="X193" s="359">
        <f t="shared" ca="1" si="325"/>
        <v>0</v>
      </c>
      <c r="Y193" s="360">
        <f t="shared" ca="1" si="313"/>
        <v>0</v>
      </c>
      <c r="Z193" s="357"/>
      <c r="AA193" s="358"/>
      <c r="AB193" s="359">
        <f t="shared" ca="1" si="326"/>
        <v>0</v>
      </c>
      <c r="AC193" s="360">
        <f t="shared" ca="1" si="314"/>
        <v>0</v>
      </c>
      <c r="AD193" s="357"/>
      <c r="AE193" s="358"/>
      <c r="AF193" s="359">
        <f t="shared" ca="1" si="327"/>
        <v>0</v>
      </c>
      <c r="AG193" s="360">
        <f t="shared" ca="1" si="315"/>
        <v>0</v>
      </c>
      <c r="AH193" s="357"/>
      <c r="AI193" s="358"/>
      <c r="AJ193" s="359">
        <f t="shared" ca="1" si="328"/>
        <v>0</v>
      </c>
      <c r="AK193" s="360">
        <f t="shared" ca="1" si="316"/>
        <v>0</v>
      </c>
      <c r="AL193" s="357"/>
      <c r="AM193" s="358"/>
      <c r="AN193" s="359">
        <f t="shared" ca="1" si="329"/>
        <v>0</v>
      </c>
      <c r="AO193" s="360">
        <f t="shared" ca="1" si="317"/>
        <v>0</v>
      </c>
      <c r="AP193" s="357"/>
      <c r="AQ193" s="358"/>
      <c r="AR193" s="359">
        <f t="shared" ca="1" si="330"/>
        <v>0</v>
      </c>
      <c r="AS193" s="360">
        <f t="shared" ca="1" si="318"/>
        <v>0</v>
      </c>
      <c r="AT193" s="357"/>
      <c r="AU193" s="358"/>
      <c r="AV193" s="359">
        <f t="shared" ca="1" si="331"/>
        <v>0</v>
      </c>
      <c r="AW193" s="360">
        <f t="shared" ca="1" si="319"/>
        <v>0</v>
      </c>
      <c r="AX193" s="357"/>
      <c r="AY193" s="358"/>
      <c r="AZ193" s="359">
        <f t="shared" ca="1" si="332"/>
        <v>0</v>
      </c>
      <c r="BA193" s="360">
        <f t="shared" ca="1" si="320"/>
        <v>0</v>
      </c>
      <c r="BB193" s="357"/>
      <c r="BC193" s="358"/>
      <c r="BD193" s="359">
        <f t="shared" ca="1" si="333"/>
        <v>0</v>
      </c>
      <c r="BE193" s="360">
        <f t="shared" ca="1" si="321"/>
        <v>0</v>
      </c>
      <c r="BF193" s="357"/>
      <c r="BG193" s="358"/>
      <c r="BH193" s="359">
        <f t="shared" ca="1" si="334"/>
        <v>0</v>
      </c>
      <c r="BI193" s="360">
        <f t="shared" ca="1" si="322"/>
        <v>0</v>
      </c>
      <c r="BJ193" s="357"/>
      <c r="BK193" s="358"/>
      <c r="BL193" s="359">
        <f t="shared" ca="1" si="335"/>
        <v>0</v>
      </c>
      <c r="BM193" s="360">
        <f t="shared" ca="1" si="323"/>
        <v>0</v>
      </c>
      <c r="BN193" s="360">
        <f t="shared" ca="1" si="323"/>
        <v>0</v>
      </c>
    </row>
    <row r="194" spans="1:66">
      <c r="A194" s="221" t="str">
        <f t="shared" ca="1" si="310"/>
        <v>WP006</v>
      </c>
      <c r="B194" s="221" t="str">
        <f t="shared" ca="1" si="311"/>
        <v>WP006</v>
      </c>
      <c r="C194" s="221">
        <v>7</v>
      </c>
      <c r="D194" s="221" t="s">
        <v>101</v>
      </c>
      <c r="L194" s="221" t="s">
        <v>99</v>
      </c>
      <c r="M194" s="221" t="s">
        <v>80</v>
      </c>
      <c r="N194" s="461"/>
      <c r="O194" s="252"/>
      <c r="P194" s="253"/>
      <c r="Q194" s="254" t="s">
        <v>102</v>
      </c>
      <c r="R194" s="361">
        <f t="shared" ref="R194:S197" ca="1" si="348">INDIRECT("'"&amp; MID(OFFSET(R194,ROW(R$3)-ROW(R194),IF(OFFSET(R194,ROW(R$2)-ROW(R194),2)="T",0,IF(OFFSET(R194,ROW(R$2)-ROW(R194),1)="T",-1,-2))),1,6) &amp; "'!" &amp; ADDRESS(ROW(R194),MATCH(INDIRECT(ADDRESS(2,COLUMN(R194)+IF(OFFSET(R194,ROW(R$2)-ROW(R194),2)="T",1,IF(OFFSET(R194,ROW(R$2)-ROW(R194),1)="T",0,-1))),TRUE),INDIRECT("'"&amp; MID(OFFSET(R194,ROW(R$3)-ROW(R194),IF(OFFSET(R194,ROW(R$2)-ROW(R194),2)="T",0,IF(OFFSET(R194,ROW(R$2)-ROW(R194),1)="T",-1,-2))),1,6) &amp; "'!2:2",TRUE),0)-IF(OFFSET(R194,ROW(R$2)-ROW(R194),2)="T",1,IF(OFFSET(R194,ROW(R$2)-ROW(R194),1)="T",0,-1))),TRUE)</f>
        <v>0</v>
      </c>
      <c r="S194" s="362">
        <f t="shared" ca="1" si="348"/>
        <v>0</v>
      </c>
      <c r="T194" s="363">
        <f t="shared" ca="1" si="324"/>
        <v>0</v>
      </c>
      <c r="U194" s="360">
        <f t="shared" ca="1" si="312"/>
        <v>0</v>
      </c>
      <c r="V194" s="361">
        <f t="shared" ref="V194:W197" ca="1" si="349">INDIRECT("'"&amp; MID(OFFSET(V194,ROW(V$3)-ROW(V194),IF(OFFSET(V194,ROW(V$2)-ROW(V194),2)="T",0,IF(OFFSET(V194,ROW(V$2)-ROW(V194),1)="T",-1,-2))),1,6) &amp; "'!" &amp; ADDRESS(ROW(V194),MATCH(INDIRECT(ADDRESS(2,COLUMN(V194)+IF(OFFSET(V194,ROW(V$2)-ROW(V194),2)="T",1,IF(OFFSET(V194,ROW(V$2)-ROW(V194),1)="T",0,-1))),TRUE),INDIRECT("'"&amp; MID(OFFSET(V194,ROW(V$3)-ROW(V194),IF(OFFSET(V194,ROW(V$2)-ROW(V194),2)="T",0,IF(OFFSET(V194,ROW(V$2)-ROW(V194),1)="T",-1,-2))),1,6) &amp; "'!2:2",TRUE),0)-IF(OFFSET(V194,ROW(V$2)-ROW(V194),2)="T",1,IF(OFFSET(V194,ROW(V$2)-ROW(V194),1)="T",0,-1))),TRUE)</f>
        <v>0</v>
      </c>
      <c r="W194" s="362">
        <f t="shared" ca="1" si="349"/>
        <v>0</v>
      </c>
      <c r="X194" s="363">
        <f t="shared" ca="1" si="325"/>
        <v>0</v>
      </c>
      <c r="Y194" s="360">
        <f t="shared" ca="1" si="313"/>
        <v>0</v>
      </c>
      <c r="Z194" s="361">
        <f t="shared" ref="Z194:AA197" ca="1" si="350">INDIRECT("'"&amp; MID(OFFSET(Z194,ROW(Z$3)-ROW(Z194),IF(OFFSET(Z194,ROW(Z$2)-ROW(Z194),2)="T",0,IF(OFFSET(Z194,ROW(Z$2)-ROW(Z194),1)="T",-1,-2))),1,6) &amp; "'!" &amp; ADDRESS(ROW(Z194),MATCH(INDIRECT(ADDRESS(2,COLUMN(Z194)+IF(OFFSET(Z194,ROW(Z$2)-ROW(Z194),2)="T",1,IF(OFFSET(Z194,ROW(Z$2)-ROW(Z194),1)="T",0,-1))),TRUE),INDIRECT("'"&amp; MID(OFFSET(Z194,ROW(Z$3)-ROW(Z194),IF(OFFSET(Z194,ROW(Z$2)-ROW(Z194),2)="T",0,IF(OFFSET(Z194,ROW(Z$2)-ROW(Z194),1)="T",-1,-2))),1,6) &amp; "'!2:2",TRUE),0)-IF(OFFSET(Z194,ROW(Z$2)-ROW(Z194),2)="T",1,IF(OFFSET(Z194,ROW(Z$2)-ROW(Z194),1)="T",0,-1))),TRUE)</f>
        <v>0</v>
      </c>
      <c r="AA194" s="362">
        <f t="shared" ca="1" si="350"/>
        <v>0</v>
      </c>
      <c r="AB194" s="363">
        <f t="shared" ca="1" si="326"/>
        <v>0</v>
      </c>
      <c r="AC194" s="360">
        <f t="shared" ca="1" si="314"/>
        <v>0</v>
      </c>
      <c r="AD194" s="361">
        <f t="shared" ref="AD194:AE197" ca="1" si="351">INDIRECT("'"&amp; MID(OFFSET(AD194,ROW(AD$3)-ROW(AD194),IF(OFFSET(AD194,ROW(AD$2)-ROW(AD194),2)="T",0,IF(OFFSET(AD194,ROW(AD$2)-ROW(AD194),1)="T",-1,-2))),1,6) &amp; "'!" &amp; ADDRESS(ROW(AD194),MATCH(INDIRECT(ADDRESS(2,COLUMN(AD194)+IF(OFFSET(AD194,ROW(AD$2)-ROW(AD194),2)="T",1,IF(OFFSET(AD194,ROW(AD$2)-ROW(AD194),1)="T",0,-1))),TRUE),INDIRECT("'"&amp; MID(OFFSET(AD194,ROW(AD$3)-ROW(AD194),IF(OFFSET(AD194,ROW(AD$2)-ROW(AD194),2)="T",0,IF(OFFSET(AD194,ROW(AD$2)-ROW(AD194),1)="T",-1,-2))),1,6) &amp; "'!2:2",TRUE),0)-IF(OFFSET(AD194,ROW(AD$2)-ROW(AD194),2)="T",1,IF(OFFSET(AD194,ROW(AD$2)-ROW(AD194),1)="T",0,-1))),TRUE)</f>
        <v>0</v>
      </c>
      <c r="AE194" s="362">
        <f t="shared" ca="1" si="351"/>
        <v>0</v>
      </c>
      <c r="AF194" s="363">
        <f t="shared" ca="1" si="327"/>
        <v>0</v>
      </c>
      <c r="AG194" s="360">
        <f t="shared" ca="1" si="315"/>
        <v>0</v>
      </c>
      <c r="AH194" s="361">
        <f t="shared" ref="AH194:AI197" ca="1" si="352">INDIRECT("'"&amp; MID(OFFSET(AH194,ROW(AH$3)-ROW(AH194),IF(OFFSET(AH194,ROW(AH$2)-ROW(AH194),2)="T",0,IF(OFFSET(AH194,ROW(AH$2)-ROW(AH194),1)="T",-1,-2))),1,6) &amp; "'!" &amp; ADDRESS(ROW(AH194),MATCH(INDIRECT(ADDRESS(2,COLUMN(AH194)+IF(OFFSET(AH194,ROW(AH$2)-ROW(AH194),2)="T",1,IF(OFFSET(AH194,ROW(AH$2)-ROW(AH194),1)="T",0,-1))),TRUE),INDIRECT("'"&amp; MID(OFFSET(AH194,ROW(AH$3)-ROW(AH194),IF(OFFSET(AH194,ROW(AH$2)-ROW(AH194),2)="T",0,IF(OFFSET(AH194,ROW(AH$2)-ROW(AH194),1)="T",-1,-2))),1,6) &amp; "'!2:2",TRUE),0)-IF(OFFSET(AH194,ROW(AH$2)-ROW(AH194),2)="T",1,IF(OFFSET(AH194,ROW(AH$2)-ROW(AH194),1)="T",0,-1))),TRUE)</f>
        <v>0</v>
      </c>
      <c r="AI194" s="362">
        <f t="shared" ca="1" si="352"/>
        <v>0</v>
      </c>
      <c r="AJ194" s="363">
        <f t="shared" ca="1" si="328"/>
        <v>0</v>
      </c>
      <c r="AK194" s="360">
        <f t="shared" ca="1" si="316"/>
        <v>0</v>
      </c>
      <c r="AL194" s="361">
        <f t="shared" ref="AL194:AM197" ca="1" si="353">INDIRECT("'"&amp; MID(OFFSET(AL194,ROW(AL$3)-ROW(AL194),IF(OFFSET(AL194,ROW(AL$2)-ROW(AL194),2)="T",0,IF(OFFSET(AL194,ROW(AL$2)-ROW(AL194),1)="T",-1,-2))),1,6) &amp; "'!" &amp; ADDRESS(ROW(AL194),MATCH(INDIRECT(ADDRESS(2,COLUMN(AL194)+IF(OFFSET(AL194,ROW(AL$2)-ROW(AL194),2)="T",1,IF(OFFSET(AL194,ROW(AL$2)-ROW(AL194),1)="T",0,-1))),TRUE),INDIRECT("'"&amp; MID(OFFSET(AL194,ROW(AL$3)-ROW(AL194),IF(OFFSET(AL194,ROW(AL$2)-ROW(AL194),2)="T",0,IF(OFFSET(AL194,ROW(AL$2)-ROW(AL194),1)="T",-1,-2))),1,6) &amp; "'!2:2",TRUE),0)-IF(OFFSET(AL194,ROW(AL$2)-ROW(AL194),2)="T",1,IF(OFFSET(AL194,ROW(AL$2)-ROW(AL194),1)="T",0,-1))),TRUE)</f>
        <v>0</v>
      </c>
      <c r="AM194" s="362">
        <f t="shared" ca="1" si="353"/>
        <v>0</v>
      </c>
      <c r="AN194" s="363">
        <f t="shared" ca="1" si="329"/>
        <v>0</v>
      </c>
      <c r="AO194" s="360">
        <f t="shared" ca="1" si="317"/>
        <v>0</v>
      </c>
      <c r="AP194" s="361">
        <f t="shared" ref="AP194:AQ197" ca="1" si="354">INDIRECT("'"&amp; MID(OFFSET(AP194,ROW(AP$3)-ROW(AP194),IF(OFFSET(AP194,ROW(AP$2)-ROW(AP194),2)="T",0,IF(OFFSET(AP194,ROW(AP$2)-ROW(AP194),1)="T",-1,-2))),1,6) &amp; "'!" &amp; ADDRESS(ROW(AP194),MATCH(INDIRECT(ADDRESS(2,COLUMN(AP194)+IF(OFFSET(AP194,ROW(AP$2)-ROW(AP194),2)="T",1,IF(OFFSET(AP194,ROW(AP$2)-ROW(AP194),1)="T",0,-1))),TRUE),INDIRECT("'"&amp; MID(OFFSET(AP194,ROW(AP$3)-ROW(AP194),IF(OFFSET(AP194,ROW(AP$2)-ROW(AP194),2)="T",0,IF(OFFSET(AP194,ROW(AP$2)-ROW(AP194),1)="T",-1,-2))),1,6) &amp; "'!2:2",TRUE),0)-IF(OFFSET(AP194,ROW(AP$2)-ROW(AP194),2)="T",1,IF(OFFSET(AP194,ROW(AP$2)-ROW(AP194),1)="T",0,-1))),TRUE)</f>
        <v>0</v>
      </c>
      <c r="AQ194" s="362">
        <f t="shared" ca="1" si="354"/>
        <v>0</v>
      </c>
      <c r="AR194" s="363">
        <f t="shared" ca="1" si="330"/>
        <v>0</v>
      </c>
      <c r="AS194" s="360">
        <f t="shared" ca="1" si="318"/>
        <v>0</v>
      </c>
      <c r="AT194" s="361">
        <f t="shared" ref="AT194:AU197" ca="1" si="355">INDIRECT("'"&amp; MID(OFFSET(AT194,ROW(AT$3)-ROW(AT194),IF(OFFSET(AT194,ROW(AT$2)-ROW(AT194),2)="T",0,IF(OFFSET(AT194,ROW(AT$2)-ROW(AT194),1)="T",-1,-2))),1,6) &amp; "'!" &amp; ADDRESS(ROW(AT194),MATCH(INDIRECT(ADDRESS(2,COLUMN(AT194)+IF(OFFSET(AT194,ROW(AT$2)-ROW(AT194),2)="T",1,IF(OFFSET(AT194,ROW(AT$2)-ROW(AT194),1)="T",0,-1))),TRUE),INDIRECT("'"&amp; MID(OFFSET(AT194,ROW(AT$3)-ROW(AT194),IF(OFFSET(AT194,ROW(AT$2)-ROW(AT194),2)="T",0,IF(OFFSET(AT194,ROW(AT$2)-ROW(AT194),1)="T",-1,-2))),1,6) &amp; "'!2:2",TRUE),0)-IF(OFFSET(AT194,ROW(AT$2)-ROW(AT194),2)="T",1,IF(OFFSET(AT194,ROW(AT$2)-ROW(AT194),1)="T",0,-1))),TRUE)</f>
        <v>0</v>
      </c>
      <c r="AU194" s="362">
        <f t="shared" ca="1" si="355"/>
        <v>0</v>
      </c>
      <c r="AV194" s="363">
        <f t="shared" ca="1" si="331"/>
        <v>0</v>
      </c>
      <c r="AW194" s="360">
        <f t="shared" ca="1" si="319"/>
        <v>0</v>
      </c>
      <c r="AX194" s="361">
        <f t="shared" ref="AX194:AY197" ca="1" si="356">INDIRECT("'"&amp; MID(OFFSET(AX194,ROW(AX$3)-ROW(AX194),IF(OFFSET(AX194,ROW(AX$2)-ROW(AX194),2)="T",0,IF(OFFSET(AX194,ROW(AX$2)-ROW(AX194),1)="T",-1,-2))),1,6) &amp; "'!" &amp; ADDRESS(ROW(AX194),MATCH(INDIRECT(ADDRESS(2,COLUMN(AX194)+IF(OFFSET(AX194,ROW(AX$2)-ROW(AX194),2)="T",1,IF(OFFSET(AX194,ROW(AX$2)-ROW(AX194),1)="T",0,-1))),TRUE),INDIRECT("'"&amp; MID(OFFSET(AX194,ROW(AX$3)-ROW(AX194),IF(OFFSET(AX194,ROW(AX$2)-ROW(AX194),2)="T",0,IF(OFFSET(AX194,ROW(AX$2)-ROW(AX194),1)="T",-1,-2))),1,6) &amp; "'!2:2",TRUE),0)-IF(OFFSET(AX194,ROW(AX$2)-ROW(AX194),2)="T",1,IF(OFFSET(AX194,ROW(AX$2)-ROW(AX194),1)="T",0,-1))),TRUE)</f>
        <v>0</v>
      </c>
      <c r="AY194" s="362">
        <f t="shared" ca="1" si="356"/>
        <v>0</v>
      </c>
      <c r="AZ194" s="363">
        <f t="shared" ca="1" si="332"/>
        <v>0</v>
      </c>
      <c r="BA194" s="360">
        <f t="shared" ca="1" si="320"/>
        <v>0</v>
      </c>
      <c r="BB194" s="361">
        <f t="shared" ref="BB194:BC197" ca="1" si="357">INDIRECT("'"&amp; MID(OFFSET(BB194,ROW(BB$3)-ROW(BB194),IF(OFFSET(BB194,ROW(BB$2)-ROW(BB194),2)="T",0,IF(OFFSET(BB194,ROW(BB$2)-ROW(BB194),1)="T",-1,-2))),1,6) &amp; "'!" &amp; ADDRESS(ROW(BB194),MATCH(INDIRECT(ADDRESS(2,COLUMN(BB194)+IF(OFFSET(BB194,ROW(BB$2)-ROW(BB194),2)="T",1,IF(OFFSET(BB194,ROW(BB$2)-ROW(BB194),1)="T",0,-1))),TRUE),INDIRECT("'"&amp; MID(OFFSET(BB194,ROW(BB$3)-ROW(BB194),IF(OFFSET(BB194,ROW(BB$2)-ROW(BB194),2)="T",0,IF(OFFSET(BB194,ROW(BB$2)-ROW(BB194),1)="T",-1,-2))),1,6) &amp; "'!2:2",TRUE),0)-IF(OFFSET(BB194,ROW(BB$2)-ROW(BB194),2)="T",1,IF(OFFSET(BB194,ROW(BB$2)-ROW(BB194),1)="T",0,-1))),TRUE)</f>
        <v>0</v>
      </c>
      <c r="BC194" s="362">
        <f t="shared" ca="1" si="357"/>
        <v>0</v>
      </c>
      <c r="BD194" s="363">
        <f t="shared" ca="1" si="333"/>
        <v>0</v>
      </c>
      <c r="BE194" s="360">
        <f t="shared" ca="1" si="321"/>
        <v>0</v>
      </c>
      <c r="BF194" s="361">
        <f t="shared" ref="BF194:BG197" ca="1" si="358">INDIRECT("'"&amp; MID(OFFSET(BF194,ROW(BF$3)-ROW(BF194),IF(OFFSET(BF194,ROW(BF$2)-ROW(BF194),2)="T",0,IF(OFFSET(BF194,ROW(BF$2)-ROW(BF194),1)="T",-1,-2))),1,6) &amp; "'!" &amp; ADDRESS(ROW(BF194),MATCH(INDIRECT(ADDRESS(2,COLUMN(BF194)+IF(OFFSET(BF194,ROW(BF$2)-ROW(BF194),2)="T",1,IF(OFFSET(BF194,ROW(BF$2)-ROW(BF194),1)="T",0,-1))),TRUE),INDIRECT("'"&amp; MID(OFFSET(BF194,ROW(BF$3)-ROW(BF194),IF(OFFSET(BF194,ROW(BF$2)-ROW(BF194),2)="T",0,IF(OFFSET(BF194,ROW(BF$2)-ROW(BF194),1)="T",-1,-2))),1,6) &amp; "'!2:2",TRUE),0)-IF(OFFSET(BF194,ROW(BF$2)-ROW(BF194),2)="T",1,IF(OFFSET(BF194,ROW(BF$2)-ROW(BF194),1)="T",0,-1))),TRUE)</f>
        <v>0</v>
      </c>
      <c r="BG194" s="362">
        <f t="shared" ca="1" si="358"/>
        <v>0</v>
      </c>
      <c r="BH194" s="363">
        <f t="shared" ca="1" si="334"/>
        <v>0</v>
      </c>
      <c r="BI194" s="360">
        <f t="shared" ca="1" si="322"/>
        <v>0</v>
      </c>
      <c r="BJ194" s="361">
        <f t="shared" ref="BJ194:BK197" ca="1" si="359">INDIRECT("'"&amp; MID(OFFSET(BJ194,ROW(BJ$3)-ROW(BJ194),IF(OFFSET(BJ194,ROW(BJ$2)-ROW(BJ194),2)="T",0,IF(OFFSET(BJ194,ROW(BJ$2)-ROW(BJ194),1)="T",-1,-2))),1,6) &amp; "'!" &amp; ADDRESS(ROW(BJ194),MATCH(INDIRECT(ADDRESS(2,COLUMN(BJ194)+IF(OFFSET(BJ194,ROW(BJ$2)-ROW(BJ194),2)="T",1,IF(OFFSET(BJ194,ROW(BJ$2)-ROW(BJ194),1)="T",0,-1))),TRUE),INDIRECT("'"&amp; MID(OFFSET(BJ194,ROW(BJ$3)-ROW(BJ194),IF(OFFSET(BJ194,ROW(BJ$2)-ROW(BJ194),2)="T",0,IF(OFFSET(BJ194,ROW(BJ$2)-ROW(BJ194),1)="T",-1,-2))),1,6) &amp; "'!2:2",TRUE),0)-IF(OFFSET(BJ194,ROW(BJ$2)-ROW(BJ194),2)="T",1,IF(OFFSET(BJ194,ROW(BJ$2)-ROW(BJ194),1)="T",0,-1))),TRUE)</f>
        <v>0</v>
      </c>
      <c r="BK194" s="362">
        <f t="shared" ca="1" si="359"/>
        <v>0</v>
      </c>
      <c r="BL194" s="363">
        <f t="shared" ca="1" si="335"/>
        <v>0</v>
      </c>
      <c r="BM194" s="360">
        <f t="shared" ca="1" si="323"/>
        <v>0</v>
      </c>
      <c r="BN194" s="360">
        <f t="shared" ca="1" si="323"/>
        <v>0</v>
      </c>
    </row>
    <row r="195" spans="1:66">
      <c r="A195" s="221" t="str">
        <f t="shared" ca="1" si="310"/>
        <v>WP006</v>
      </c>
      <c r="B195" s="221" t="str">
        <f t="shared" ca="1" si="311"/>
        <v>WP006</v>
      </c>
      <c r="C195" s="221">
        <v>7</v>
      </c>
      <c r="D195" s="221" t="s">
        <v>103</v>
      </c>
      <c r="L195" s="221" t="s">
        <v>99</v>
      </c>
      <c r="M195" s="221" t="s">
        <v>80</v>
      </c>
      <c r="N195" s="461"/>
      <c r="O195" s="252"/>
      <c r="P195" s="253"/>
      <c r="Q195" s="254" t="s">
        <v>104</v>
      </c>
      <c r="R195" s="361">
        <f t="shared" ca="1" si="348"/>
        <v>0</v>
      </c>
      <c r="S195" s="362">
        <f t="shared" ca="1" si="348"/>
        <v>0</v>
      </c>
      <c r="T195" s="363">
        <f t="shared" ca="1" si="324"/>
        <v>0</v>
      </c>
      <c r="U195" s="360">
        <f t="shared" ca="1" si="312"/>
        <v>0</v>
      </c>
      <c r="V195" s="361">
        <f t="shared" ca="1" si="349"/>
        <v>0</v>
      </c>
      <c r="W195" s="362">
        <f t="shared" ca="1" si="349"/>
        <v>0</v>
      </c>
      <c r="X195" s="363">
        <f t="shared" ca="1" si="325"/>
        <v>0</v>
      </c>
      <c r="Y195" s="360">
        <f t="shared" ca="1" si="313"/>
        <v>0</v>
      </c>
      <c r="Z195" s="361">
        <f t="shared" ca="1" si="350"/>
        <v>0</v>
      </c>
      <c r="AA195" s="362">
        <f t="shared" ca="1" si="350"/>
        <v>0</v>
      </c>
      <c r="AB195" s="363">
        <f t="shared" ca="1" si="326"/>
        <v>0</v>
      </c>
      <c r="AC195" s="360">
        <f t="shared" ca="1" si="314"/>
        <v>0</v>
      </c>
      <c r="AD195" s="361">
        <f t="shared" ca="1" si="351"/>
        <v>0</v>
      </c>
      <c r="AE195" s="362">
        <f t="shared" ca="1" si="351"/>
        <v>0</v>
      </c>
      <c r="AF195" s="363">
        <f t="shared" ca="1" si="327"/>
        <v>0</v>
      </c>
      <c r="AG195" s="360">
        <f t="shared" ca="1" si="315"/>
        <v>0</v>
      </c>
      <c r="AH195" s="361">
        <f t="shared" ca="1" si="352"/>
        <v>0</v>
      </c>
      <c r="AI195" s="362">
        <f t="shared" ca="1" si="352"/>
        <v>0</v>
      </c>
      <c r="AJ195" s="363">
        <f t="shared" ca="1" si="328"/>
        <v>0</v>
      </c>
      <c r="AK195" s="360">
        <f t="shared" ca="1" si="316"/>
        <v>0</v>
      </c>
      <c r="AL195" s="361">
        <f t="shared" ca="1" si="353"/>
        <v>0</v>
      </c>
      <c r="AM195" s="362">
        <f t="shared" ca="1" si="353"/>
        <v>0</v>
      </c>
      <c r="AN195" s="363">
        <f t="shared" ca="1" si="329"/>
        <v>0</v>
      </c>
      <c r="AO195" s="360">
        <f t="shared" ca="1" si="317"/>
        <v>0</v>
      </c>
      <c r="AP195" s="361">
        <f t="shared" ca="1" si="354"/>
        <v>0</v>
      </c>
      <c r="AQ195" s="362">
        <f t="shared" ca="1" si="354"/>
        <v>0</v>
      </c>
      <c r="AR195" s="363">
        <f t="shared" ca="1" si="330"/>
        <v>0</v>
      </c>
      <c r="AS195" s="360">
        <f t="shared" ca="1" si="318"/>
        <v>0</v>
      </c>
      <c r="AT195" s="361">
        <f t="shared" ca="1" si="355"/>
        <v>0</v>
      </c>
      <c r="AU195" s="362">
        <f t="shared" ca="1" si="355"/>
        <v>0</v>
      </c>
      <c r="AV195" s="363">
        <f t="shared" ca="1" si="331"/>
        <v>0</v>
      </c>
      <c r="AW195" s="360">
        <f t="shared" ca="1" si="319"/>
        <v>0</v>
      </c>
      <c r="AX195" s="361">
        <f t="shared" ca="1" si="356"/>
        <v>0</v>
      </c>
      <c r="AY195" s="362">
        <f t="shared" ca="1" si="356"/>
        <v>0</v>
      </c>
      <c r="AZ195" s="363">
        <f t="shared" ca="1" si="332"/>
        <v>0</v>
      </c>
      <c r="BA195" s="360">
        <f t="shared" ca="1" si="320"/>
        <v>0</v>
      </c>
      <c r="BB195" s="361">
        <f t="shared" ca="1" si="357"/>
        <v>0</v>
      </c>
      <c r="BC195" s="362">
        <f t="shared" ca="1" si="357"/>
        <v>0</v>
      </c>
      <c r="BD195" s="363">
        <f t="shared" ca="1" si="333"/>
        <v>0</v>
      </c>
      <c r="BE195" s="360">
        <f t="shared" ca="1" si="321"/>
        <v>0</v>
      </c>
      <c r="BF195" s="361">
        <f t="shared" ca="1" si="358"/>
        <v>0</v>
      </c>
      <c r="BG195" s="362">
        <f t="shared" ca="1" si="358"/>
        <v>0</v>
      </c>
      <c r="BH195" s="363">
        <f t="shared" ca="1" si="334"/>
        <v>0</v>
      </c>
      <c r="BI195" s="360">
        <f t="shared" ca="1" si="322"/>
        <v>0</v>
      </c>
      <c r="BJ195" s="361">
        <f t="shared" ca="1" si="359"/>
        <v>0</v>
      </c>
      <c r="BK195" s="362">
        <f t="shared" ca="1" si="359"/>
        <v>0</v>
      </c>
      <c r="BL195" s="363">
        <f t="shared" ca="1" si="335"/>
        <v>0</v>
      </c>
      <c r="BM195" s="360">
        <f t="shared" ca="1" si="323"/>
        <v>0</v>
      </c>
      <c r="BN195" s="360">
        <f t="shared" ca="1" si="323"/>
        <v>0</v>
      </c>
    </row>
    <row r="196" spans="1:66">
      <c r="A196" s="221" t="str">
        <f t="shared" ca="1" si="310"/>
        <v>WP006</v>
      </c>
      <c r="B196" s="221" t="str">
        <f t="shared" ca="1" si="311"/>
        <v>WP006</v>
      </c>
      <c r="C196" s="221">
        <v>7</v>
      </c>
      <c r="D196" s="221" t="s">
        <v>105</v>
      </c>
      <c r="L196" s="221" t="s">
        <v>99</v>
      </c>
      <c r="M196" s="221" t="s">
        <v>80</v>
      </c>
      <c r="N196" s="461"/>
      <c r="O196" s="252"/>
      <c r="P196" s="253"/>
      <c r="Q196" s="254" t="s">
        <v>106</v>
      </c>
      <c r="R196" s="361">
        <f t="shared" ca="1" si="348"/>
        <v>0</v>
      </c>
      <c r="S196" s="362">
        <f t="shared" ca="1" si="348"/>
        <v>0</v>
      </c>
      <c r="T196" s="363">
        <f t="shared" ca="1" si="324"/>
        <v>0</v>
      </c>
      <c r="U196" s="360">
        <f t="shared" ca="1" si="312"/>
        <v>0</v>
      </c>
      <c r="V196" s="361">
        <f t="shared" ca="1" si="349"/>
        <v>0</v>
      </c>
      <c r="W196" s="362">
        <f t="shared" ca="1" si="349"/>
        <v>0</v>
      </c>
      <c r="X196" s="363">
        <f t="shared" ca="1" si="325"/>
        <v>0</v>
      </c>
      <c r="Y196" s="360">
        <f t="shared" ca="1" si="313"/>
        <v>0</v>
      </c>
      <c r="Z196" s="361">
        <f t="shared" ca="1" si="350"/>
        <v>0</v>
      </c>
      <c r="AA196" s="362">
        <f t="shared" ca="1" si="350"/>
        <v>0</v>
      </c>
      <c r="AB196" s="363">
        <f t="shared" ca="1" si="326"/>
        <v>0</v>
      </c>
      <c r="AC196" s="360">
        <f t="shared" ca="1" si="314"/>
        <v>0</v>
      </c>
      <c r="AD196" s="361">
        <f t="shared" ca="1" si="351"/>
        <v>0</v>
      </c>
      <c r="AE196" s="362">
        <f t="shared" ca="1" si="351"/>
        <v>0</v>
      </c>
      <c r="AF196" s="363">
        <f t="shared" ca="1" si="327"/>
        <v>0</v>
      </c>
      <c r="AG196" s="360">
        <f t="shared" ca="1" si="315"/>
        <v>0</v>
      </c>
      <c r="AH196" s="361">
        <f t="shared" ca="1" si="352"/>
        <v>0</v>
      </c>
      <c r="AI196" s="362">
        <f t="shared" ca="1" si="352"/>
        <v>0</v>
      </c>
      <c r="AJ196" s="363">
        <f t="shared" ca="1" si="328"/>
        <v>0</v>
      </c>
      <c r="AK196" s="360">
        <f t="shared" ca="1" si="316"/>
        <v>0</v>
      </c>
      <c r="AL196" s="361">
        <f t="shared" ca="1" si="353"/>
        <v>0</v>
      </c>
      <c r="AM196" s="362">
        <f t="shared" ca="1" si="353"/>
        <v>0</v>
      </c>
      <c r="AN196" s="363">
        <f t="shared" ca="1" si="329"/>
        <v>0</v>
      </c>
      <c r="AO196" s="360">
        <f t="shared" ca="1" si="317"/>
        <v>0</v>
      </c>
      <c r="AP196" s="361">
        <f t="shared" ca="1" si="354"/>
        <v>0</v>
      </c>
      <c r="AQ196" s="362">
        <f t="shared" ca="1" si="354"/>
        <v>0</v>
      </c>
      <c r="AR196" s="363">
        <f t="shared" ca="1" si="330"/>
        <v>0</v>
      </c>
      <c r="AS196" s="360">
        <f t="shared" ca="1" si="318"/>
        <v>0</v>
      </c>
      <c r="AT196" s="361">
        <f t="shared" ca="1" si="355"/>
        <v>0</v>
      </c>
      <c r="AU196" s="362">
        <f t="shared" ca="1" si="355"/>
        <v>0</v>
      </c>
      <c r="AV196" s="363">
        <f t="shared" ca="1" si="331"/>
        <v>0</v>
      </c>
      <c r="AW196" s="360">
        <f t="shared" ca="1" si="319"/>
        <v>0</v>
      </c>
      <c r="AX196" s="361">
        <f t="shared" ca="1" si="356"/>
        <v>0</v>
      </c>
      <c r="AY196" s="362">
        <f t="shared" ca="1" si="356"/>
        <v>0</v>
      </c>
      <c r="AZ196" s="363">
        <f t="shared" ca="1" si="332"/>
        <v>0</v>
      </c>
      <c r="BA196" s="360">
        <f t="shared" ca="1" si="320"/>
        <v>0</v>
      </c>
      <c r="BB196" s="361">
        <f t="shared" ca="1" si="357"/>
        <v>0</v>
      </c>
      <c r="BC196" s="362">
        <f t="shared" ca="1" si="357"/>
        <v>0</v>
      </c>
      <c r="BD196" s="363">
        <f t="shared" ca="1" si="333"/>
        <v>0</v>
      </c>
      <c r="BE196" s="360">
        <f t="shared" ca="1" si="321"/>
        <v>0</v>
      </c>
      <c r="BF196" s="361">
        <f t="shared" ca="1" si="358"/>
        <v>0</v>
      </c>
      <c r="BG196" s="362">
        <f t="shared" ca="1" si="358"/>
        <v>0</v>
      </c>
      <c r="BH196" s="363">
        <f t="shared" ca="1" si="334"/>
        <v>0</v>
      </c>
      <c r="BI196" s="360">
        <f t="shared" ca="1" si="322"/>
        <v>0</v>
      </c>
      <c r="BJ196" s="361">
        <f t="shared" ca="1" si="359"/>
        <v>0</v>
      </c>
      <c r="BK196" s="362">
        <f t="shared" ca="1" si="359"/>
        <v>0</v>
      </c>
      <c r="BL196" s="363">
        <f t="shared" ca="1" si="335"/>
        <v>0</v>
      </c>
      <c r="BM196" s="360">
        <f t="shared" ca="1" si="323"/>
        <v>0</v>
      </c>
      <c r="BN196" s="360">
        <f t="shared" ca="1" si="323"/>
        <v>0</v>
      </c>
    </row>
    <row r="197" spans="1:66">
      <c r="A197" s="221" t="str">
        <f t="shared" ca="1" si="310"/>
        <v>WP006</v>
      </c>
      <c r="B197" s="221" t="str">
        <f t="shared" ca="1" si="311"/>
        <v>WP006</v>
      </c>
      <c r="C197" s="221">
        <v>5</v>
      </c>
      <c r="D197" s="221" t="s">
        <v>107</v>
      </c>
      <c r="J197" s="222" t="s">
        <v>96</v>
      </c>
      <c r="M197" s="221" t="s">
        <v>80</v>
      </c>
      <c r="N197" s="461"/>
      <c r="O197" s="255"/>
      <c r="P197" s="456" t="s">
        <v>108</v>
      </c>
      <c r="Q197" s="456"/>
      <c r="R197" s="364">
        <f t="shared" ca="1" si="348"/>
        <v>0</v>
      </c>
      <c r="S197" s="358">
        <f t="shared" ca="1" si="348"/>
        <v>0</v>
      </c>
      <c r="T197" s="359">
        <f t="shared" ca="1" si="324"/>
        <v>0</v>
      </c>
      <c r="U197" s="360">
        <f t="shared" ca="1" si="312"/>
        <v>0</v>
      </c>
      <c r="V197" s="364">
        <f t="shared" ca="1" si="349"/>
        <v>0</v>
      </c>
      <c r="W197" s="358">
        <f t="shared" ca="1" si="349"/>
        <v>0</v>
      </c>
      <c r="X197" s="359">
        <f t="shared" ca="1" si="325"/>
        <v>0</v>
      </c>
      <c r="Y197" s="360">
        <f t="shared" ca="1" si="313"/>
        <v>0</v>
      </c>
      <c r="Z197" s="364">
        <f t="shared" ca="1" si="350"/>
        <v>0</v>
      </c>
      <c r="AA197" s="358">
        <f t="shared" ca="1" si="350"/>
        <v>0</v>
      </c>
      <c r="AB197" s="359">
        <f t="shared" ca="1" si="326"/>
        <v>0</v>
      </c>
      <c r="AC197" s="360">
        <f t="shared" ca="1" si="314"/>
        <v>0</v>
      </c>
      <c r="AD197" s="364">
        <f t="shared" ca="1" si="351"/>
        <v>0</v>
      </c>
      <c r="AE197" s="358">
        <f t="shared" ca="1" si="351"/>
        <v>0</v>
      </c>
      <c r="AF197" s="359">
        <f t="shared" ca="1" si="327"/>
        <v>0</v>
      </c>
      <c r="AG197" s="360">
        <f t="shared" ca="1" si="315"/>
        <v>0</v>
      </c>
      <c r="AH197" s="364">
        <f t="shared" ca="1" si="352"/>
        <v>0</v>
      </c>
      <c r="AI197" s="358">
        <f t="shared" ca="1" si="352"/>
        <v>0</v>
      </c>
      <c r="AJ197" s="359">
        <f t="shared" ca="1" si="328"/>
        <v>0</v>
      </c>
      <c r="AK197" s="360">
        <f t="shared" ca="1" si="316"/>
        <v>0</v>
      </c>
      <c r="AL197" s="364">
        <f t="shared" ca="1" si="353"/>
        <v>0</v>
      </c>
      <c r="AM197" s="358">
        <f t="shared" ca="1" si="353"/>
        <v>0</v>
      </c>
      <c r="AN197" s="359">
        <f t="shared" ca="1" si="329"/>
        <v>0</v>
      </c>
      <c r="AO197" s="360">
        <f t="shared" ca="1" si="317"/>
        <v>0</v>
      </c>
      <c r="AP197" s="364">
        <f t="shared" ca="1" si="354"/>
        <v>0</v>
      </c>
      <c r="AQ197" s="358">
        <f t="shared" ca="1" si="354"/>
        <v>0</v>
      </c>
      <c r="AR197" s="359">
        <f t="shared" ca="1" si="330"/>
        <v>0</v>
      </c>
      <c r="AS197" s="360">
        <f t="shared" ca="1" si="318"/>
        <v>0</v>
      </c>
      <c r="AT197" s="364">
        <f t="shared" ca="1" si="355"/>
        <v>0</v>
      </c>
      <c r="AU197" s="358">
        <f t="shared" ca="1" si="355"/>
        <v>0</v>
      </c>
      <c r="AV197" s="359">
        <f t="shared" ca="1" si="331"/>
        <v>0</v>
      </c>
      <c r="AW197" s="360">
        <f t="shared" ca="1" si="319"/>
        <v>0</v>
      </c>
      <c r="AX197" s="364">
        <f t="shared" ca="1" si="356"/>
        <v>0</v>
      </c>
      <c r="AY197" s="358">
        <f t="shared" ca="1" si="356"/>
        <v>0</v>
      </c>
      <c r="AZ197" s="359">
        <f t="shared" ca="1" si="332"/>
        <v>0</v>
      </c>
      <c r="BA197" s="360">
        <f t="shared" ca="1" si="320"/>
        <v>0</v>
      </c>
      <c r="BB197" s="364">
        <f t="shared" ca="1" si="357"/>
        <v>0</v>
      </c>
      <c r="BC197" s="358">
        <f t="shared" ca="1" si="357"/>
        <v>0</v>
      </c>
      <c r="BD197" s="359">
        <f t="shared" ca="1" si="333"/>
        <v>0</v>
      </c>
      <c r="BE197" s="360">
        <f t="shared" ca="1" si="321"/>
        <v>0</v>
      </c>
      <c r="BF197" s="364">
        <f t="shared" ca="1" si="358"/>
        <v>0</v>
      </c>
      <c r="BG197" s="358">
        <f t="shared" ca="1" si="358"/>
        <v>0</v>
      </c>
      <c r="BH197" s="359">
        <f t="shared" ca="1" si="334"/>
        <v>0</v>
      </c>
      <c r="BI197" s="360">
        <f t="shared" ca="1" si="322"/>
        <v>0</v>
      </c>
      <c r="BJ197" s="364">
        <f t="shared" ca="1" si="359"/>
        <v>0</v>
      </c>
      <c r="BK197" s="358">
        <f t="shared" ca="1" si="359"/>
        <v>0</v>
      </c>
      <c r="BL197" s="359">
        <f t="shared" ca="1" si="335"/>
        <v>0</v>
      </c>
      <c r="BM197" s="360">
        <f t="shared" ca="1" si="323"/>
        <v>0</v>
      </c>
      <c r="BN197" s="360">
        <f t="shared" ca="1" si="323"/>
        <v>0</v>
      </c>
    </row>
    <row r="198" spans="1:66">
      <c r="A198" s="221" t="str">
        <f t="shared" ca="1" si="310"/>
        <v>WP006</v>
      </c>
      <c r="B198" s="221" t="str">
        <f t="shared" ca="1" si="311"/>
        <v>WP006</v>
      </c>
      <c r="C198" s="221">
        <v>6</v>
      </c>
      <c r="D198" s="221" t="s">
        <v>109</v>
      </c>
      <c r="J198" s="222" t="s">
        <v>96</v>
      </c>
      <c r="K198" s="221" t="s">
        <v>110</v>
      </c>
      <c r="M198" s="221" t="s">
        <v>46</v>
      </c>
      <c r="N198" s="461"/>
      <c r="O198" s="255"/>
      <c r="P198" s="456" t="s">
        <v>111</v>
      </c>
      <c r="Q198" s="456"/>
      <c r="R198" s="364"/>
      <c r="S198" s="358"/>
      <c r="T198" s="359">
        <f t="shared" ca="1" si="324"/>
        <v>0</v>
      </c>
      <c r="U198" s="360">
        <f t="shared" ca="1" si="312"/>
        <v>0</v>
      </c>
      <c r="V198" s="364"/>
      <c r="W198" s="358"/>
      <c r="X198" s="359">
        <f t="shared" ca="1" si="325"/>
        <v>0</v>
      </c>
      <c r="Y198" s="360">
        <f t="shared" ca="1" si="313"/>
        <v>0</v>
      </c>
      <c r="Z198" s="364"/>
      <c r="AA198" s="358"/>
      <c r="AB198" s="359">
        <f t="shared" ca="1" si="326"/>
        <v>0</v>
      </c>
      <c r="AC198" s="360">
        <f t="shared" ca="1" si="314"/>
        <v>0</v>
      </c>
      <c r="AD198" s="364"/>
      <c r="AE198" s="358"/>
      <c r="AF198" s="359">
        <f t="shared" ca="1" si="327"/>
        <v>0</v>
      </c>
      <c r="AG198" s="360">
        <f t="shared" ca="1" si="315"/>
        <v>0</v>
      </c>
      <c r="AH198" s="364"/>
      <c r="AI198" s="358"/>
      <c r="AJ198" s="359">
        <f t="shared" ca="1" si="328"/>
        <v>0</v>
      </c>
      <c r="AK198" s="360">
        <f t="shared" ca="1" si="316"/>
        <v>0</v>
      </c>
      <c r="AL198" s="364"/>
      <c r="AM198" s="358"/>
      <c r="AN198" s="359">
        <f t="shared" ca="1" si="329"/>
        <v>0</v>
      </c>
      <c r="AO198" s="360">
        <f t="shared" ca="1" si="317"/>
        <v>0</v>
      </c>
      <c r="AP198" s="364"/>
      <c r="AQ198" s="358"/>
      <c r="AR198" s="359">
        <f t="shared" ca="1" si="330"/>
        <v>0</v>
      </c>
      <c r="AS198" s="360">
        <f t="shared" ca="1" si="318"/>
        <v>0</v>
      </c>
      <c r="AT198" s="364"/>
      <c r="AU198" s="358"/>
      <c r="AV198" s="359">
        <f t="shared" ca="1" si="331"/>
        <v>0</v>
      </c>
      <c r="AW198" s="360">
        <f t="shared" ca="1" si="319"/>
        <v>0</v>
      </c>
      <c r="AX198" s="364"/>
      <c r="AY198" s="358"/>
      <c r="AZ198" s="359">
        <f t="shared" ca="1" si="332"/>
        <v>0</v>
      </c>
      <c r="BA198" s="360">
        <f t="shared" ca="1" si="320"/>
        <v>0</v>
      </c>
      <c r="BB198" s="364"/>
      <c r="BC198" s="358"/>
      <c r="BD198" s="359">
        <f t="shared" ca="1" si="333"/>
        <v>0</v>
      </c>
      <c r="BE198" s="360">
        <f t="shared" ca="1" si="321"/>
        <v>0</v>
      </c>
      <c r="BF198" s="364"/>
      <c r="BG198" s="358"/>
      <c r="BH198" s="359">
        <f t="shared" ca="1" si="334"/>
        <v>0</v>
      </c>
      <c r="BI198" s="360">
        <f t="shared" ca="1" si="322"/>
        <v>0</v>
      </c>
      <c r="BJ198" s="364"/>
      <c r="BK198" s="358"/>
      <c r="BL198" s="359">
        <f t="shared" ca="1" si="335"/>
        <v>0</v>
      </c>
      <c r="BM198" s="360">
        <f t="shared" ca="1" si="323"/>
        <v>0</v>
      </c>
      <c r="BN198" s="360">
        <f t="shared" ca="1" si="323"/>
        <v>0</v>
      </c>
    </row>
    <row r="199" spans="1:66">
      <c r="A199" s="221" t="str">
        <f t="shared" ca="1" si="310"/>
        <v>WP006</v>
      </c>
      <c r="B199" s="221" t="str">
        <f t="shared" ca="1" si="311"/>
        <v>WP006</v>
      </c>
      <c r="C199" s="221">
        <v>7</v>
      </c>
      <c r="D199" s="221" t="s">
        <v>112</v>
      </c>
      <c r="L199" s="221" t="s">
        <v>110</v>
      </c>
      <c r="M199" s="221" t="s">
        <v>80</v>
      </c>
      <c r="N199" s="461"/>
      <c r="O199" s="255"/>
      <c r="P199" s="389"/>
      <c r="Q199" s="254" t="s">
        <v>113</v>
      </c>
      <c r="R199" s="361">
        <f t="shared" ref="R199:S204" ca="1" si="360">INDIRECT("'"&amp; MID(OFFSET(R199,ROW(R$3)-ROW(R199),IF(OFFSET(R199,ROW(R$2)-ROW(R199),2)="T",0,IF(OFFSET(R199,ROW(R$2)-ROW(R199),1)="T",-1,-2))),1,6) &amp; "'!" &amp; ADDRESS(ROW(R199),MATCH(INDIRECT(ADDRESS(2,COLUMN(R199)+IF(OFFSET(R199,ROW(R$2)-ROW(R199),2)="T",1,IF(OFFSET(R199,ROW(R$2)-ROW(R199),1)="T",0,-1))),TRUE),INDIRECT("'"&amp; MID(OFFSET(R199,ROW(R$3)-ROW(R199),IF(OFFSET(R199,ROW(R$2)-ROW(R199),2)="T",0,IF(OFFSET(R199,ROW(R$2)-ROW(R199),1)="T",-1,-2))),1,6) &amp; "'!2:2",TRUE),0)-IF(OFFSET(R199,ROW(R$2)-ROW(R199),2)="T",1,IF(OFFSET(R199,ROW(R$2)-ROW(R199),1)="T",0,-1))),TRUE)</f>
        <v>0</v>
      </c>
      <c r="S199" s="362">
        <f t="shared" ca="1" si="360"/>
        <v>0</v>
      </c>
      <c r="T199" s="363">
        <f t="shared" ca="1" si="324"/>
        <v>0</v>
      </c>
      <c r="U199" s="360">
        <f t="shared" ca="1" si="312"/>
        <v>0</v>
      </c>
      <c r="V199" s="361">
        <f t="shared" ref="V199:W204" ca="1" si="361">INDIRECT("'"&amp; MID(OFFSET(V199,ROW(V$3)-ROW(V199),IF(OFFSET(V199,ROW(V$2)-ROW(V199),2)="T",0,IF(OFFSET(V199,ROW(V$2)-ROW(V199),1)="T",-1,-2))),1,6) &amp; "'!" &amp; ADDRESS(ROW(V199),MATCH(INDIRECT(ADDRESS(2,COLUMN(V199)+IF(OFFSET(V199,ROW(V$2)-ROW(V199),2)="T",1,IF(OFFSET(V199,ROW(V$2)-ROW(V199),1)="T",0,-1))),TRUE),INDIRECT("'"&amp; MID(OFFSET(V199,ROW(V$3)-ROW(V199),IF(OFFSET(V199,ROW(V$2)-ROW(V199),2)="T",0,IF(OFFSET(V199,ROW(V$2)-ROW(V199),1)="T",-1,-2))),1,6) &amp; "'!2:2",TRUE),0)-IF(OFFSET(V199,ROW(V$2)-ROW(V199),2)="T",1,IF(OFFSET(V199,ROW(V$2)-ROW(V199),1)="T",0,-1))),TRUE)</f>
        <v>0</v>
      </c>
      <c r="W199" s="362">
        <f t="shared" ca="1" si="361"/>
        <v>0</v>
      </c>
      <c r="X199" s="363">
        <f t="shared" ca="1" si="325"/>
        <v>0</v>
      </c>
      <c r="Y199" s="360">
        <f t="shared" ca="1" si="313"/>
        <v>0</v>
      </c>
      <c r="Z199" s="361">
        <f t="shared" ref="Z199:AA204" ca="1" si="362">INDIRECT("'"&amp; MID(OFFSET(Z199,ROW(Z$3)-ROW(Z199),IF(OFFSET(Z199,ROW(Z$2)-ROW(Z199),2)="T",0,IF(OFFSET(Z199,ROW(Z$2)-ROW(Z199),1)="T",-1,-2))),1,6) &amp; "'!" &amp; ADDRESS(ROW(Z199),MATCH(INDIRECT(ADDRESS(2,COLUMN(Z199)+IF(OFFSET(Z199,ROW(Z$2)-ROW(Z199),2)="T",1,IF(OFFSET(Z199,ROW(Z$2)-ROW(Z199),1)="T",0,-1))),TRUE),INDIRECT("'"&amp; MID(OFFSET(Z199,ROW(Z$3)-ROW(Z199),IF(OFFSET(Z199,ROW(Z$2)-ROW(Z199),2)="T",0,IF(OFFSET(Z199,ROW(Z$2)-ROW(Z199),1)="T",-1,-2))),1,6) &amp; "'!2:2",TRUE),0)-IF(OFFSET(Z199,ROW(Z$2)-ROW(Z199),2)="T",1,IF(OFFSET(Z199,ROW(Z$2)-ROW(Z199),1)="T",0,-1))),TRUE)</f>
        <v>0</v>
      </c>
      <c r="AA199" s="362">
        <f t="shared" ca="1" si="362"/>
        <v>0</v>
      </c>
      <c r="AB199" s="363">
        <f t="shared" ca="1" si="326"/>
        <v>0</v>
      </c>
      <c r="AC199" s="360">
        <f t="shared" ca="1" si="314"/>
        <v>0</v>
      </c>
      <c r="AD199" s="361">
        <f t="shared" ref="AD199:AE204" ca="1" si="363">INDIRECT("'"&amp; MID(OFFSET(AD199,ROW(AD$3)-ROW(AD199),IF(OFFSET(AD199,ROW(AD$2)-ROW(AD199),2)="T",0,IF(OFFSET(AD199,ROW(AD$2)-ROW(AD199),1)="T",-1,-2))),1,6) &amp; "'!" &amp; ADDRESS(ROW(AD199),MATCH(INDIRECT(ADDRESS(2,COLUMN(AD199)+IF(OFFSET(AD199,ROW(AD$2)-ROW(AD199),2)="T",1,IF(OFFSET(AD199,ROW(AD$2)-ROW(AD199),1)="T",0,-1))),TRUE),INDIRECT("'"&amp; MID(OFFSET(AD199,ROW(AD$3)-ROW(AD199),IF(OFFSET(AD199,ROW(AD$2)-ROW(AD199),2)="T",0,IF(OFFSET(AD199,ROW(AD$2)-ROW(AD199),1)="T",-1,-2))),1,6) &amp; "'!2:2",TRUE),0)-IF(OFFSET(AD199,ROW(AD$2)-ROW(AD199),2)="T",1,IF(OFFSET(AD199,ROW(AD$2)-ROW(AD199),1)="T",0,-1))),TRUE)</f>
        <v>0</v>
      </c>
      <c r="AE199" s="362">
        <f t="shared" ca="1" si="363"/>
        <v>0</v>
      </c>
      <c r="AF199" s="363">
        <f t="shared" ca="1" si="327"/>
        <v>0</v>
      </c>
      <c r="AG199" s="360">
        <f t="shared" ca="1" si="315"/>
        <v>0</v>
      </c>
      <c r="AH199" s="361">
        <f t="shared" ref="AH199:AI204" ca="1" si="364">INDIRECT("'"&amp; MID(OFFSET(AH199,ROW(AH$3)-ROW(AH199),IF(OFFSET(AH199,ROW(AH$2)-ROW(AH199),2)="T",0,IF(OFFSET(AH199,ROW(AH$2)-ROW(AH199),1)="T",-1,-2))),1,6) &amp; "'!" &amp; ADDRESS(ROW(AH199),MATCH(INDIRECT(ADDRESS(2,COLUMN(AH199)+IF(OFFSET(AH199,ROW(AH$2)-ROW(AH199),2)="T",1,IF(OFFSET(AH199,ROW(AH$2)-ROW(AH199),1)="T",0,-1))),TRUE),INDIRECT("'"&amp; MID(OFFSET(AH199,ROW(AH$3)-ROW(AH199),IF(OFFSET(AH199,ROW(AH$2)-ROW(AH199),2)="T",0,IF(OFFSET(AH199,ROW(AH$2)-ROW(AH199),1)="T",-1,-2))),1,6) &amp; "'!2:2",TRUE),0)-IF(OFFSET(AH199,ROW(AH$2)-ROW(AH199),2)="T",1,IF(OFFSET(AH199,ROW(AH$2)-ROW(AH199),1)="T",0,-1))),TRUE)</f>
        <v>0</v>
      </c>
      <c r="AI199" s="362">
        <f t="shared" ca="1" si="364"/>
        <v>0</v>
      </c>
      <c r="AJ199" s="363">
        <f t="shared" ca="1" si="328"/>
        <v>0</v>
      </c>
      <c r="AK199" s="360">
        <f t="shared" ca="1" si="316"/>
        <v>0</v>
      </c>
      <c r="AL199" s="361">
        <f t="shared" ref="AL199:AM204" ca="1" si="365">INDIRECT("'"&amp; MID(OFFSET(AL199,ROW(AL$3)-ROW(AL199),IF(OFFSET(AL199,ROW(AL$2)-ROW(AL199),2)="T",0,IF(OFFSET(AL199,ROW(AL$2)-ROW(AL199),1)="T",-1,-2))),1,6) &amp; "'!" &amp; ADDRESS(ROW(AL199),MATCH(INDIRECT(ADDRESS(2,COLUMN(AL199)+IF(OFFSET(AL199,ROW(AL$2)-ROW(AL199),2)="T",1,IF(OFFSET(AL199,ROW(AL$2)-ROW(AL199),1)="T",0,-1))),TRUE),INDIRECT("'"&amp; MID(OFFSET(AL199,ROW(AL$3)-ROW(AL199),IF(OFFSET(AL199,ROW(AL$2)-ROW(AL199),2)="T",0,IF(OFFSET(AL199,ROW(AL$2)-ROW(AL199),1)="T",-1,-2))),1,6) &amp; "'!2:2",TRUE),0)-IF(OFFSET(AL199,ROW(AL$2)-ROW(AL199),2)="T",1,IF(OFFSET(AL199,ROW(AL$2)-ROW(AL199),1)="T",0,-1))),TRUE)</f>
        <v>0</v>
      </c>
      <c r="AM199" s="362">
        <f t="shared" ca="1" si="365"/>
        <v>0</v>
      </c>
      <c r="AN199" s="363">
        <f t="shared" ca="1" si="329"/>
        <v>0</v>
      </c>
      <c r="AO199" s="360">
        <f t="shared" ca="1" si="317"/>
        <v>0</v>
      </c>
      <c r="AP199" s="361">
        <f t="shared" ref="AP199:AQ204" ca="1" si="366">INDIRECT("'"&amp; MID(OFFSET(AP199,ROW(AP$3)-ROW(AP199),IF(OFFSET(AP199,ROW(AP$2)-ROW(AP199),2)="T",0,IF(OFFSET(AP199,ROW(AP$2)-ROW(AP199),1)="T",-1,-2))),1,6) &amp; "'!" &amp; ADDRESS(ROW(AP199),MATCH(INDIRECT(ADDRESS(2,COLUMN(AP199)+IF(OFFSET(AP199,ROW(AP$2)-ROW(AP199),2)="T",1,IF(OFFSET(AP199,ROW(AP$2)-ROW(AP199),1)="T",0,-1))),TRUE),INDIRECT("'"&amp; MID(OFFSET(AP199,ROW(AP$3)-ROW(AP199),IF(OFFSET(AP199,ROW(AP$2)-ROW(AP199),2)="T",0,IF(OFFSET(AP199,ROW(AP$2)-ROW(AP199),1)="T",-1,-2))),1,6) &amp; "'!2:2",TRUE),0)-IF(OFFSET(AP199,ROW(AP$2)-ROW(AP199),2)="T",1,IF(OFFSET(AP199,ROW(AP$2)-ROW(AP199),1)="T",0,-1))),TRUE)</f>
        <v>0</v>
      </c>
      <c r="AQ199" s="362">
        <f t="shared" ca="1" si="366"/>
        <v>0</v>
      </c>
      <c r="AR199" s="363">
        <f t="shared" ca="1" si="330"/>
        <v>0</v>
      </c>
      <c r="AS199" s="360">
        <f t="shared" ca="1" si="318"/>
        <v>0</v>
      </c>
      <c r="AT199" s="361">
        <f t="shared" ref="AT199:AU204" ca="1" si="367">INDIRECT("'"&amp; MID(OFFSET(AT199,ROW(AT$3)-ROW(AT199),IF(OFFSET(AT199,ROW(AT$2)-ROW(AT199),2)="T",0,IF(OFFSET(AT199,ROW(AT$2)-ROW(AT199),1)="T",-1,-2))),1,6) &amp; "'!" &amp; ADDRESS(ROW(AT199),MATCH(INDIRECT(ADDRESS(2,COLUMN(AT199)+IF(OFFSET(AT199,ROW(AT$2)-ROW(AT199),2)="T",1,IF(OFFSET(AT199,ROW(AT$2)-ROW(AT199),1)="T",0,-1))),TRUE),INDIRECT("'"&amp; MID(OFFSET(AT199,ROW(AT$3)-ROW(AT199),IF(OFFSET(AT199,ROW(AT$2)-ROW(AT199),2)="T",0,IF(OFFSET(AT199,ROW(AT$2)-ROW(AT199),1)="T",-1,-2))),1,6) &amp; "'!2:2",TRUE),0)-IF(OFFSET(AT199,ROW(AT$2)-ROW(AT199),2)="T",1,IF(OFFSET(AT199,ROW(AT$2)-ROW(AT199),1)="T",0,-1))),TRUE)</f>
        <v>0</v>
      </c>
      <c r="AU199" s="362">
        <f t="shared" ca="1" si="367"/>
        <v>0</v>
      </c>
      <c r="AV199" s="363">
        <f t="shared" ca="1" si="331"/>
        <v>0</v>
      </c>
      <c r="AW199" s="360">
        <f t="shared" ca="1" si="319"/>
        <v>0</v>
      </c>
      <c r="AX199" s="361">
        <f t="shared" ref="AX199:AY204" ca="1" si="368">INDIRECT("'"&amp; MID(OFFSET(AX199,ROW(AX$3)-ROW(AX199),IF(OFFSET(AX199,ROW(AX$2)-ROW(AX199),2)="T",0,IF(OFFSET(AX199,ROW(AX$2)-ROW(AX199),1)="T",-1,-2))),1,6) &amp; "'!" &amp; ADDRESS(ROW(AX199),MATCH(INDIRECT(ADDRESS(2,COLUMN(AX199)+IF(OFFSET(AX199,ROW(AX$2)-ROW(AX199),2)="T",1,IF(OFFSET(AX199,ROW(AX$2)-ROW(AX199),1)="T",0,-1))),TRUE),INDIRECT("'"&amp; MID(OFFSET(AX199,ROW(AX$3)-ROW(AX199),IF(OFFSET(AX199,ROW(AX$2)-ROW(AX199),2)="T",0,IF(OFFSET(AX199,ROW(AX$2)-ROW(AX199),1)="T",-1,-2))),1,6) &amp; "'!2:2",TRUE),0)-IF(OFFSET(AX199,ROW(AX$2)-ROW(AX199),2)="T",1,IF(OFFSET(AX199,ROW(AX$2)-ROW(AX199),1)="T",0,-1))),TRUE)</f>
        <v>0</v>
      </c>
      <c r="AY199" s="362">
        <f t="shared" ca="1" si="368"/>
        <v>0</v>
      </c>
      <c r="AZ199" s="363">
        <f t="shared" ca="1" si="332"/>
        <v>0</v>
      </c>
      <c r="BA199" s="360">
        <f t="shared" ca="1" si="320"/>
        <v>0</v>
      </c>
      <c r="BB199" s="361">
        <f t="shared" ref="BB199:BC204" ca="1" si="369">INDIRECT("'"&amp; MID(OFFSET(BB199,ROW(BB$3)-ROW(BB199),IF(OFFSET(BB199,ROW(BB$2)-ROW(BB199),2)="T",0,IF(OFFSET(BB199,ROW(BB$2)-ROW(BB199),1)="T",-1,-2))),1,6) &amp; "'!" &amp; ADDRESS(ROW(BB199),MATCH(INDIRECT(ADDRESS(2,COLUMN(BB199)+IF(OFFSET(BB199,ROW(BB$2)-ROW(BB199),2)="T",1,IF(OFFSET(BB199,ROW(BB$2)-ROW(BB199),1)="T",0,-1))),TRUE),INDIRECT("'"&amp; MID(OFFSET(BB199,ROW(BB$3)-ROW(BB199),IF(OFFSET(BB199,ROW(BB$2)-ROW(BB199),2)="T",0,IF(OFFSET(BB199,ROW(BB$2)-ROW(BB199),1)="T",-1,-2))),1,6) &amp; "'!2:2",TRUE),0)-IF(OFFSET(BB199,ROW(BB$2)-ROW(BB199),2)="T",1,IF(OFFSET(BB199,ROW(BB$2)-ROW(BB199),1)="T",0,-1))),TRUE)</f>
        <v>0</v>
      </c>
      <c r="BC199" s="362">
        <f t="shared" ca="1" si="369"/>
        <v>0</v>
      </c>
      <c r="BD199" s="363">
        <f t="shared" ca="1" si="333"/>
        <v>0</v>
      </c>
      <c r="BE199" s="360">
        <f t="shared" ca="1" si="321"/>
        <v>0</v>
      </c>
      <c r="BF199" s="361">
        <f t="shared" ref="BF199:BG204" ca="1" si="370">INDIRECT("'"&amp; MID(OFFSET(BF199,ROW(BF$3)-ROW(BF199),IF(OFFSET(BF199,ROW(BF$2)-ROW(BF199),2)="T",0,IF(OFFSET(BF199,ROW(BF$2)-ROW(BF199),1)="T",-1,-2))),1,6) &amp; "'!" &amp; ADDRESS(ROW(BF199),MATCH(INDIRECT(ADDRESS(2,COLUMN(BF199)+IF(OFFSET(BF199,ROW(BF$2)-ROW(BF199),2)="T",1,IF(OFFSET(BF199,ROW(BF$2)-ROW(BF199),1)="T",0,-1))),TRUE),INDIRECT("'"&amp; MID(OFFSET(BF199,ROW(BF$3)-ROW(BF199),IF(OFFSET(BF199,ROW(BF$2)-ROW(BF199),2)="T",0,IF(OFFSET(BF199,ROW(BF$2)-ROW(BF199),1)="T",-1,-2))),1,6) &amp; "'!2:2",TRUE),0)-IF(OFFSET(BF199,ROW(BF$2)-ROW(BF199),2)="T",1,IF(OFFSET(BF199,ROW(BF$2)-ROW(BF199),1)="T",0,-1))),TRUE)</f>
        <v>0</v>
      </c>
      <c r="BG199" s="362">
        <f t="shared" ca="1" si="370"/>
        <v>0</v>
      </c>
      <c r="BH199" s="363">
        <f t="shared" ca="1" si="334"/>
        <v>0</v>
      </c>
      <c r="BI199" s="360">
        <f t="shared" ca="1" si="322"/>
        <v>0</v>
      </c>
      <c r="BJ199" s="361">
        <f t="shared" ref="BJ199:BK204" ca="1" si="371">INDIRECT("'"&amp; MID(OFFSET(BJ199,ROW(BJ$3)-ROW(BJ199),IF(OFFSET(BJ199,ROW(BJ$2)-ROW(BJ199),2)="T",0,IF(OFFSET(BJ199,ROW(BJ$2)-ROW(BJ199),1)="T",-1,-2))),1,6) &amp; "'!" &amp; ADDRESS(ROW(BJ199),MATCH(INDIRECT(ADDRESS(2,COLUMN(BJ199)+IF(OFFSET(BJ199,ROW(BJ$2)-ROW(BJ199),2)="T",1,IF(OFFSET(BJ199,ROW(BJ$2)-ROW(BJ199),1)="T",0,-1))),TRUE),INDIRECT("'"&amp; MID(OFFSET(BJ199,ROW(BJ$3)-ROW(BJ199),IF(OFFSET(BJ199,ROW(BJ$2)-ROW(BJ199),2)="T",0,IF(OFFSET(BJ199,ROW(BJ$2)-ROW(BJ199),1)="T",-1,-2))),1,6) &amp; "'!2:2",TRUE),0)-IF(OFFSET(BJ199,ROW(BJ$2)-ROW(BJ199),2)="T",1,IF(OFFSET(BJ199,ROW(BJ$2)-ROW(BJ199),1)="T",0,-1))),TRUE)</f>
        <v>0</v>
      </c>
      <c r="BK199" s="362">
        <f t="shared" ca="1" si="371"/>
        <v>0</v>
      </c>
      <c r="BL199" s="363">
        <f t="shared" ca="1" si="335"/>
        <v>0</v>
      </c>
      <c r="BM199" s="360">
        <f t="shared" ca="1" si="323"/>
        <v>0</v>
      </c>
      <c r="BN199" s="360">
        <f t="shared" ca="1" si="323"/>
        <v>0</v>
      </c>
    </row>
    <row r="200" spans="1:66">
      <c r="A200" s="221" t="str">
        <f t="shared" ca="1" si="310"/>
        <v>WP006</v>
      </c>
      <c r="B200" s="221" t="str">
        <f t="shared" ca="1" si="311"/>
        <v>WP006</v>
      </c>
      <c r="C200" s="221">
        <v>7</v>
      </c>
      <c r="D200" s="221" t="s">
        <v>114</v>
      </c>
      <c r="L200" s="221" t="s">
        <v>110</v>
      </c>
      <c r="M200" s="221" t="s">
        <v>80</v>
      </c>
      <c r="N200" s="461"/>
      <c r="O200" s="255"/>
      <c r="P200" s="389"/>
      <c r="Q200" s="254" t="s">
        <v>115</v>
      </c>
      <c r="R200" s="361">
        <f t="shared" ca="1" si="360"/>
        <v>0</v>
      </c>
      <c r="S200" s="362">
        <f t="shared" ca="1" si="360"/>
        <v>0</v>
      </c>
      <c r="T200" s="363">
        <f t="shared" ca="1" si="324"/>
        <v>0</v>
      </c>
      <c r="U200" s="360">
        <f t="shared" ca="1" si="312"/>
        <v>0</v>
      </c>
      <c r="V200" s="361">
        <f t="shared" ca="1" si="361"/>
        <v>0</v>
      </c>
      <c r="W200" s="362">
        <f t="shared" ca="1" si="361"/>
        <v>0</v>
      </c>
      <c r="X200" s="363">
        <f t="shared" ca="1" si="325"/>
        <v>0</v>
      </c>
      <c r="Y200" s="360">
        <f t="shared" ca="1" si="313"/>
        <v>0</v>
      </c>
      <c r="Z200" s="361">
        <f t="shared" ca="1" si="362"/>
        <v>0</v>
      </c>
      <c r="AA200" s="362">
        <f t="shared" ca="1" si="362"/>
        <v>0</v>
      </c>
      <c r="AB200" s="363">
        <f t="shared" ca="1" si="326"/>
        <v>0</v>
      </c>
      <c r="AC200" s="360">
        <f t="shared" ca="1" si="314"/>
        <v>0</v>
      </c>
      <c r="AD200" s="361">
        <f t="shared" ca="1" si="363"/>
        <v>0</v>
      </c>
      <c r="AE200" s="362">
        <f t="shared" ca="1" si="363"/>
        <v>0</v>
      </c>
      <c r="AF200" s="363">
        <f t="shared" ca="1" si="327"/>
        <v>0</v>
      </c>
      <c r="AG200" s="360">
        <f t="shared" ca="1" si="315"/>
        <v>0</v>
      </c>
      <c r="AH200" s="361">
        <f t="shared" ca="1" si="364"/>
        <v>0</v>
      </c>
      <c r="AI200" s="362">
        <f t="shared" ca="1" si="364"/>
        <v>0</v>
      </c>
      <c r="AJ200" s="363">
        <f t="shared" ca="1" si="328"/>
        <v>0</v>
      </c>
      <c r="AK200" s="360">
        <f t="shared" ca="1" si="316"/>
        <v>0</v>
      </c>
      <c r="AL200" s="361">
        <f t="shared" ca="1" si="365"/>
        <v>0</v>
      </c>
      <c r="AM200" s="362">
        <f t="shared" ca="1" si="365"/>
        <v>0</v>
      </c>
      <c r="AN200" s="363">
        <f t="shared" ca="1" si="329"/>
        <v>0</v>
      </c>
      <c r="AO200" s="360">
        <f t="shared" ca="1" si="317"/>
        <v>0</v>
      </c>
      <c r="AP200" s="361">
        <f t="shared" ca="1" si="366"/>
        <v>0</v>
      </c>
      <c r="AQ200" s="362">
        <f t="shared" ca="1" si="366"/>
        <v>0</v>
      </c>
      <c r="AR200" s="363">
        <f t="shared" ca="1" si="330"/>
        <v>0</v>
      </c>
      <c r="AS200" s="360">
        <f t="shared" ca="1" si="318"/>
        <v>0</v>
      </c>
      <c r="AT200" s="361">
        <f t="shared" ca="1" si="367"/>
        <v>0</v>
      </c>
      <c r="AU200" s="362">
        <f t="shared" ca="1" si="367"/>
        <v>0</v>
      </c>
      <c r="AV200" s="363">
        <f t="shared" ca="1" si="331"/>
        <v>0</v>
      </c>
      <c r="AW200" s="360">
        <f t="shared" ca="1" si="319"/>
        <v>0</v>
      </c>
      <c r="AX200" s="361">
        <f t="shared" ca="1" si="368"/>
        <v>0</v>
      </c>
      <c r="AY200" s="362">
        <f t="shared" ca="1" si="368"/>
        <v>0</v>
      </c>
      <c r="AZ200" s="363">
        <f t="shared" ca="1" si="332"/>
        <v>0</v>
      </c>
      <c r="BA200" s="360">
        <f t="shared" ca="1" si="320"/>
        <v>0</v>
      </c>
      <c r="BB200" s="361">
        <f t="shared" ca="1" si="369"/>
        <v>0</v>
      </c>
      <c r="BC200" s="362">
        <f t="shared" ca="1" si="369"/>
        <v>0</v>
      </c>
      <c r="BD200" s="363">
        <f t="shared" ca="1" si="333"/>
        <v>0</v>
      </c>
      <c r="BE200" s="360">
        <f t="shared" ca="1" si="321"/>
        <v>0</v>
      </c>
      <c r="BF200" s="361">
        <f t="shared" ca="1" si="370"/>
        <v>0</v>
      </c>
      <c r="BG200" s="362">
        <f t="shared" ca="1" si="370"/>
        <v>0</v>
      </c>
      <c r="BH200" s="363">
        <f t="shared" ca="1" si="334"/>
        <v>0</v>
      </c>
      <c r="BI200" s="360">
        <f t="shared" ca="1" si="322"/>
        <v>0</v>
      </c>
      <c r="BJ200" s="361">
        <f t="shared" ca="1" si="371"/>
        <v>0</v>
      </c>
      <c r="BK200" s="362">
        <f t="shared" ca="1" si="371"/>
        <v>0</v>
      </c>
      <c r="BL200" s="363">
        <f t="shared" ca="1" si="335"/>
        <v>0</v>
      </c>
      <c r="BM200" s="360">
        <f t="shared" ca="1" si="323"/>
        <v>0</v>
      </c>
      <c r="BN200" s="360">
        <f t="shared" ca="1" si="323"/>
        <v>0</v>
      </c>
    </row>
    <row r="201" spans="1:66">
      <c r="A201" s="221" t="str">
        <f t="shared" ca="1" si="310"/>
        <v>WP006</v>
      </c>
      <c r="B201" s="221" t="str">
        <f t="shared" ca="1" si="311"/>
        <v>WP006</v>
      </c>
      <c r="C201" s="221">
        <v>7</v>
      </c>
      <c r="D201" s="221" t="s">
        <v>116</v>
      </c>
      <c r="L201" s="221" t="s">
        <v>110</v>
      </c>
      <c r="M201" s="221" t="s">
        <v>80</v>
      </c>
      <c r="N201" s="461"/>
      <c r="O201" s="255"/>
      <c r="P201" s="389"/>
      <c r="Q201" s="254" t="s">
        <v>117</v>
      </c>
      <c r="R201" s="361">
        <f t="shared" ca="1" si="360"/>
        <v>0</v>
      </c>
      <c r="S201" s="362">
        <f t="shared" ca="1" si="360"/>
        <v>0</v>
      </c>
      <c r="T201" s="363">
        <f t="shared" ca="1" si="324"/>
        <v>0</v>
      </c>
      <c r="U201" s="360">
        <f t="shared" ca="1" si="312"/>
        <v>0</v>
      </c>
      <c r="V201" s="361">
        <f t="shared" ca="1" si="361"/>
        <v>0</v>
      </c>
      <c r="W201" s="362">
        <f t="shared" ca="1" si="361"/>
        <v>0</v>
      </c>
      <c r="X201" s="363">
        <f t="shared" ca="1" si="325"/>
        <v>0</v>
      </c>
      <c r="Y201" s="360">
        <f t="shared" ca="1" si="313"/>
        <v>0</v>
      </c>
      <c r="Z201" s="361">
        <f t="shared" ca="1" si="362"/>
        <v>0</v>
      </c>
      <c r="AA201" s="362">
        <f t="shared" ca="1" si="362"/>
        <v>0</v>
      </c>
      <c r="AB201" s="363">
        <f t="shared" ca="1" si="326"/>
        <v>0</v>
      </c>
      <c r="AC201" s="360">
        <f t="shared" ca="1" si="314"/>
        <v>0</v>
      </c>
      <c r="AD201" s="361">
        <f t="shared" ca="1" si="363"/>
        <v>0</v>
      </c>
      <c r="AE201" s="362">
        <f t="shared" ca="1" si="363"/>
        <v>0</v>
      </c>
      <c r="AF201" s="363">
        <f t="shared" ca="1" si="327"/>
        <v>0</v>
      </c>
      <c r="AG201" s="360">
        <f t="shared" ca="1" si="315"/>
        <v>0</v>
      </c>
      <c r="AH201" s="361">
        <f t="shared" ca="1" si="364"/>
        <v>0</v>
      </c>
      <c r="AI201" s="362">
        <f t="shared" ca="1" si="364"/>
        <v>0</v>
      </c>
      <c r="AJ201" s="363">
        <f t="shared" ca="1" si="328"/>
        <v>0</v>
      </c>
      <c r="AK201" s="360">
        <f t="shared" ca="1" si="316"/>
        <v>0</v>
      </c>
      <c r="AL201" s="361">
        <f t="shared" ca="1" si="365"/>
        <v>0</v>
      </c>
      <c r="AM201" s="362">
        <f t="shared" ca="1" si="365"/>
        <v>0</v>
      </c>
      <c r="AN201" s="363">
        <f t="shared" ca="1" si="329"/>
        <v>0</v>
      </c>
      <c r="AO201" s="360">
        <f t="shared" ca="1" si="317"/>
        <v>0</v>
      </c>
      <c r="AP201" s="361">
        <f t="shared" ca="1" si="366"/>
        <v>0</v>
      </c>
      <c r="AQ201" s="362">
        <f t="shared" ca="1" si="366"/>
        <v>0</v>
      </c>
      <c r="AR201" s="363">
        <f t="shared" ca="1" si="330"/>
        <v>0</v>
      </c>
      <c r="AS201" s="360">
        <f t="shared" ca="1" si="318"/>
        <v>0</v>
      </c>
      <c r="AT201" s="361">
        <f t="shared" ca="1" si="367"/>
        <v>0</v>
      </c>
      <c r="AU201" s="362">
        <f t="shared" ca="1" si="367"/>
        <v>0</v>
      </c>
      <c r="AV201" s="363">
        <f t="shared" ca="1" si="331"/>
        <v>0</v>
      </c>
      <c r="AW201" s="360">
        <f t="shared" ca="1" si="319"/>
        <v>0</v>
      </c>
      <c r="AX201" s="361">
        <f t="shared" ca="1" si="368"/>
        <v>0</v>
      </c>
      <c r="AY201" s="362">
        <f t="shared" ca="1" si="368"/>
        <v>0</v>
      </c>
      <c r="AZ201" s="363">
        <f t="shared" ca="1" si="332"/>
        <v>0</v>
      </c>
      <c r="BA201" s="360">
        <f t="shared" ca="1" si="320"/>
        <v>0</v>
      </c>
      <c r="BB201" s="361">
        <f t="shared" ca="1" si="369"/>
        <v>0</v>
      </c>
      <c r="BC201" s="362">
        <f t="shared" ca="1" si="369"/>
        <v>0</v>
      </c>
      <c r="BD201" s="363">
        <f t="shared" ca="1" si="333"/>
        <v>0</v>
      </c>
      <c r="BE201" s="360">
        <f t="shared" ca="1" si="321"/>
        <v>0</v>
      </c>
      <c r="BF201" s="361">
        <f t="shared" ca="1" si="370"/>
        <v>0</v>
      </c>
      <c r="BG201" s="362">
        <f t="shared" ca="1" si="370"/>
        <v>0</v>
      </c>
      <c r="BH201" s="363">
        <f t="shared" ca="1" si="334"/>
        <v>0</v>
      </c>
      <c r="BI201" s="360">
        <f t="shared" ca="1" si="322"/>
        <v>0</v>
      </c>
      <c r="BJ201" s="361">
        <f t="shared" ca="1" si="371"/>
        <v>0</v>
      </c>
      <c r="BK201" s="362">
        <f t="shared" ca="1" si="371"/>
        <v>0</v>
      </c>
      <c r="BL201" s="363">
        <f t="shared" ca="1" si="335"/>
        <v>0</v>
      </c>
      <c r="BM201" s="360">
        <f t="shared" ca="1" si="323"/>
        <v>0</v>
      </c>
      <c r="BN201" s="360">
        <f t="shared" ca="1" si="323"/>
        <v>0</v>
      </c>
    </row>
    <row r="202" spans="1:66">
      <c r="A202" s="221" t="str">
        <f t="shared" ca="1" si="310"/>
        <v>WP006</v>
      </c>
      <c r="B202" s="221" t="str">
        <f t="shared" ca="1" si="311"/>
        <v>WP006</v>
      </c>
      <c r="C202" s="221">
        <v>7</v>
      </c>
      <c r="D202" s="221" t="s">
        <v>118</v>
      </c>
      <c r="L202" s="221" t="s">
        <v>110</v>
      </c>
      <c r="M202" s="221" t="s">
        <v>80</v>
      </c>
      <c r="N202" s="461"/>
      <c r="O202" s="255"/>
      <c r="P202" s="389"/>
      <c r="Q202" s="254" t="s">
        <v>119</v>
      </c>
      <c r="R202" s="361">
        <f t="shared" ca="1" si="360"/>
        <v>0</v>
      </c>
      <c r="S202" s="362">
        <f t="shared" ca="1" si="360"/>
        <v>0</v>
      </c>
      <c r="T202" s="363">
        <f t="shared" ca="1" si="324"/>
        <v>0</v>
      </c>
      <c r="U202" s="360">
        <f t="shared" ca="1" si="312"/>
        <v>0</v>
      </c>
      <c r="V202" s="361">
        <f t="shared" ca="1" si="361"/>
        <v>0</v>
      </c>
      <c r="W202" s="362">
        <f t="shared" ca="1" si="361"/>
        <v>0</v>
      </c>
      <c r="X202" s="363">
        <f t="shared" ca="1" si="325"/>
        <v>0</v>
      </c>
      <c r="Y202" s="360">
        <f t="shared" ca="1" si="313"/>
        <v>0</v>
      </c>
      <c r="Z202" s="361">
        <f t="shared" ca="1" si="362"/>
        <v>0</v>
      </c>
      <c r="AA202" s="362">
        <f t="shared" ca="1" si="362"/>
        <v>0</v>
      </c>
      <c r="AB202" s="363">
        <f t="shared" ca="1" si="326"/>
        <v>0</v>
      </c>
      <c r="AC202" s="360">
        <f t="shared" ca="1" si="314"/>
        <v>0</v>
      </c>
      <c r="AD202" s="361">
        <f t="shared" ca="1" si="363"/>
        <v>0</v>
      </c>
      <c r="AE202" s="362">
        <f t="shared" ca="1" si="363"/>
        <v>0</v>
      </c>
      <c r="AF202" s="363">
        <f t="shared" ca="1" si="327"/>
        <v>0</v>
      </c>
      <c r="AG202" s="360">
        <f t="shared" ca="1" si="315"/>
        <v>0</v>
      </c>
      <c r="AH202" s="361">
        <f t="shared" ca="1" si="364"/>
        <v>0</v>
      </c>
      <c r="AI202" s="362">
        <f t="shared" ca="1" si="364"/>
        <v>0</v>
      </c>
      <c r="AJ202" s="363">
        <f t="shared" ca="1" si="328"/>
        <v>0</v>
      </c>
      <c r="AK202" s="360">
        <f t="shared" ca="1" si="316"/>
        <v>0</v>
      </c>
      <c r="AL202" s="361">
        <f t="shared" ca="1" si="365"/>
        <v>0</v>
      </c>
      <c r="AM202" s="362">
        <f t="shared" ca="1" si="365"/>
        <v>0</v>
      </c>
      <c r="AN202" s="363">
        <f t="shared" ca="1" si="329"/>
        <v>0</v>
      </c>
      <c r="AO202" s="360">
        <f t="shared" ca="1" si="317"/>
        <v>0</v>
      </c>
      <c r="AP202" s="361">
        <f t="shared" ca="1" si="366"/>
        <v>0</v>
      </c>
      <c r="AQ202" s="362">
        <f t="shared" ca="1" si="366"/>
        <v>0</v>
      </c>
      <c r="AR202" s="363">
        <f t="shared" ca="1" si="330"/>
        <v>0</v>
      </c>
      <c r="AS202" s="360">
        <f t="shared" ca="1" si="318"/>
        <v>0</v>
      </c>
      <c r="AT202" s="361">
        <f t="shared" ca="1" si="367"/>
        <v>0</v>
      </c>
      <c r="AU202" s="362">
        <f t="shared" ca="1" si="367"/>
        <v>0</v>
      </c>
      <c r="AV202" s="363">
        <f t="shared" ca="1" si="331"/>
        <v>0</v>
      </c>
      <c r="AW202" s="360">
        <f t="shared" ca="1" si="319"/>
        <v>0</v>
      </c>
      <c r="AX202" s="361">
        <f t="shared" ca="1" si="368"/>
        <v>0</v>
      </c>
      <c r="AY202" s="362">
        <f t="shared" ca="1" si="368"/>
        <v>0</v>
      </c>
      <c r="AZ202" s="363">
        <f t="shared" ca="1" si="332"/>
        <v>0</v>
      </c>
      <c r="BA202" s="360">
        <f t="shared" ca="1" si="320"/>
        <v>0</v>
      </c>
      <c r="BB202" s="361">
        <f t="shared" ca="1" si="369"/>
        <v>0</v>
      </c>
      <c r="BC202" s="362">
        <f t="shared" ca="1" si="369"/>
        <v>0</v>
      </c>
      <c r="BD202" s="363">
        <f t="shared" ca="1" si="333"/>
        <v>0</v>
      </c>
      <c r="BE202" s="360">
        <f t="shared" ca="1" si="321"/>
        <v>0</v>
      </c>
      <c r="BF202" s="361">
        <f t="shared" ca="1" si="370"/>
        <v>0</v>
      </c>
      <c r="BG202" s="362">
        <f t="shared" ca="1" si="370"/>
        <v>0</v>
      </c>
      <c r="BH202" s="363">
        <f t="shared" ca="1" si="334"/>
        <v>0</v>
      </c>
      <c r="BI202" s="360">
        <f t="shared" ca="1" si="322"/>
        <v>0</v>
      </c>
      <c r="BJ202" s="361">
        <f t="shared" ca="1" si="371"/>
        <v>0</v>
      </c>
      <c r="BK202" s="362">
        <f t="shared" ca="1" si="371"/>
        <v>0</v>
      </c>
      <c r="BL202" s="363">
        <f t="shared" ca="1" si="335"/>
        <v>0</v>
      </c>
      <c r="BM202" s="360">
        <f t="shared" ca="1" si="323"/>
        <v>0</v>
      </c>
      <c r="BN202" s="360">
        <f t="shared" ca="1" si="323"/>
        <v>0</v>
      </c>
    </row>
    <row r="203" spans="1:66">
      <c r="A203" s="221" t="str">
        <f t="shared" ca="1" si="310"/>
        <v>WP006</v>
      </c>
      <c r="B203" s="221" t="str">
        <f t="shared" ca="1" si="311"/>
        <v>WP006</v>
      </c>
      <c r="C203" s="221">
        <v>7</v>
      </c>
      <c r="D203" s="221" t="s">
        <v>120</v>
      </c>
      <c r="L203" s="221" t="s">
        <v>110</v>
      </c>
      <c r="M203" s="221" t="s">
        <v>80</v>
      </c>
      <c r="N203" s="461"/>
      <c r="O203" s="255"/>
      <c r="P203" s="389"/>
      <c r="Q203" s="254" t="s">
        <v>121</v>
      </c>
      <c r="R203" s="361">
        <f t="shared" ca="1" si="360"/>
        <v>0</v>
      </c>
      <c r="S203" s="362">
        <f t="shared" ca="1" si="360"/>
        <v>0</v>
      </c>
      <c r="T203" s="363">
        <f t="shared" ca="1" si="324"/>
        <v>0</v>
      </c>
      <c r="U203" s="360">
        <f t="shared" ca="1" si="312"/>
        <v>0</v>
      </c>
      <c r="V203" s="361">
        <f t="shared" ca="1" si="361"/>
        <v>0</v>
      </c>
      <c r="W203" s="362">
        <f t="shared" ca="1" si="361"/>
        <v>0</v>
      </c>
      <c r="X203" s="363">
        <f t="shared" ca="1" si="325"/>
        <v>0</v>
      </c>
      <c r="Y203" s="360">
        <f t="shared" ca="1" si="313"/>
        <v>0</v>
      </c>
      <c r="Z203" s="361">
        <f t="shared" ca="1" si="362"/>
        <v>0</v>
      </c>
      <c r="AA203" s="362">
        <f t="shared" ca="1" si="362"/>
        <v>0</v>
      </c>
      <c r="AB203" s="363">
        <f t="shared" ca="1" si="326"/>
        <v>0</v>
      </c>
      <c r="AC203" s="360">
        <f t="shared" ca="1" si="314"/>
        <v>0</v>
      </c>
      <c r="AD203" s="361">
        <f t="shared" ca="1" si="363"/>
        <v>0</v>
      </c>
      <c r="AE203" s="362">
        <f t="shared" ca="1" si="363"/>
        <v>0</v>
      </c>
      <c r="AF203" s="363">
        <f t="shared" ca="1" si="327"/>
        <v>0</v>
      </c>
      <c r="AG203" s="360">
        <f t="shared" ca="1" si="315"/>
        <v>0</v>
      </c>
      <c r="AH203" s="361">
        <f t="shared" ca="1" si="364"/>
        <v>0</v>
      </c>
      <c r="AI203" s="362">
        <f t="shared" ca="1" si="364"/>
        <v>0</v>
      </c>
      <c r="AJ203" s="363">
        <f t="shared" ca="1" si="328"/>
        <v>0</v>
      </c>
      <c r="AK203" s="360">
        <f t="shared" ca="1" si="316"/>
        <v>0</v>
      </c>
      <c r="AL203" s="361">
        <f t="shared" ca="1" si="365"/>
        <v>0</v>
      </c>
      <c r="AM203" s="362">
        <f t="shared" ca="1" si="365"/>
        <v>0</v>
      </c>
      <c r="AN203" s="363">
        <f t="shared" ca="1" si="329"/>
        <v>0</v>
      </c>
      <c r="AO203" s="360">
        <f t="shared" ca="1" si="317"/>
        <v>0</v>
      </c>
      <c r="AP203" s="361">
        <f t="shared" ca="1" si="366"/>
        <v>0</v>
      </c>
      <c r="AQ203" s="362">
        <f t="shared" ca="1" si="366"/>
        <v>0</v>
      </c>
      <c r="AR203" s="363">
        <f t="shared" ca="1" si="330"/>
        <v>0</v>
      </c>
      <c r="AS203" s="360">
        <f t="shared" ca="1" si="318"/>
        <v>0</v>
      </c>
      <c r="AT203" s="361">
        <f t="shared" ca="1" si="367"/>
        <v>0</v>
      </c>
      <c r="AU203" s="362">
        <f t="shared" ca="1" si="367"/>
        <v>0</v>
      </c>
      <c r="AV203" s="363">
        <f t="shared" ca="1" si="331"/>
        <v>0</v>
      </c>
      <c r="AW203" s="360">
        <f t="shared" ca="1" si="319"/>
        <v>0</v>
      </c>
      <c r="AX203" s="361">
        <f t="shared" ca="1" si="368"/>
        <v>0</v>
      </c>
      <c r="AY203" s="362">
        <f t="shared" ca="1" si="368"/>
        <v>0</v>
      </c>
      <c r="AZ203" s="363">
        <f t="shared" ca="1" si="332"/>
        <v>0</v>
      </c>
      <c r="BA203" s="360">
        <f t="shared" ca="1" si="320"/>
        <v>0</v>
      </c>
      <c r="BB203" s="361">
        <f t="shared" ca="1" si="369"/>
        <v>0</v>
      </c>
      <c r="BC203" s="362">
        <f t="shared" ca="1" si="369"/>
        <v>0</v>
      </c>
      <c r="BD203" s="363">
        <f t="shared" ca="1" si="333"/>
        <v>0</v>
      </c>
      <c r="BE203" s="360">
        <f t="shared" ca="1" si="321"/>
        <v>0</v>
      </c>
      <c r="BF203" s="361">
        <f t="shared" ca="1" si="370"/>
        <v>0</v>
      </c>
      <c r="BG203" s="362">
        <f t="shared" ca="1" si="370"/>
        <v>0</v>
      </c>
      <c r="BH203" s="363">
        <f t="shared" ca="1" si="334"/>
        <v>0</v>
      </c>
      <c r="BI203" s="360">
        <f t="shared" ca="1" si="322"/>
        <v>0</v>
      </c>
      <c r="BJ203" s="361">
        <f t="shared" ca="1" si="371"/>
        <v>0</v>
      </c>
      <c r="BK203" s="362">
        <f t="shared" ca="1" si="371"/>
        <v>0</v>
      </c>
      <c r="BL203" s="363">
        <f t="shared" ca="1" si="335"/>
        <v>0</v>
      </c>
      <c r="BM203" s="360">
        <f t="shared" ca="1" si="323"/>
        <v>0</v>
      </c>
      <c r="BN203" s="360">
        <f t="shared" ca="1" si="323"/>
        <v>0</v>
      </c>
    </row>
    <row r="204" spans="1:66">
      <c r="A204" s="221" t="str">
        <f t="shared" ca="1" si="310"/>
        <v>WP006</v>
      </c>
      <c r="B204" s="221" t="str">
        <f t="shared" ca="1" si="311"/>
        <v>WP006</v>
      </c>
      <c r="C204" s="221">
        <v>7</v>
      </c>
      <c r="D204" s="221" t="s">
        <v>122</v>
      </c>
      <c r="L204" s="221" t="s">
        <v>110</v>
      </c>
      <c r="M204" s="221" t="s">
        <v>80</v>
      </c>
      <c r="N204" s="461"/>
      <c r="O204" s="256"/>
      <c r="P204" s="389"/>
      <c r="Q204" s="254" t="s">
        <v>123</v>
      </c>
      <c r="R204" s="361">
        <f t="shared" ca="1" si="360"/>
        <v>0</v>
      </c>
      <c r="S204" s="362">
        <f t="shared" ca="1" si="360"/>
        <v>0</v>
      </c>
      <c r="T204" s="363">
        <f t="shared" ca="1" si="324"/>
        <v>0</v>
      </c>
      <c r="U204" s="360">
        <f t="shared" ca="1" si="312"/>
        <v>0</v>
      </c>
      <c r="V204" s="361">
        <f t="shared" ca="1" si="361"/>
        <v>0</v>
      </c>
      <c r="W204" s="362">
        <f t="shared" ca="1" si="361"/>
        <v>0</v>
      </c>
      <c r="X204" s="363">
        <f t="shared" ca="1" si="325"/>
        <v>0</v>
      </c>
      <c r="Y204" s="360">
        <f t="shared" ca="1" si="313"/>
        <v>0</v>
      </c>
      <c r="Z204" s="361">
        <f t="shared" ca="1" si="362"/>
        <v>0</v>
      </c>
      <c r="AA204" s="362">
        <f t="shared" ca="1" si="362"/>
        <v>0</v>
      </c>
      <c r="AB204" s="363">
        <f t="shared" ca="1" si="326"/>
        <v>0</v>
      </c>
      <c r="AC204" s="360">
        <f t="shared" ca="1" si="314"/>
        <v>0</v>
      </c>
      <c r="AD204" s="361">
        <f t="shared" ca="1" si="363"/>
        <v>0</v>
      </c>
      <c r="AE204" s="362">
        <f t="shared" ca="1" si="363"/>
        <v>0</v>
      </c>
      <c r="AF204" s="363">
        <f t="shared" ca="1" si="327"/>
        <v>0</v>
      </c>
      <c r="AG204" s="360">
        <f t="shared" ca="1" si="315"/>
        <v>0</v>
      </c>
      <c r="AH204" s="361">
        <f t="shared" ca="1" si="364"/>
        <v>0</v>
      </c>
      <c r="AI204" s="362">
        <f t="shared" ca="1" si="364"/>
        <v>0</v>
      </c>
      <c r="AJ204" s="363">
        <f t="shared" ca="1" si="328"/>
        <v>0</v>
      </c>
      <c r="AK204" s="360">
        <f t="shared" ca="1" si="316"/>
        <v>0</v>
      </c>
      <c r="AL204" s="361">
        <f t="shared" ca="1" si="365"/>
        <v>0</v>
      </c>
      <c r="AM204" s="362">
        <f t="shared" ca="1" si="365"/>
        <v>0</v>
      </c>
      <c r="AN204" s="363">
        <f t="shared" ca="1" si="329"/>
        <v>0</v>
      </c>
      <c r="AO204" s="360">
        <f t="shared" ca="1" si="317"/>
        <v>0</v>
      </c>
      <c r="AP204" s="361">
        <f t="shared" ca="1" si="366"/>
        <v>0</v>
      </c>
      <c r="AQ204" s="362">
        <f t="shared" ca="1" si="366"/>
        <v>0</v>
      </c>
      <c r="AR204" s="363">
        <f t="shared" ca="1" si="330"/>
        <v>0</v>
      </c>
      <c r="AS204" s="360">
        <f t="shared" ca="1" si="318"/>
        <v>0</v>
      </c>
      <c r="AT204" s="361">
        <f t="shared" ca="1" si="367"/>
        <v>0</v>
      </c>
      <c r="AU204" s="362">
        <f t="shared" ca="1" si="367"/>
        <v>0</v>
      </c>
      <c r="AV204" s="363">
        <f t="shared" ca="1" si="331"/>
        <v>0</v>
      </c>
      <c r="AW204" s="360">
        <f t="shared" ca="1" si="319"/>
        <v>0</v>
      </c>
      <c r="AX204" s="361">
        <f t="shared" ca="1" si="368"/>
        <v>0</v>
      </c>
      <c r="AY204" s="362">
        <f t="shared" ca="1" si="368"/>
        <v>0</v>
      </c>
      <c r="AZ204" s="363">
        <f t="shared" ca="1" si="332"/>
        <v>0</v>
      </c>
      <c r="BA204" s="360">
        <f t="shared" ca="1" si="320"/>
        <v>0</v>
      </c>
      <c r="BB204" s="361">
        <f t="shared" ca="1" si="369"/>
        <v>0</v>
      </c>
      <c r="BC204" s="362">
        <f t="shared" ca="1" si="369"/>
        <v>0</v>
      </c>
      <c r="BD204" s="363">
        <f t="shared" ca="1" si="333"/>
        <v>0</v>
      </c>
      <c r="BE204" s="360">
        <f t="shared" ca="1" si="321"/>
        <v>0</v>
      </c>
      <c r="BF204" s="361">
        <f t="shared" ca="1" si="370"/>
        <v>0</v>
      </c>
      <c r="BG204" s="362">
        <f t="shared" ca="1" si="370"/>
        <v>0</v>
      </c>
      <c r="BH204" s="363">
        <f t="shared" ca="1" si="334"/>
        <v>0</v>
      </c>
      <c r="BI204" s="360">
        <f t="shared" ca="1" si="322"/>
        <v>0</v>
      </c>
      <c r="BJ204" s="361">
        <f t="shared" ca="1" si="371"/>
        <v>0</v>
      </c>
      <c r="BK204" s="362">
        <f t="shared" ca="1" si="371"/>
        <v>0</v>
      </c>
      <c r="BL204" s="363">
        <f t="shared" ca="1" si="335"/>
        <v>0</v>
      </c>
      <c r="BM204" s="360">
        <f t="shared" ca="1" si="323"/>
        <v>0</v>
      </c>
      <c r="BN204" s="360">
        <f t="shared" ca="1" si="323"/>
        <v>0</v>
      </c>
    </row>
    <row r="205" spans="1:66">
      <c r="A205" s="221" t="str">
        <f t="shared" ca="1" si="310"/>
        <v>WP006</v>
      </c>
      <c r="B205" s="221" t="str">
        <f t="shared" ca="1" si="311"/>
        <v>WP006</v>
      </c>
      <c r="C205" s="221">
        <v>4</v>
      </c>
      <c r="D205" s="221" t="s">
        <v>124</v>
      </c>
      <c r="H205" s="221" t="s">
        <v>74</v>
      </c>
      <c r="I205" s="221" t="s">
        <v>125</v>
      </c>
      <c r="M205" s="221" t="s">
        <v>46</v>
      </c>
      <c r="N205" s="461"/>
      <c r="O205" s="452" t="s">
        <v>126</v>
      </c>
      <c r="P205" s="453"/>
      <c r="Q205" s="453"/>
      <c r="R205" s="353"/>
      <c r="S205" s="354"/>
      <c r="T205" s="355">
        <f t="shared" ca="1" si="324"/>
        <v>0</v>
      </c>
      <c r="U205" s="356">
        <f t="shared" ca="1" si="312"/>
        <v>0</v>
      </c>
      <c r="V205" s="353"/>
      <c r="W205" s="354"/>
      <c r="X205" s="355">
        <f t="shared" ca="1" si="325"/>
        <v>0</v>
      </c>
      <c r="Y205" s="356">
        <f t="shared" ca="1" si="313"/>
        <v>0</v>
      </c>
      <c r="Z205" s="353"/>
      <c r="AA205" s="354"/>
      <c r="AB205" s="355">
        <f t="shared" ca="1" si="326"/>
        <v>0</v>
      </c>
      <c r="AC205" s="356">
        <f t="shared" ca="1" si="314"/>
        <v>0</v>
      </c>
      <c r="AD205" s="353"/>
      <c r="AE205" s="354"/>
      <c r="AF205" s="355">
        <f t="shared" ca="1" si="327"/>
        <v>0</v>
      </c>
      <c r="AG205" s="356">
        <f t="shared" ca="1" si="315"/>
        <v>0</v>
      </c>
      <c r="AH205" s="353"/>
      <c r="AI205" s="354"/>
      <c r="AJ205" s="355">
        <f t="shared" ca="1" si="328"/>
        <v>0</v>
      </c>
      <c r="AK205" s="356">
        <f t="shared" ca="1" si="316"/>
        <v>0</v>
      </c>
      <c r="AL205" s="353"/>
      <c r="AM205" s="354"/>
      <c r="AN205" s="355">
        <f t="shared" ca="1" si="329"/>
        <v>0</v>
      </c>
      <c r="AO205" s="356">
        <f t="shared" ca="1" si="317"/>
        <v>0</v>
      </c>
      <c r="AP205" s="353"/>
      <c r="AQ205" s="354"/>
      <c r="AR205" s="355">
        <f t="shared" ca="1" si="330"/>
        <v>0</v>
      </c>
      <c r="AS205" s="356">
        <f t="shared" ca="1" si="318"/>
        <v>0</v>
      </c>
      <c r="AT205" s="353"/>
      <c r="AU205" s="354"/>
      <c r="AV205" s="355">
        <f t="shared" ca="1" si="331"/>
        <v>0</v>
      </c>
      <c r="AW205" s="356">
        <f t="shared" ca="1" si="319"/>
        <v>0</v>
      </c>
      <c r="AX205" s="353"/>
      <c r="AY205" s="354"/>
      <c r="AZ205" s="355">
        <f t="shared" ca="1" si="332"/>
        <v>0</v>
      </c>
      <c r="BA205" s="356">
        <f t="shared" ca="1" si="320"/>
        <v>0</v>
      </c>
      <c r="BB205" s="353"/>
      <c r="BC205" s="354"/>
      <c r="BD205" s="355">
        <f t="shared" ca="1" si="333"/>
        <v>0</v>
      </c>
      <c r="BE205" s="356">
        <f t="shared" ca="1" si="321"/>
        <v>0</v>
      </c>
      <c r="BF205" s="353"/>
      <c r="BG205" s="354"/>
      <c r="BH205" s="355">
        <f t="shared" ca="1" si="334"/>
        <v>0</v>
      </c>
      <c r="BI205" s="356">
        <f t="shared" ca="1" si="322"/>
        <v>0</v>
      </c>
      <c r="BJ205" s="353"/>
      <c r="BK205" s="354"/>
      <c r="BL205" s="355">
        <f t="shared" ca="1" si="335"/>
        <v>0</v>
      </c>
      <c r="BM205" s="356">
        <f t="shared" ca="1" si="323"/>
        <v>0</v>
      </c>
      <c r="BN205" s="356">
        <f t="shared" ca="1" si="323"/>
        <v>0</v>
      </c>
    </row>
    <row r="206" spans="1:66">
      <c r="A206" s="221" t="str">
        <f t="shared" ca="1" si="310"/>
        <v>WP006</v>
      </c>
      <c r="B206" s="221" t="str">
        <f t="shared" ca="1" si="311"/>
        <v>WP006</v>
      </c>
      <c r="C206" s="221">
        <v>5</v>
      </c>
      <c r="D206" s="221" t="s">
        <v>127</v>
      </c>
      <c r="J206" s="222" t="s">
        <v>125</v>
      </c>
      <c r="M206" s="221" t="s">
        <v>80</v>
      </c>
      <c r="N206" s="461"/>
      <c r="O206" s="257"/>
      <c r="P206" s="457" t="s">
        <v>128</v>
      </c>
      <c r="Q206" s="458"/>
      <c r="R206" s="361">
        <f ca="1">INDIRECT("'"&amp; MID(OFFSET(R206,ROW(R$3)-ROW(R206),IF(OFFSET(R206,ROW(R$2)-ROW(R206),2)="T",0,IF(OFFSET(R206,ROW(R$2)-ROW(R206),1)="T",-1,-2))),1,6) &amp; "'!" &amp; ADDRESS(ROW(R206),MATCH(INDIRECT(ADDRESS(2,COLUMN(R206)+IF(OFFSET(R206,ROW(R$2)-ROW(R206),2)="T",1,IF(OFFSET(R206,ROW(R$2)-ROW(R206),1)="T",0,-1))),TRUE),INDIRECT("'"&amp; MID(OFFSET(R206,ROW(R$3)-ROW(R206),IF(OFFSET(R206,ROW(R$2)-ROW(R206),2)="T",0,IF(OFFSET(R206,ROW(R$2)-ROW(R206),1)="T",-1,-2))),1,6) &amp; "'!2:2",TRUE),0)-IF(OFFSET(R206,ROW(R$2)-ROW(R206),2)="T",1,IF(OFFSET(R206,ROW(R$2)-ROW(R206),1)="T",0,-1))),TRUE)</f>
        <v>0</v>
      </c>
      <c r="S206" s="362">
        <f ca="1">INDIRECT("'"&amp; MID(OFFSET(S206,ROW(S$3)-ROW(S206),IF(OFFSET(S206,ROW(S$2)-ROW(S206),2)="T",0,IF(OFFSET(S206,ROW(S$2)-ROW(S206),1)="T",-1,-2))),1,6) &amp; "'!" &amp; ADDRESS(ROW(S206),MATCH(INDIRECT(ADDRESS(2,COLUMN(S206)+IF(OFFSET(S206,ROW(S$2)-ROW(S206),2)="T",1,IF(OFFSET(S206,ROW(S$2)-ROW(S206),1)="T",0,-1))),TRUE),INDIRECT("'"&amp; MID(OFFSET(S206,ROW(S$3)-ROW(S206),IF(OFFSET(S206,ROW(S$2)-ROW(S206),2)="T",0,IF(OFFSET(S206,ROW(S$2)-ROW(S206),1)="T",-1,-2))),1,6) &amp; "'!2:2",TRUE),0)-IF(OFFSET(S206,ROW(S$2)-ROW(S206),2)="T",1,IF(OFFSET(S206,ROW(S$2)-ROW(S206),1)="T",0,-1))),TRUE)</f>
        <v>0</v>
      </c>
      <c r="T206" s="363">
        <f t="shared" ca="1" si="324"/>
        <v>0</v>
      </c>
      <c r="U206" s="360">
        <f t="shared" ca="1" si="312"/>
        <v>0</v>
      </c>
      <c r="V206" s="361">
        <f ca="1">INDIRECT("'"&amp; MID(OFFSET(V206,ROW(V$3)-ROW(V206),IF(OFFSET(V206,ROW(V$2)-ROW(V206),2)="T",0,IF(OFFSET(V206,ROW(V$2)-ROW(V206),1)="T",-1,-2))),1,6) &amp; "'!" &amp; ADDRESS(ROW(V206),MATCH(INDIRECT(ADDRESS(2,COLUMN(V206)+IF(OFFSET(V206,ROW(V$2)-ROW(V206),2)="T",1,IF(OFFSET(V206,ROW(V$2)-ROW(V206),1)="T",0,-1))),TRUE),INDIRECT("'"&amp; MID(OFFSET(V206,ROW(V$3)-ROW(V206),IF(OFFSET(V206,ROW(V$2)-ROW(V206),2)="T",0,IF(OFFSET(V206,ROW(V$2)-ROW(V206),1)="T",-1,-2))),1,6) &amp; "'!2:2",TRUE),0)-IF(OFFSET(V206,ROW(V$2)-ROW(V206),2)="T",1,IF(OFFSET(V206,ROW(V$2)-ROW(V206),1)="T",0,-1))),TRUE)</f>
        <v>0</v>
      </c>
      <c r="W206" s="362">
        <f ca="1">INDIRECT("'"&amp; MID(OFFSET(W206,ROW(W$3)-ROW(W206),IF(OFFSET(W206,ROW(W$2)-ROW(W206),2)="T",0,IF(OFFSET(W206,ROW(W$2)-ROW(W206),1)="T",-1,-2))),1,6) &amp; "'!" &amp; ADDRESS(ROW(W206),MATCH(INDIRECT(ADDRESS(2,COLUMN(W206)+IF(OFFSET(W206,ROW(W$2)-ROW(W206),2)="T",1,IF(OFFSET(W206,ROW(W$2)-ROW(W206),1)="T",0,-1))),TRUE),INDIRECT("'"&amp; MID(OFFSET(W206,ROW(W$3)-ROW(W206),IF(OFFSET(W206,ROW(W$2)-ROW(W206),2)="T",0,IF(OFFSET(W206,ROW(W$2)-ROW(W206),1)="T",-1,-2))),1,6) &amp; "'!2:2",TRUE),0)-IF(OFFSET(W206,ROW(W$2)-ROW(W206),2)="T",1,IF(OFFSET(W206,ROW(W$2)-ROW(W206),1)="T",0,-1))),TRUE)</f>
        <v>0</v>
      </c>
      <c r="X206" s="363">
        <f t="shared" ca="1" si="325"/>
        <v>0</v>
      </c>
      <c r="Y206" s="360">
        <f t="shared" ca="1" si="313"/>
        <v>0</v>
      </c>
      <c r="Z206" s="361">
        <f ca="1">INDIRECT("'"&amp; MID(OFFSET(Z206,ROW(Z$3)-ROW(Z206),IF(OFFSET(Z206,ROW(Z$2)-ROW(Z206),2)="T",0,IF(OFFSET(Z206,ROW(Z$2)-ROW(Z206),1)="T",-1,-2))),1,6) &amp; "'!" &amp; ADDRESS(ROW(Z206),MATCH(INDIRECT(ADDRESS(2,COLUMN(Z206)+IF(OFFSET(Z206,ROW(Z$2)-ROW(Z206),2)="T",1,IF(OFFSET(Z206,ROW(Z$2)-ROW(Z206),1)="T",0,-1))),TRUE),INDIRECT("'"&amp; MID(OFFSET(Z206,ROW(Z$3)-ROW(Z206),IF(OFFSET(Z206,ROW(Z$2)-ROW(Z206),2)="T",0,IF(OFFSET(Z206,ROW(Z$2)-ROW(Z206),1)="T",-1,-2))),1,6) &amp; "'!2:2",TRUE),0)-IF(OFFSET(Z206,ROW(Z$2)-ROW(Z206),2)="T",1,IF(OFFSET(Z206,ROW(Z$2)-ROW(Z206),1)="T",0,-1))),TRUE)</f>
        <v>0</v>
      </c>
      <c r="AA206" s="362">
        <f ca="1">INDIRECT("'"&amp; MID(OFFSET(AA206,ROW(AA$3)-ROW(AA206),IF(OFFSET(AA206,ROW(AA$2)-ROW(AA206),2)="T",0,IF(OFFSET(AA206,ROW(AA$2)-ROW(AA206),1)="T",-1,-2))),1,6) &amp; "'!" &amp; ADDRESS(ROW(AA206),MATCH(INDIRECT(ADDRESS(2,COLUMN(AA206)+IF(OFFSET(AA206,ROW(AA$2)-ROW(AA206),2)="T",1,IF(OFFSET(AA206,ROW(AA$2)-ROW(AA206),1)="T",0,-1))),TRUE),INDIRECT("'"&amp; MID(OFFSET(AA206,ROW(AA$3)-ROW(AA206),IF(OFFSET(AA206,ROW(AA$2)-ROW(AA206),2)="T",0,IF(OFFSET(AA206,ROW(AA$2)-ROW(AA206),1)="T",-1,-2))),1,6) &amp; "'!2:2",TRUE),0)-IF(OFFSET(AA206,ROW(AA$2)-ROW(AA206),2)="T",1,IF(OFFSET(AA206,ROW(AA$2)-ROW(AA206),1)="T",0,-1))),TRUE)</f>
        <v>0</v>
      </c>
      <c r="AB206" s="363">
        <f t="shared" ca="1" si="326"/>
        <v>0</v>
      </c>
      <c r="AC206" s="360">
        <f t="shared" ca="1" si="314"/>
        <v>0</v>
      </c>
      <c r="AD206" s="361">
        <f ca="1">INDIRECT("'"&amp; MID(OFFSET(AD206,ROW(AD$3)-ROW(AD206),IF(OFFSET(AD206,ROW(AD$2)-ROW(AD206),2)="T",0,IF(OFFSET(AD206,ROW(AD$2)-ROW(AD206),1)="T",-1,-2))),1,6) &amp; "'!" &amp; ADDRESS(ROW(AD206),MATCH(INDIRECT(ADDRESS(2,COLUMN(AD206)+IF(OFFSET(AD206,ROW(AD$2)-ROW(AD206),2)="T",1,IF(OFFSET(AD206,ROW(AD$2)-ROW(AD206),1)="T",0,-1))),TRUE),INDIRECT("'"&amp; MID(OFFSET(AD206,ROW(AD$3)-ROW(AD206),IF(OFFSET(AD206,ROW(AD$2)-ROW(AD206),2)="T",0,IF(OFFSET(AD206,ROW(AD$2)-ROW(AD206),1)="T",-1,-2))),1,6) &amp; "'!2:2",TRUE),0)-IF(OFFSET(AD206,ROW(AD$2)-ROW(AD206),2)="T",1,IF(OFFSET(AD206,ROW(AD$2)-ROW(AD206),1)="T",0,-1))),TRUE)</f>
        <v>0</v>
      </c>
      <c r="AE206" s="362">
        <f ca="1">INDIRECT("'"&amp; MID(OFFSET(AE206,ROW(AE$3)-ROW(AE206),IF(OFFSET(AE206,ROW(AE$2)-ROW(AE206),2)="T",0,IF(OFFSET(AE206,ROW(AE$2)-ROW(AE206),1)="T",-1,-2))),1,6) &amp; "'!" &amp; ADDRESS(ROW(AE206),MATCH(INDIRECT(ADDRESS(2,COLUMN(AE206)+IF(OFFSET(AE206,ROW(AE$2)-ROW(AE206),2)="T",1,IF(OFFSET(AE206,ROW(AE$2)-ROW(AE206),1)="T",0,-1))),TRUE),INDIRECT("'"&amp; MID(OFFSET(AE206,ROW(AE$3)-ROW(AE206),IF(OFFSET(AE206,ROW(AE$2)-ROW(AE206),2)="T",0,IF(OFFSET(AE206,ROW(AE$2)-ROW(AE206),1)="T",-1,-2))),1,6) &amp; "'!2:2",TRUE),0)-IF(OFFSET(AE206,ROW(AE$2)-ROW(AE206),2)="T",1,IF(OFFSET(AE206,ROW(AE$2)-ROW(AE206),1)="T",0,-1))),TRUE)</f>
        <v>0</v>
      </c>
      <c r="AF206" s="363">
        <f t="shared" ca="1" si="327"/>
        <v>0</v>
      </c>
      <c r="AG206" s="360">
        <f t="shared" ca="1" si="315"/>
        <v>0</v>
      </c>
      <c r="AH206" s="361">
        <f ca="1">INDIRECT("'"&amp; MID(OFFSET(AH206,ROW(AH$3)-ROW(AH206),IF(OFFSET(AH206,ROW(AH$2)-ROW(AH206),2)="T",0,IF(OFFSET(AH206,ROW(AH$2)-ROW(AH206),1)="T",-1,-2))),1,6) &amp; "'!" &amp; ADDRESS(ROW(AH206),MATCH(INDIRECT(ADDRESS(2,COLUMN(AH206)+IF(OFFSET(AH206,ROW(AH$2)-ROW(AH206),2)="T",1,IF(OFFSET(AH206,ROW(AH$2)-ROW(AH206),1)="T",0,-1))),TRUE),INDIRECT("'"&amp; MID(OFFSET(AH206,ROW(AH$3)-ROW(AH206),IF(OFFSET(AH206,ROW(AH$2)-ROW(AH206),2)="T",0,IF(OFFSET(AH206,ROW(AH$2)-ROW(AH206),1)="T",-1,-2))),1,6) &amp; "'!2:2",TRUE),0)-IF(OFFSET(AH206,ROW(AH$2)-ROW(AH206),2)="T",1,IF(OFFSET(AH206,ROW(AH$2)-ROW(AH206),1)="T",0,-1))),TRUE)</f>
        <v>0</v>
      </c>
      <c r="AI206" s="362">
        <f ca="1">INDIRECT("'"&amp; MID(OFFSET(AI206,ROW(AI$3)-ROW(AI206),IF(OFFSET(AI206,ROW(AI$2)-ROW(AI206),2)="T",0,IF(OFFSET(AI206,ROW(AI$2)-ROW(AI206),1)="T",-1,-2))),1,6) &amp; "'!" &amp; ADDRESS(ROW(AI206),MATCH(INDIRECT(ADDRESS(2,COLUMN(AI206)+IF(OFFSET(AI206,ROW(AI$2)-ROW(AI206),2)="T",1,IF(OFFSET(AI206,ROW(AI$2)-ROW(AI206),1)="T",0,-1))),TRUE),INDIRECT("'"&amp; MID(OFFSET(AI206,ROW(AI$3)-ROW(AI206),IF(OFFSET(AI206,ROW(AI$2)-ROW(AI206),2)="T",0,IF(OFFSET(AI206,ROW(AI$2)-ROW(AI206),1)="T",-1,-2))),1,6) &amp; "'!2:2",TRUE),0)-IF(OFFSET(AI206,ROW(AI$2)-ROW(AI206),2)="T",1,IF(OFFSET(AI206,ROW(AI$2)-ROW(AI206),1)="T",0,-1))),TRUE)</f>
        <v>0</v>
      </c>
      <c r="AJ206" s="363">
        <f t="shared" ca="1" si="328"/>
        <v>0</v>
      </c>
      <c r="AK206" s="360">
        <f t="shared" ca="1" si="316"/>
        <v>0</v>
      </c>
      <c r="AL206" s="361">
        <f ca="1">INDIRECT("'"&amp; MID(OFFSET(AL206,ROW(AL$3)-ROW(AL206),IF(OFFSET(AL206,ROW(AL$2)-ROW(AL206),2)="T",0,IF(OFFSET(AL206,ROW(AL$2)-ROW(AL206),1)="T",-1,-2))),1,6) &amp; "'!" &amp; ADDRESS(ROW(AL206),MATCH(INDIRECT(ADDRESS(2,COLUMN(AL206)+IF(OFFSET(AL206,ROW(AL$2)-ROW(AL206),2)="T",1,IF(OFFSET(AL206,ROW(AL$2)-ROW(AL206),1)="T",0,-1))),TRUE),INDIRECT("'"&amp; MID(OFFSET(AL206,ROW(AL$3)-ROW(AL206),IF(OFFSET(AL206,ROW(AL$2)-ROW(AL206),2)="T",0,IF(OFFSET(AL206,ROW(AL$2)-ROW(AL206),1)="T",-1,-2))),1,6) &amp; "'!2:2",TRUE),0)-IF(OFFSET(AL206,ROW(AL$2)-ROW(AL206),2)="T",1,IF(OFFSET(AL206,ROW(AL$2)-ROW(AL206),1)="T",0,-1))),TRUE)</f>
        <v>0</v>
      </c>
      <c r="AM206" s="362">
        <f ca="1">INDIRECT("'"&amp; MID(OFFSET(AM206,ROW(AM$3)-ROW(AM206),IF(OFFSET(AM206,ROW(AM$2)-ROW(AM206),2)="T",0,IF(OFFSET(AM206,ROW(AM$2)-ROW(AM206),1)="T",-1,-2))),1,6) &amp; "'!" &amp; ADDRESS(ROW(AM206),MATCH(INDIRECT(ADDRESS(2,COLUMN(AM206)+IF(OFFSET(AM206,ROW(AM$2)-ROW(AM206),2)="T",1,IF(OFFSET(AM206,ROW(AM$2)-ROW(AM206),1)="T",0,-1))),TRUE),INDIRECT("'"&amp; MID(OFFSET(AM206,ROW(AM$3)-ROW(AM206),IF(OFFSET(AM206,ROW(AM$2)-ROW(AM206),2)="T",0,IF(OFFSET(AM206,ROW(AM$2)-ROW(AM206),1)="T",-1,-2))),1,6) &amp; "'!2:2",TRUE),0)-IF(OFFSET(AM206,ROW(AM$2)-ROW(AM206),2)="T",1,IF(OFFSET(AM206,ROW(AM$2)-ROW(AM206),1)="T",0,-1))),TRUE)</f>
        <v>0</v>
      </c>
      <c r="AN206" s="363">
        <f t="shared" ca="1" si="329"/>
        <v>0</v>
      </c>
      <c r="AO206" s="360">
        <f t="shared" ca="1" si="317"/>
        <v>0</v>
      </c>
      <c r="AP206" s="361">
        <f ca="1">INDIRECT("'"&amp; MID(OFFSET(AP206,ROW(AP$3)-ROW(AP206),IF(OFFSET(AP206,ROW(AP$2)-ROW(AP206),2)="T",0,IF(OFFSET(AP206,ROW(AP$2)-ROW(AP206),1)="T",-1,-2))),1,6) &amp; "'!" &amp; ADDRESS(ROW(AP206),MATCH(INDIRECT(ADDRESS(2,COLUMN(AP206)+IF(OFFSET(AP206,ROW(AP$2)-ROW(AP206),2)="T",1,IF(OFFSET(AP206,ROW(AP$2)-ROW(AP206),1)="T",0,-1))),TRUE),INDIRECT("'"&amp; MID(OFFSET(AP206,ROW(AP$3)-ROW(AP206),IF(OFFSET(AP206,ROW(AP$2)-ROW(AP206),2)="T",0,IF(OFFSET(AP206,ROW(AP$2)-ROW(AP206),1)="T",-1,-2))),1,6) &amp; "'!2:2",TRUE),0)-IF(OFFSET(AP206,ROW(AP$2)-ROW(AP206),2)="T",1,IF(OFFSET(AP206,ROW(AP$2)-ROW(AP206),1)="T",0,-1))),TRUE)</f>
        <v>0</v>
      </c>
      <c r="AQ206" s="362">
        <f ca="1">INDIRECT("'"&amp; MID(OFFSET(AQ206,ROW(AQ$3)-ROW(AQ206),IF(OFFSET(AQ206,ROW(AQ$2)-ROW(AQ206),2)="T",0,IF(OFFSET(AQ206,ROW(AQ$2)-ROW(AQ206),1)="T",-1,-2))),1,6) &amp; "'!" &amp; ADDRESS(ROW(AQ206),MATCH(INDIRECT(ADDRESS(2,COLUMN(AQ206)+IF(OFFSET(AQ206,ROW(AQ$2)-ROW(AQ206),2)="T",1,IF(OFFSET(AQ206,ROW(AQ$2)-ROW(AQ206),1)="T",0,-1))),TRUE),INDIRECT("'"&amp; MID(OFFSET(AQ206,ROW(AQ$3)-ROW(AQ206),IF(OFFSET(AQ206,ROW(AQ$2)-ROW(AQ206),2)="T",0,IF(OFFSET(AQ206,ROW(AQ$2)-ROW(AQ206),1)="T",-1,-2))),1,6) &amp; "'!2:2",TRUE),0)-IF(OFFSET(AQ206,ROW(AQ$2)-ROW(AQ206),2)="T",1,IF(OFFSET(AQ206,ROW(AQ$2)-ROW(AQ206),1)="T",0,-1))),TRUE)</f>
        <v>0</v>
      </c>
      <c r="AR206" s="363">
        <f t="shared" ca="1" si="330"/>
        <v>0</v>
      </c>
      <c r="AS206" s="360">
        <f t="shared" ca="1" si="318"/>
        <v>0</v>
      </c>
      <c r="AT206" s="361">
        <f ca="1">INDIRECT("'"&amp; MID(OFFSET(AT206,ROW(AT$3)-ROW(AT206),IF(OFFSET(AT206,ROW(AT$2)-ROW(AT206),2)="T",0,IF(OFFSET(AT206,ROW(AT$2)-ROW(AT206),1)="T",-1,-2))),1,6) &amp; "'!" &amp; ADDRESS(ROW(AT206),MATCH(INDIRECT(ADDRESS(2,COLUMN(AT206)+IF(OFFSET(AT206,ROW(AT$2)-ROW(AT206),2)="T",1,IF(OFFSET(AT206,ROW(AT$2)-ROW(AT206),1)="T",0,-1))),TRUE),INDIRECT("'"&amp; MID(OFFSET(AT206,ROW(AT$3)-ROW(AT206),IF(OFFSET(AT206,ROW(AT$2)-ROW(AT206),2)="T",0,IF(OFFSET(AT206,ROW(AT$2)-ROW(AT206),1)="T",-1,-2))),1,6) &amp; "'!2:2",TRUE),0)-IF(OFFSET(AT206,ROW(AT$2)-ROW(AT206),2)="T",1,IF(OFFSET(AT206,ROW(AT$2)-ROW(AT206),1)="T",0,-1))),TRUE)</f>
        <v>0</v>
      </c>
      <c r="AU206" s="362">
        <f ca="1">INDIRECT("'"&amp; MID(OFFSET(AU206,ROW(AU$3)-ROW(AU206),IF(OFFSET(AU206,ROW(AU$2)-ROW(AU206),2)="T",0,IF(OFFSET(AU206,ROW(AU$2)-ROW(AU206),1)="T",-1,-2))),1,6) &amp; "'!" &amp; ADDRESS(ROW(AU206),MATCH(INDIRECT(ADDRESS(2,COLUMN(AU206)+IF(OFFSET(AU206,ROW(AU$2)-ROW(AU206),2)="T",1,IF(OFFSET(AU206,ROW(AU$2)-ROW(AU206),1)="T",0,-1))),TRUE),INDIRECT("'"&amp; MID(OFFSET(AU206,ROW(AU$3)-ROW(AU206),IF(OFFSET(AU206,ROW(AU$2)-ROW(AU206),2)="T",0,IF(OFFSET(AU206,ROW(AU$2)-ROW(AU206),1)="T",-1,-2))),1,6) &amp; "'!2:2",TRUE),0)-IF(OFFSET(AU206,ROW(AU$2)-ROW(AU206),2)="T",1,IF(OFFSET(AU206,ROW(AU$2)-ROW(AU206),1)="T",0,-1))),TRUE)</f>
        <v>0</v>
      </c>
      <c r="AV206" s="363">
        <f t="shared" ca="1" si="331"/>
        <v>0</v>
      </c>
      <c r="AW206" s="360">
        <f t="shared" ca="1" si="319"/>
        <v>0</v>
      </c>
      <c r="AX206" s="361">
        <f ca="1">INDIRECT("'"&amp; MID(OFFSET(AX206,ROW(AX$3)-ROW(AX206),IF(OFFSET(AX206,ROW(AX$2)-ROW(AX206),2)="T",0,IF(OFFSET(AX206,ROW(AX$2)-ROW(AX206),1)="T",-1,-2))),1,6) &amp; "'!" &amp; ADDRESS(ROW(AX206),MATCH(INDIRECT(ADDRESS(2,COLUMN(AX206)+IF(OFFSET(AX206,ROW(AX$2)-ROW(AX206),2)="T",1,IF(OFFSET(AX206,ROW(AX$2)-ROW(AX206),1)="T",0,-1))),TRUE),INDIRECT("'"&amp; MID(OFFSET(AX206,ROW(AX$3)-ROW(AX206),IF(OFFSET(AX206,ROW(AX$2)-ROW(AX206),2)="T",0,IF(OFFSET(AX206,ROW(AX$2)-ROW(AX206),1)="T",-1,-2))),1,6) &amp; "'!2:2",TRUE),0)-IF(OFFSET(AX206,ROW(AX$2)-ROW(AX206),2)="T",1,IF(OFFSET(AX206,ROW(AX$2)-ROW(AX206),1)="T",0,-1))),TRUE)</f>
        <v>0</v>
      </c>
      <c r="AY206" s="362">
        <f ca="1">INDIRECT("'"&amp; MID(OFFSET(AY206,ROW(AY$3)-ROW(AY206),IF(OFFSET(AY206,ROW(AY$2)-ROW(AY206),2)="T",0,IF(OFFSET(AY206,ROW(AY$2)-ROW(AY206),1)="T",-1,-2))),1,6) &amp; "'!" &amp; ADDRESS(ROW(AY206),MATCH(INDIRECT(ADDRESS(2,COLUMN(AY206)+IF(OFFSET(AY206,ROW(AY$2)-ROW(AY206),2)="T",1,IF(OFFSET(AY206,ROW(AY$2)-ROW(AY206),1)="T",0,-1))),TRUE),INDIRECT("'"&amp; MID(OFFSET(AY206,ROW(AY$3)-ROW(AY206),IF(OFFSET(AY206,ROW(AY$2)-ROW(AY206),2)="T",0,IF(OFFSET(AY206,ROW(AY$2)-ROW(AY206),1)="T",-1,-2))),1,6) &amp; "'!2:2",TRUE),0)-IF(OFFSET(AY206,ROW(AY$2)-ROW(AY206),2)="T",1,IF(OFFSET(AY206,ROW(AY$2)-ROW(AY206),1)="T",0,-1))),TRUE)</f>
        <v>0</v>
      </c>
      <c r="AZ206" s="363">
        <f t="shared" ca="1" si="332"/>
        <v>0</v>
      </c>
      <c r="BA206" s="360">
        <f t="shared" ca="1" si="320"/>
        <v>0</v>
      </c>
      <c r="BB206" s="361">
        <f ca="1">INDIRECT("'"&amp; MID(OFFSET(BB206,ROW(BB$3)-ROW(BB206),IF(OFFSET(BB206,ROW(BB$2)-ROW(BB206),2)="T",0,IF(OFFSET(BB206,ROW(BB$2)-ROW(BB206),1)="T",-1,-2))),1,6) &amp; "'!" &amp; ADDRESS(ROW(BB206),MATCH(INDIRECT(ADDRESS(2,COLUMN(BB206)+IF(OFFSET(BB206,ROW(BB$2)-ROW(BB206),2)="T",1,IF(OFFSET(BB206,ROW(BB$2)-ROW(BB206),1)="T",0,-1))),TRUE),INDIRECT("'"&amp; MID(OFFSET(BB206,ROW(BB$3)-ROW(BB206),IF(OFFSET(BB206,ROW(BB$2)-ROW(BB206),2)="T",0,IF(OFFSET(BB206,ROW(BB$2)-ROW(BB206),1)="T",-1,-2))),1,6) &amp; "'!2:2",TRUE),0)-IF(OFFSET(BB206,ROW(BB$2)-ROW(BB206),2)="T",1,IF(OFFSET(BB206,ROW(BB$2)-ROW(BB206),1)="T",0,-1))),TRUE)</f>
        <v>0</v>
      </c>
      <c r="BC206" s="362">
        <f ca="1">INDIRECT("'"&amp; MID(OFFSET(BC206,ROW(BC$3)-ROW(BC206),IF(OFFSET(BC206,ROW(BC$2)-ROW(BC206),2)="T",0,IF(OFFSET(BC206,ROW(BC$2)-ROW(BC206),1)="T",-1,-2))),1,6) &amp; "'!" &amp; ADDRESS(ROW(BC206),MATCH(INDIRECT(ADDRESS(2,COLUMN(BC206)+IF(OFFSET(BC206,ROW(BC$2)-ROW(BC206),2)="T",1,IF(OFFSET(BC206,ROW(BC$2)-ROW(BC206),1)="T",0,-1))),TRUE),INDIRECT("'"&amp; MID(OFFSET(BC206,ROW(BC$3)-ROW(BC206),IF(OFFSET(BC206,ROW(BC$2)-ROW(BC206),2)="T",0,IF(OFFSET(BC206,ROW(BC$2)-ROW(BC206),1)="T",-1,-2))),1,6) &amp; "'!2:2",TRUE),0)-IF(OFFSET(BC206,ROW(BC$2)-ROW(BC206),2)="T",1,IF(OFFSET(BC206,ROW(BC$2)-ROW(BC206),1)="T",0,-1))),TRUE)</f>
        <v>0</v>
      </c>
      <c r="BD206" s="363">
        <f t="shared" ca="1" si="333"/>
        <v>0</v>
      </c>
      <c r="BE206" s="360">
        <f t="shared" ca="1" si="321"/>
        <v>0</v>
      </c>
      <c r="BF206" s="361">
        <f ca="1">INDIRECT("'"&amp; MID(OFFSET(BF206,ROW(BF$3)-ROW(BF206),IF(OFFSET(BF206,ROW(BF$2)-ROW(BF206),2)="T",0,IF(OFFSET(BF206,ROW(BF$2)-ROW(BF206),1)="T",-1,-2))),1,6) &amp; "'!" &amp; ADDRESS(ROW(BF206),MATCH(INDIRECT(ADDRESS(2,COLUMN(BF206)+IF(OFFSET(BF206,ROW(BF$2)-ROW(BF206),2)="T",1,IF(OFFSET(BF206,ROW(BF$2)-ROW(BF206),1)="T",0,-1))),TRUE),INDIRECT("'"&amp; MID(OFFSET(BF206,ROW(BF$3)-ROW(BF206),IF(OFFSET(BF206,ROW(BF$2)-ROW(BF206),2)="T",0,IF(OFFSET(BF206,ROW(BF$2)-ROW(BF206),1)="T",-1,-2))),1,6) &amp; "'!2:2",TRUE),0)-IF(OFFSET(BF206,ROW(BF$2)-ROW(BF206),2)="T",1,IF(OFFSET(BF206,ROW(BF$2)-ROW(BF206),1)="T",0,-1))),TRUE)</f>
        <v>0</v>
      </c>
      <c r="BG206" s="362">
        <f ca="1">INDIRECT("'"&amp; MID(OFFSET(BG206,ROW(BG$3)-ROW(BG206),IF(OFFSET(BG206,ROW(BG$2)-ROW(BG206),2)="T",0,IF(OFFSET(BG206,ROW(BG$2)-ROW(BG206),1)="T",-1,-2))),1,6) &amp; "'!" &amp; ADDRESS(ROW(BG206),MATCH(INDIRECT(ADDRESS(2,COLUMN(BG206)+IF(OFFSET(BG206,ROW(BG$2)-ROW(BG206),2)="T",1,IF(OFFSET(BG206,ROW(BG$2)-ROW(BG206),1)="T",0,-1))),TRUE),INDIRECT("'"&amp; MID(OFFSET(BG206,ROW(BG$3)-ROW(BG206),IF(OFFSET(BG206,ROW(BG$2)-ROW(BG206),2)="T",0,IF(OFFSET(BG206,ROW(BG$2)-ROW(BG206),1)="T",-1,-2))),1,6) &amp; "'!2:2",TRUE),0)-IF(OFFSET(BG206,ROW(BG$2)-ROW(BG206),2)="T",1,IF(OFFSET(BG206,ROW(BG$2)-ROW(BG206),1)="T",0,-1))),TRUE)</f>
        <v>0</v>
      </c>
      <c r="BH206" s="363">
        <f t="shared" ca="1" si="334"/>
        <v>0</v>
      </c>
      <c r="BI206" s="360">
        <f t="shared" ca="1" si="322"/>
        <v>0</v>
      </c>
      <c r="BJ206" s="361">
        <f ca="1">INDIRECT("'"&amp; MID(OFFSET(BJ206,ROW(BJ$3)-ROW(BJ206),IF(OFFSET(BJ206,ROW(BJ$2)-ROW(BJ206),2)="T",0,IF(OFFSET(BJ206,ROW(BJ$2)-ROW(BJ206),1)="T",-1,-2))),1,6) &amp; "'!" &amp; ADDRESS(ROW(BJ206),MATCH(INDIRECT(ADDRESS(2,COLUMN(BJ206)+IF(OFFSET(BJ206,ROW(BJ$2)-ROW(BJ206),2)="T",1,IF(OFFSET(BJ206,ROW(BJ$2)-ROW(BJ206),1)="T",0,-1))),TRUE),INDIRECT("'"&amp; MID(OFFSET(BJ206,ROW(BJ$3)-ROW(BJ206),IF(OFFSET(BJ206,ROW(BJ$2)-ROW(BJ206),2)="T",0,IF(OFFSET(BJ206,ROW(BJ$2)-ROW(BJ206),1)="T",-1,-2))),1,6) &amp; "'!2:2",TRUE),0)-IF(OFFSET(BJ206,ROW(BJ$2)-ROW(BJ206),2)="T",1,IF(OFFSET(BJ206,ROW(BJ$2)-ROW(BJ206),1)="T",0,-1))),TRUE)</f>
        <v>0</v>
      </c>
      <c r="BK206" s="362">
        <f ca="1">INDIRECT("'"&amp; MID(OFFSET(BK206,ROW(BK$3)-ROW(BK206),IF(OFFSET(BK206,ROW(BK$2)-ROW(BK206),2)="T",0,IF(OFFSET(BK206,ROW(BK$2)-ROW(BK206),1)="T",-1,-2))),1,6) &amp; "'!" &amp; ADDRESS(ROW(BK206),MATCH(INDIRECT(ADDRESS(2,COLUMN(BK206)+IF(OFFSET(BK206,ROW(BK$2)-ROW(BK206),2)="T",1,IF(OFFSET(BK206,ROW(BK$2)-ROW(BK206),1)="T",0,-1))),TRUE),INDIRECT("'"&amp; MID(OFFSET(BK206,ROW(BK$3)-ROW(BK206),IF(OFFSET(BK206,ROW(BK$2)-ROW(BK206),2)="T",0,IF(OFFSET(BK206,ROW(BK$2)-ROW(BK206),1)="T",-1,-2))),1,6) &amp; "'!2:2",TRUE),0)-IF(OFFSET(BK206,ROW(BK$2)-ROW(BK206),2)="T",1,IF(OFFSET(BK206,ROW(BK$2)-ROW(BK206),1)="T",0,-1))),TRUE)</f>
        <v>0</v>
      </c>
      <c r="BL206" s="363">
        <f t="shared" ca="1" si="335"/>
        <v>0</v>
      </c>
      <c r="BM206" s="360">
        <f t="shared" ca="1" si="323"/>
        <v>0</v>
      </c>
      <c r="BN206" s="360">
        <f t="shared" ca="1" si="323"/>
        <v>0</v>
      </c>
    </row>
    <row r="207" spans="1:66">
      <c r="A207" s="221" t="str">
        <f t="shared" ca="1" si="310"/>
        <v>WP006</v>
      </c>
      <c r="B207" s="221" t="str">
        <f t="shared" ca="1" si="311"/>
        <v>WP006</v>
      </c>
      <c r="C207" s="221">
        <v>2</v>
      </c>
      <c r="D207" s="221" t="s">
        <v>129</v>
      </c>
      <c r="F207" s="221" t="s">
        <v>130</v>
      </c>
      <c r="G207" s="221" t="s">
        <v>74</v>
      </c>
      <c r="M207" s="221" t="s">
        <v>46</v>
      </c>
      <c r="N207" s="461"/>
      <c r="O207" s="450" t="s">
        <v>131</v>
      </c>
      <c r="P207" s="451"/>
      <c r="Q207" s="451"/>
      <c r="R207" s="366"/>
      <c r="S207" s="367"/>
      <c r="T207" s="368">
        <f t="shared" ca="1" si="324"/>
        <v>0</v>
      </c>
      <c r="U207" s="369">
        <f t="shared" ca="1" si="312"/>
        <v>0</v>
      </c>
      <c r="V207" s="366"/>
      <c r="W207" s="367"/>
      <c r="X207" s="368">
        <f t="shared" ca="1" si="325"/>
        <v>0</v>
      </c>
      <c r="Y207" s="369">
        <f t="shared" ca="1" si="313"/>
        <v>0</v>
      </c>
      <c r="Z207" s="366"/>
      <c r="AA207" s="367"/>
      <c r="AB207" s="368">
        <f t="shared" ca="1" si="326"/>
        <v>0</v>
      </c>
      <c r="AC207" s="369">
        <f t="shared" ca="1" si="314"/>
        <v>0</v>
      </c>
      <c r="AD207" s="366"/>
      <c r="AE207" s="367"/>
      <c r="AF207" s="368">
        <f t="shared" ca="1" si="327"/>
        <v>0</v>
      </c>
      <c r="AG207" s="369">
        <f t="shared" ca="1" si="315"/>
        <v>0</v>
      </c>
      <c r="AH207" s="366"/>
      <c r="AI207" s="367"/>
      <c r="AJ207" s="368">
        <f t="shared" ca="1" si="328"/>
        <v>0</v>
      </c>
      <c r="AK207" s="369">
        <f t="shared" ca="1" si="316"/>
        <v>0</v>
      </c>
      <c r="AL207" s="366"/>
      <c r="AM207" s="367"/>
      <c r="AN207" s="368">
        <f t="shared" ca="1" si="329"/>
        <v>0</v>
      </c>
      <c r="AO207" s="369">
        <f t="shared" ca="1" si="317"/>
        <v>0</v>
      </c>
      <c r="AP207" s="366"/>
      <c r="AQ207" s="367"/>
      <c r="AR207" s="368">
        <f t="shared" ca="1" si="330"/>
        <v>0</v>
      </c>
      <c r="AS207" s="369">
        <f t="shared" ca="1" si="318"/>
        <v>0</v>
      </c>
      <c r="AT207" s="366"/>
      <c r="AU207" s="367"/>
      <c r="AV207" s="368">
        <f t="shared" ca="1" si="331"/>
        <v>0</v>
      </c>
      <c r="AW207" s="369">
        <f t="shared" ca="1" si="319"/>
        <v>0</v>
      </c>
      <c r="AX207" s="366"/>
      <c r="AY207" s="367"/>
      <c r="AZ207" s="368">
        <f t="shared" ca="1" si="332"/>
        <v>0</v>
      </c>
      <c r="BA207" s="369">
        <f t="shared" ca="1" si="320"/>
        <v>0</v>
      </c>
      <c r="BB207" s="366"/>
      <c r="BC207" s="367"/>
      <c r="BD207" s="368">
        <f t="shared" ca="1" si="333"/>
        <v>0</v>
      </c>
      <c r="BE207" s="369">
        <f t="shared" ca="1" si="321"/>
        <v>0</v>
      </c>
      <c r="BF207" s="366"/>
      <c r="BG207" s="367"/>
      <c r="BH207" s="368">
        <f t="shared" ca="1" si="334"/>
        <v>0</v>
      </c>
      <c r="BI207" s="369">
        <f t="shared" ca="1" si="322"/>
        <v>0</v>
      </c>
      <c r="BJ207" s="366"/>
      <c r="BK207" s="367"/>
      <c r="BL207" s="368">
        <f t="shared" ca="1" si="335"/>
        <v>0</v>
      </c>
      <c r="BM207" s="369">
        <f t="shared" ca="1" si="323"/>
        <v>0</v>
      </c>
      <c r="BN207" s="369">
        <f t="shared" ca="1" si="323"/>
        <v>0</v>
      </c>
    </row>
    <row r="208" spans="1:66">
      <c r="A208" s="221" t="str">
        <f t="shared" ca="1" si="310"/>
        <v>WP006</v>
      </c>
      <c r="B208" s="221" t="str">
        <f t="shared" ca="1" si="311"/>
        <v>WP006</v>
      </c>
      <c r="C208" s="221">
        <v>1</v>
      </c>
      <c r="N208" s="461"/>
      <c r="O208" s="258"/>
      <c r="P208" s="249"/>
      <c r="Q208" s="249"/>
      <c r="R208" s="361"/>
      <c r="S208" s="362"/>
      <c r="T208" s="363"/>
      <c r="U208" s="360"/>
      <c r="V208" s="361"/>
      <c r="W208" s="362"/>
      <c r="X208" s="363"/>
      <c r="Y208" s="360"/>
      <c r="Z208" s="361"/>
      <c r="AA208" s="362"/>
      <c r="AB208" s="363"/>
      <c r="AC208" s="360"/>
      <c r="AD208" s="361"/>
      <c r="AE208" s="362"/>
      <c r="AF208" s="363"/>
      <c r="AG208" s="360"/>
      <c r="AH208" s="361"/>
      <c r="AI208" s="362"/>
      <c r="AJ208" s="363"/>
      <c r="AK208" s="360"/>
      <c r="AL208" s="361"/>
      <c r="AM208" s="362"/>
      <c r="AN208" s="363"/>
      <c r="AO208" s="360"/>
      <c r="AP208" s="361"/>
      <c r="AQ208" s="362"/>
      <c r="AR208" s="363"/>
      <c r="AS208" s="360"/>
      <c r="AT208" s="361"/>
      <c r="AU208" s="362"/>
      <c r="AV208" s="363"/>
      <c r="AW208" s="360"/>
      <c r="AX208" s="361"/>
      <c r="AY208" s="362"/>
      <c r="AZ208" s="363"/>
      <c r="BA208" s="360"/>
      <c r="BB208" s="361"/>
      <c r="BC208" s="362"/>
      <c r="BD208" s="363"/>
      <c r="BE208" s="360"/>
      <c r="BF208" s="361"/>
      <c r="BG208" s="362"/>
      <c r="BH208" s="363"/>
      <c r="BI208" s="360"/>
      <c r="BJ208" s="361"/>
      <c r="BK208" s="362"/>
      <c r="BL208" s="363"/>
      <c r="BM208" s="360"/>
      <c r="BN208" s="360"/>
    </row>
    <row r="209" spans="1:68">
      <c r="A209" s="221" t="str">
        <f t="shared" ca="1" si="310"/>
        <v>WP006</v>
      </c>
      <c r="B209" s="221" t="str">
        <f t="shared" ca="1" si="311"/>
        <v>WP006</v>
      </c>
      <c r="C209" s="221">
        <v>2</v>
      </c>
      <c r="D209" s="221" t="s">
        <v>132</v>
      </c>
      <c r="F209" s="221" t="s">
        <v>130</v>
      </c>
      <c r="M209" s="221" t="s">
        <v>133</v>
      </c>
      <c r="N209" s="461"/>
      <c r="O209" s="452" t="s">
        <v>134</v>
      </c>
      <c r="P209" s="453"/>
      <c r="Q209" s="453"/>
      <c r="R209" s="370"/>
      <c r="S209" s="371"/>
      <c r="T209" s="372">
        <f ca="1">IF(OFFSET(T209,ROW(T$2)-ROW(T209),0)="TT","TT",IF(OFFSET(T209,0,COLUMN($M209)-COLUMN(T209))="%",ROUND((OFFSET(T209,-2,0)-OFFSET(T209,-19,0))*0.07,2),IF(OFFSET(T209,0,COLUMN($M209)-COLUMN(T209))="V",ROUND(OFFSET(T209,0,-2)*OFFSET(T209,0,-1),2),SUMIF(INDIRECT(ADDRESS(MATCH("START"&amp;OFFSET(T209,0,COLUMN($B209)-COLUMN(T209)),$A:$A,0),$C209+COLUMN($E209)+1)&amp;":"&amp;ADDRESS(MATCH("END"&amp;OFFSET(T209,0,COLUMN($B209)-COLUMN(T209)),$A:$A,0),$C209+COLUMN($E209)+1),TRUE),INDIRECT(ADDRESS(ROW(T209),$C209+COLUMN($E209)),TRUE),INDIRECT(ADDRESS(MATCH("START"&amp;OFFSET(T209,0,COLUMN($B209)-COLUMN(T209)),$A:$A,0),COLUMN(T209))&amp;":"&amp;ADDRESS(MATCH("END"&amp;OFFSET(T209,0,COLUMN($B209)-COLUMN(T209)),$A:$A,0),COLUMN(T209)),TRUE)))))</f>
        <v>0</v>
      </c>
      <c r="U209" s="356">
        <f ca="1">IF(OFFSET(U209,ROW(U$2)-ROW(U209),0)="TT",SUMIF(INDIRECT(ADDRESS(2,COLUMN($Q209)+1) &amp; ":" &amp; ADDRESS(2,COLUMN(U209)-1),TRUE),"TBE",INDIRECT(ADDRESS(ROW(U209), COLUMN($Q209)+1) &amp; ":" &amp; ADDRESS(ROW(U209),COLUMN(U209)-1),TRUE)),IF(OFFSET(U209,ROW(U$2)-ROW(U209),0)="TBE",SUMIF(INDIRECT(ADDRESS(2,MATCH(INT(OFFSET(U209,ROW(U$2)-ROW(U209),-2)),$2:$2,0)) &amp; ":" &amp; ADDRESS(2,COLUMN(U209)-1),TRUE),"T",INDIRECT(ADDRESS(ROW(U209), MATCH(INT(OFFSET(U209,ROW(U$2)-ROW(U209),-2)),$2:$2,0)) &amp; ":" &amp; ADDRESS(ROW(U209),COLUMN(U209)-1),TRUE)),IF(OFFSET(U209,0,COLUMN($M209)-COLUMN(U209))="V",OFFSET(U209,0,-2)*OFFSET(U209,0,-1),"TOTAL")))</f>
        <v>0</v>
      </c>
      <c r="V209" s="370"/>
      <c r="W209" s="371"/>
      <c r="X209" s="372">
        <f ca="1">IF(OFFSET(X209,ROW(X$2)-ROW(X209),0)="TT","TT",IF(OFFSET(X209,0,COLUMN($M209)-COLUMN(X209))="%",ROUND((OFFSET(X209,-2,0)-OFFSET(X209,-19,0))*0.07,2),IF(OFFSET(X209,0,COLUMN($M209)-COLUMN(X209))="V",ROUND(OFFSET(X209,0,-2)*OFFSET(X209,0,-1),2),SUMIF(INDIRECT(ADDRESS(MATCH("START"&amp;OFFSET(X209,0,COLUMN($B209)-COLUMN(X209)),$A:$A,0),$C209+COLUMN($E209)+1)&amp;":"&amp;ADDRESS(MATCH("END"&amp;OFFSET(X209,0,COLUMN($B209)-COLUMN(X209)),$A:$A,0),$C209+COLUMN($E209)+1),TRUE),INDIRECT(ADDRESS(ROW(X209),$C209+COLUMN($E209)),TRUE),INDIRECT(ADDRESS(MATCH("START"&amp;OFFSET(X209,0,COLUMN($B209)-COLUMN(X209)),$A:$A,0),COLUMN(X209))&amp;":"&amp;ADDRESS(MATCH("END"&amp;OFFSET(X209,0,COLUMN($B209)-COLUMN(X209)),$A:$A,0),COLUMN(X209)),TRUE)))))</f>
        <v>0</v>
      </c>
      <c r="Y209" s="356">
        <f ca="1">IF(OFFSET(Y209,ROW(Y$2)-ROW(Y209),0)="TT",SUMIF(INDIRECT(ADDRESS(2,COLUMN($Q209)+1) &amp; ":" &amp; ADDRESS(2,COLUMN(Y209)-1),TRUE),"TBE",INDIRECT(ADDRESS(ROW(Y209), COLUMN($Q209)+1) &amp; ":" &amp; ADDRESS(ROW(Y209),COLUMN(Y209)-1),TRUE)),IF(OFFSET(Y209,ROW(Y$2)-ROW(Y209),0)="TBE",SUMIF(INDIRECT(ADDRESS(2,MATCH(INT(OFFSET(Y209,ROW(Y$2)-ROW(Y209),-2)),$2:$2,0)) &amp; ":" &amp; ADDRESS(2,COLUMN(Y209)-1),TRUE),"T",INDIRECT(ADDRESS(ROW(Y209), MATCH(INT(OFFSET(Y209,ROW(Y$2)-ROW(Y209),-2)),$2:$2,0)) &amp; ":" &amp; ADDRESS(ROW(Y209),COLUMN(Y209)-1),TRUE)),IF(OFFSET(Y209,0,COLUMN($M209)-COLUMN(Y209))="V",OFFSET(Y209,0,-2)*OFFSET(Y209,0,-1),"TOTAL")))</f>
        <v>0</v>
      </c>
      <c r="Z209" s="370"/>
      <c r="AA209" s="371"/>
      <c r="AB209" s="372">
        <f ca="1">IF(OFFSET(AB209,ROW(AB$2)-ROW(AB209),0)="TT","TT",IF(OFFSET(AB209,0,COLUMN($M209)-COLUMN(AB209))="%",ROUND((OFFSET(AB209,-2,0)-OFFSET(AB209,-19,0))*0.07,2),IF(OFFSET(AB209,0,COLUMN($M209)-COLUMN(AB209))="V",ROUND(OFFSET(AB209,0,-2)*OFFSET(AB209,0,-1),2),SUMIF(INDIRECT(ADDRESS(MATCH("START"&amp;OFFSET(AB209,0,COLUMN($B209)-COLUMN(AB209)),$A:$A,0),$C209+COLUMN($E209)+1)&amp;":"&amp;ADDRESS(MATCH("END"&amp;OFFSET(AB209,0,COLUMN($B209)-COLUMN(AB209)),$A:$A,0),$C209+COLUMN($E209)+1),TRUE),INDIRECT(ADDRESS(ROW(AB209),$C209+COLUMN($E209)),TRUE),INDIRECT(ADDRESS(MATCH("START"&amp;OFFSET(AB209,0,COLUMN($B209)-COLUMN(AB209)),$A:$A,0),COLUMN(AB209))&amp;":"&amp;ADDRESS(MATCH("END"&amp;OFFSET(AB209,0,COLUMN($B209)-COLUMN(AB209)),$A:$A,0),COLUMN(AB209)),TRUE)))))</f>
        <v>0</v>
      </c>
      <c r="AC209" s="356">
        <f ca="1">IF(OFFSET(AC209,ROW(AC$2)-ROW(AC209),0)="TT",SUMIF(INDIRECT(ADDRESS(2,COLUMN($Q209)+1) &amp; ":" &amp; ADDRESS(2,COLUMN(AC209)-1),TRUE),"TBE",INDIRECT(ADDRESS(ROW(AC209), COLUMN($Q209)+1) &amp; ":" &amp; ADDRESS(ROW(AC209),COLUMN(AC209)-1),TRUE)),IF(OFFSET(AC209,ROW(AC$2)-ROW(AC209),0)="TBE",SUMIF(INDIRECT(ADDRESS(2,MATCH(INT(OFFSET(AC209,ROW(AC$2)-ROW(AC209),-2)),$2:$2,0)) &amp; ":" &amp; ADDRESS(2,COLUMN(AC209)-1),TRUE),"T",INDIRECT(ADDRESS(ROW(AC209), MATCH(INT(OFFSET(AC209,ROW(AC$2)-ROW(AC209),-2)),$2:$2,0)) &amp; ":" &amp; ADDRESS(ROW(AC209),COLUMN(AC209)-1),TRUE)),IF(OFFSET(AC209,0,COLUMN($M209)-COLUMN(AC209))="V",OFFSET(AC209,0,-2)*OFFSET(AC209,0,-1),"TOTAL")))</f>
        <v>0</v>
      </c>
      <c r="AD209" s="370"/>
      <c r="AE209" s="371"/>
      <c r="AF209" s="372">
        <f ca="1">IF(OFFSET(AF209,ROW(AF$2)-ROW(AF209),0)="TT","TT",IF(OFFSET(AF209,0,COLUMN($M209)-COLUMN(AF209))="%",ROUND((OFFSET(AF209,-2,0)-OFFSET(AF209,-19,0))*0.07,2),IF(OFFSET(AF209,0,COLUMN($M209)-COLUMN(AF209))="V",ROUND(OFFSET(AF209,0,-2)*OFFSET(AF209,0,-1),2),SUMIF(INDIRECT(ADDRESS(MATCH("START"&amp;OFFSET(AF209,0,COLUMN($B209)-COLUMN(AF209)),$A:$A,0),$C209+COLUMN($E209)+1)&amp;":"&amp;ADDRESS(MATCH("END"&amp;OFFSET(AF209,0,COLUMN($B209)-COLUMN(AF209)),$A:$A,0),$C209+COLUMN($E209)+1),TRUE),INDIRECT(ADDRESS(ROW(AF209),$C209+COLUMN($E209)),TRUE),INDIRECT(ADDRESS(MATCH("START"&amp;OFFSET(AF209,0,COLUMN($B209)-COLUMN(AF209)),$A:$A,0),COLUMN(AF209))&amp;":"&amp;ADDRESS(MATCH("END"&amp;OFFSET(AF209,0,COLUMN($B209)-COLUMN(AF209)),$A:$A,0),COLUMN(AF209)),TRUE)))))</f>
        <v>0</v>
      </c>
      <c r="AG209" s="356">
        <f ca="1">IF(OFFSET(AG209,ROW(AG$2)-ROW(AG209),0)="TT",SUMIF(INDIRECT(ADDRESS(2,COLUMN($Q209)+1) &amp; ":" &amp; ADDRESS(2,COLUMN(AG209)-1),TRUE),"TBE",INDIRECT(ADDRESS(ROW(AG209), COLUMN($Q209)+1) &amp; ":" &amp; ADDRESS(ROW(AG209),COLUMN(AG209)-1),TRUE)),IF(OFFSET(AG209,ROW(AG$2)-ROW(AG209),0)="TBE",SUMIF(INDIRECT(ADDRESS(2,MATCH(INT(OFFSET(AG209,ROW(AG$2)-ROW(AG209),-2)),$2:$2,0)) &amp; ":" &amp; ADDRESS(2,COLUMN(AG209)-1),TRUE),"T",INDIRECT(ADDRESS(ROW(AG209), MATCH(INT(OFFSET(AG209,ROW(AG$2)-ROW(AG209),-2)),$2:$2,0)) &amp; ":" &amp; ADDRESS(ROW(AG209),COLUMN(AG209)-1),TRUE)),IF(OFFSET(AG209,0,COLUMN($M209)-COLUMN(AG209))="V",OFFSET(AG209,0,-2)*OFFSET(AG209,0,-1),"TOTAL")))</f>
        <v>0</v>
      </c>
      <c r="AH209" s="370"/>
      <c r="AI209" s="371"/>
      <c r="AJ209" s="372">
        <f ca="1">IF(OFFSET(AJ209,ROW(AJ$2)-ROW(AJ209),0)="TT","TT",IF(OFFSET(AJ209,0,COLUMN($M209)-COLUMN(AJ209))="%",ROUND((OFFSET(AJ209,-2,0)-OFFSET(AJ209,-19,0))*0.07,2),IF(OFFSET(AJ209,0,COLUMN($M209)-COLUMN(AJ209))="V",ROUND(OFFSET(AJ209,0,-2)*OFFSET(AJ209,0,-1),2),SUMIF(INDIRECT(ADDRESS(MATCH("START"&amp;OFFSET(AJ209,0,COLUMN($B209)-COLUMN(AJ209)),$A:$A,0),$C209+COLUMN($E209)+1)&amp;":"&amp;ADDRESS(MATCH("END"&amp;OFFSET(AJ209,0,COLUMN($B209)-COLUMN(AJ209)),$A:$A,0),$C209+COLUMN($E209)+1),TRUE),INDIRECT(ADDRESS(ROW(AJ209),$C209+COLUMN($E209)),TRUE),INDIRECT(ADDRESS(MATCH("START"&amp;OFFSET(AJ209,0,COLUMN($B209)-COLUMN(AJ209)),$A:$A,0),COLUMN(AJ209))&amp;":"&amp;ADDRESS(MATCH("END"&amp;OFFSET(AJ209,0,COLUMN($B209)-COLUMN(AJ209)),$A:$A,0),COLUMN(AJ209)),TRUE)))))</f>
        <v>0</v>
      </c>
      <c r="AK209" s="356">
        <f ca="1">IF(OFFSET(AK209,ROW(AK$2)-ROW(AK209),0)="TT",SUMIF(INDIRECT(ADDRESS(2,COLUMN($Q209)+1) &amp; ":" &amp; ADDRESS(2,COLUMN(AK209)-1),TRUE),"TBE",INDIRECT(ADDRESS(ROW(AK209), COLUMN($Q209)+1) &amp; ":" &amp; ADDRESS(ROW(AK209),COLUMN(AK209)-1),TRUE)),IF(OFFSET(AK209,ROW(AK$2)-ROW(AK209),0)="TBE",SUMIF(INDIRECT(ADDRESS(2,MATCH(INT(OFFSET(AK209,ROW(AK$2)-ROW(AK209),-2)),$2:$2,0)) &amp; ":" &amp; ADDRESS(2,COLUMN(AK209)-1),TRUE),"T",INDIRECT(ADDRESS(ROW(AK209), MATCH(INT(OFFSET(AK209,ROW(AK$2)-ROW(AK209),-2)),$2:$2,0)) &amp; ":" &amp; ADDRESS(ROW(AK209),COLUMN(AK209)-1),TRUE)),IF(OFFSET(AK209,0,COLUMN($M209)-COLUMN(AK209))="V",OFFSET(AK209,0,-2)*OFFSET(AK209,0,-1),"TOTAL")))</f>
        <v>0</v>
      </c>
      <c r="AL209" s="370"/>
      <c r="AM209" s="371"/>
      <c r="AN209" s="372">
        <f ca="1">IF(OFFSET(AN209,ROW(AN$2)-ROW(AN209),0)="TT","TT",IF(OFFSET(AN209,0,COLUMN($M209)-COLUMN(AN209))="%",ROUND((OFFSET(AN209,-2,0)-OFFSET(AN209,-19,0))*0.07,2),IF(OFFSET(AN209,0,COLUMN($M209)-COLUMN(AN209))="V",ROUND(OFFSET(AN209,0,-2)*OFFSET(AN209,0,-1),2),SUMIF(INDIRECT(ADDRESS(MATCH("START"&amp;OFFSET(AN209,0,COLUMN($B209)-COLUMN(AN209)),$A:$A,0),$C209+COLUMN($E209)+1)&amp;":"&amp;ADDRESS(MATCH("END"&amp;OFFSET(AN209,0,COLUMN($B209)-COLUMN(AN209)),$A:$A,0),$C209+COLUMN($E209)+1),TRUE),INDIRECT(ADDRESS(ROW(AN209),$C209+COLUMN($E209)),TRUE),INDIRECT(ADDRESS(MATCH("START"&amp;OFFSET(AN209,0,COLUMN($B209)-COLUMN(AN209)),$A:$A,0),COLUMN(AN209))&amp;":"&amp;ADDRESS(MATCH("END"&amp;OFFSET(AN209,0,COLUMN($B209)-COLUMN(AN209)),$A:$A,0),COLUMN(AN209)),TRUE)))))</f>
        <v>0</v>
      </c>
      <c r="AO209" s="356">
        <f ca="1">IF(OFFSET(AO209,ROW(AO$2)-ROW(AO209),0)="TT",SUMIF(INDIRECT(ADDRESS(2,COLUMN($Q209)+1) &amp; ":" &amp; ADDRESS(2,COLUMN(AO209)-1),TRUE),"TBE",INDIRECT(ADDRESS(ROW(AO209), COLUMN($Q209)+1) &amp; ":" &amp; ADDRESS(ROW(AO209),COLUMN(AO209)-1),TRUE)),IF(OFFSET(AO209,ROW(AO$2)-ROW(AO209),0)="TBE",SUMIF(INDIRECT(ADDRESS(2,MATCH(INT(OFFSET(AO209,ROW(AO$2)-ROW(AO209),-2)),$2:$2,0)) &amp; ":" &amp; ADDRESS(2,COLUMN(AO209)-1),TRUE),"T",INDIRECT(ADDRESS(ROW(AO209), MATCH(INT(OFFSET(AO209,ROW(AO$2)-ROW(AO209),-2)),$2:$2,0)) &amp; ":" &amp; ADDRESS(ROW(AO209),COLUMN(AO209)-1),TRUE)),IF(OFFSET(AO209,0,COLUMN($M209)-COLUMN(AO209))="V",OFFSET(AO209,0,-2)*OFFSET(AO209,0,-1),"TOTAL")))</f>
        <v>0</v>
      </c>
      <c r="AP209" s="370"/>
      <c r="AQ209" s="371"/>
      <c r="AR209" s="372">
        <f ca="1">IF(OFFSET(AR209,ROW(AR$2)-ROW(AR209),0)="TT","TT",IF(OFFSET(AR209,0,COLUMN($M209)-COLUMN(AR209))="%",ROUND((OFFSET(AR209,-2,0)-OFFSET(AR209,-19,0))*0.07,2),IF(OFFSET(AR209,0,COLUMN($M209)-COLUMN(AR209))="V",ROUND(OFFSET(AR209,0,-2)*OFFSET(AR209,0,-1),2),SUMIF(INDIRECT(ADDRESS(MATCH("START"&amp;OFFSET(AR209,0,COLUMN($B209)-COLUMN(AR209)),$A:$A,0),$C209+COLUMN($E209)+1)&amp;":"&amp;ADDRESS(MATCH("END"&amp;OFFSET(AR209,0,COLUMN($B209)-COLUMN(AR209)),$A:$A,0),$C209+COLUMN($E209)+1),TRUE),INDIRECT(ADDRESS(ROW(AR209),$C209+COLUMN($E209)),TRUE),INDIRECT(ADDRESS(MATCH("START"&amp;OFFSET(AR209,0,COLUMN($B209)-COLUMN(AR209)),$A:$A,0),COLUMN(AR209))&amp;":"&amp;ADDRESS(MATCH("END"&amp;OFFSET(AR209,0,COLUMN($B209)-COLUMN(AR209)),$A:$A,0),COLUMN(AR209)),TRUE)))))</f>
        <v>0</v>
      </c>
      <c r="AS209" s="356">
        <f ca="1">IF(OFFSET(AS209,ROW(AS$2)-ROW(AS209),0)="TT",SUMIF(INDIRECT(ADDRESS(2,COLUMN($Q209)+1) &amp; ":" &amp; ADDRESS(2,COLUMN(AS209)-1),TRUE),"TBE",INDIRECT(ADDRESS(ROW(AS209), COLUMN($Q209)+1) &amp; ":" &amp; ADDRESS(ROW(AS209),COLUMN(AS209)-1),TRUE)),IF(OFFSET(AS209,ROW(AS$2)-ROW(AS209),0)="TBE",SUMIF(INDIRECT(ADDRESS(2,MATCH(INT(OFFSET(AS209,ROW(AS$2)-ROW(AS209),-2)),$2:$2,0)) &amp; ":" &amp; ADDRESS(2,COLUMN(AS209)-1),TRUE),"T",INDIRECT(ADDRESS(ROW(AS209), MATCH(INT(OFFSET(AS209,ROW(AS$2)-ROW(AS209),-2)),$2:$2,0)) &amp; ":" &amp; ADDRESS(ROW(AS209),COLUMN(AS209)-1),TRUE)),IF(OFFSET(AS209,0,COLUMN($M209)-COLUMN(AS209))="V",OFFSET(AS209,0,-2)*OFFSET(AS209,0,-1),"TOTAL")))</f>
        <v>0</v>
      </c>
      <c r="AT209" s="370"/>
      <c r="AU209" s="371"/>
      <c r="AV209" s="372">
        <f ca="1">IF(OFFSET(AV209,ROW(AV$2)-ROW(AV209),0)="TT","TT",IF(OFFSET(AV209,0,COLUMN($M209)-COLUMN(AV209))="%",ROUND((OFFSET(AV209,-2,0)-OFFSET(AV209,-19,0))*0.07,2),IF(OFFSET(AV209,0,COLUMN($M209)-COLUMN(AV209))="V",ROUND(OFFSET(AV209,0,-2)*OFFSET(AV209,0,-1),2),SUMIF(INDIRECT(ADDRESS(MATCH("START"&amp;OFFSET(AV209,0,COLUMN($B209)-COLUMN(AV209)),$A:$A,0),$C209+COLUMN($E209)+1)&amp;":"&amp;ADDRESS(MATCH("END"&amp;OFFSET(AV209,0,COLUMN($B209)-COLUMN(AV209)),$A:$A,0),$C209+COLUMN($E209)+1),TRUE),INDIRECT(ADDRESS(ROW(AV209),$C209+COLUMN($E209)),TRUE),INDIRECT(ADDRESS(MATCH("START"&amp;OFFSET(AV209,0,COLUMN($B209)-COLUMN(AV209)),$A:$A,0),COLUMN(AV209))&amp;":"&amp;ADDRESS(MATCH("END"&amp;OFFSET(AV209,0,COLUMN($B209)-COLUMN(AV209)),$A:$A,0),COLUMN(AV209)),TRUE)))))</f>
        <v>0</v>
      </c>
      <c r="AW209" s="356">
        <f ca="1">IF(OFFSET(AW209,ROW(AW$2)-ROW(AW209),0)="TT",SUMIF(INDIRECT(ADDRESS(2,COLUMN($Q209)+1) &amp; ":" &amp; ADDRESS(2,COLUMN(AW209)-1),TRUE),"TBE",INDIRECT(ADDRESS(ROW(AW209), COLUMN($Q209)+1) &amp; ":" &amp; ADDRESS(ROW(AW209),COLUMN(AW209)-1),TRUE)),IF(OFFSET(AW209,ROW(AW$2)-ROW(AW209),0)="TBE",SUMIF(INDIRECT(ADDRESS(2,MATCH(INT(OFFSET(AW209,ROW(AW$2)-ROW(AW209),-2)),$2:$2,0)) &amp; ":" &amp; ADDRESS(2,COLUMN(AW209)-1),TRUE),"T",INDIRECT(ADDRESS(ROW(AW209), MATCH(INT(OFFSET(AW209,ROW(AW$2)-ROW(AW209),-2)),$2:$2,0)) &amp; ":" &amp; ADDRESS(ROW(AW209),COLUMN(AW209)-1),TRUE)),IF(OFFSET(AW209,0,COLUMN($M209)-COLUMN(AW209))="V",OFFSET(AW209,0,-2)*OFFSET(AW209,0,-1),"TOTAL")))</f>
        <v>0</v>
      </c>
      <c r="AX209" s="370"/>
      <c r="AY209" s="371"/>
      <c r="AZ209" s="372">
        <f ca="1">IF(OFFSET(AZ209,ROW(AZ$2)-ROW(AZ209),0)="TT","TT",IF(OFFSET(AZ209,0,COLUMN($M209)-COLUMN(AZ209))="%",ROUND((OFFSET(AZ209,-2,0)-OFFSET(AZ209,-19,0))*0.07,2),IF(OFFSET(AZ209,0,COLUMN($M209)-COLUMN(AZ209))="V",ROUND(OFFSET(AZ209,0,-2)*OFFSET(AZ209,0,-1),2),SUMIF(INDIRECT(ADDRESS(MATCH("START"&amp;OFFSET(AZ209,0,COLUMN($B209)-COLUMN(AZ209)),$A:$A,0),$C209+COLUMN($E209)+1)&amp;":"&amp;ADDRESS(MATCH("END"&amp;OFFSET(AZ209,0,COLUMN($B209)-COLUMN(AZ209)),$A:$A,0),$C209+COLUMN($E209)+1),TRUE),INDIRECT(ADDRESS(ROW(AZ209),$C209+COLUMN($E209)),TRUE),INDIRECT(ADDRESS(MATCH("START"&amp;OFFSET(AZ209,0,COLUMN($B209)-COLUMN(AZ209)),$A:$A,0),COLUMN(AZ209))&amp;":"&amp;ADDRESS(MATCH("END"&amp;OFFSET(AZ209,0,COLUMN($B209)-COLUMN(AZ209)),$A:$A,0),COLUMN(AZ209)),TRUE)))))</f>
        <v>0</v>
      </c>
      <c r="BA209" s="356">
        <f ca="1">IF(OFFSET(BA209,ROW(BA$2)-ROW(BA209),0)="TT",SUMIF(INDIRECT(ADDRESS(2,COLUMN($Q209)+1) &amp; ":" &amp; ADDRESS(2,COLUMN(BA209)-1),TRUE),"TBE",INDIRECT(ADDRESS(ROW(BA209), COLUMN($Q209)+1) &amp; ":" &amp; ADDRESS(ROW(BA209),COLUMN(BA209)-1),TRUE)),IF(OFFSET(BA209,ROW(BA$2)-ROW(BA209),0)="TBE",SUMIF(INDIRECT(ADDRESS(2,MATCH(INT(OFFSET(BA209,ROW(BA$2)-ROW(BA209),-2)),$2:$2,0)) &amp; ":" &amp; ADDRESS(2,COLUMN(BA209)-1),TRUE),"T",INDIRECT(ADDRESS(ROW(BA209), MATCH(INT(OFFSET(BA209,ROW(BA$2)-ROW(BA209),-2)),$2:$2,0)) &amp; ":" &amp; ADDRESS(ROW(BA209),COLUMN(BA209)-1),TRUE)),IF(OFFSET(BA209,0,COLUMN($M209)-COLUMN(BA209))="V",OFFSET(BA209,0,-2)*OFFSET(BA209,0,-1),"TOTAL")))</f>
        <v>0</v>
      </c>
      <c r="BB209" s="370"/>
      <c r="BC209" s="371"/>
      <c r="BD209" s="372">
        <f ca="1">IF(OFFSET(BD209,ROW(BD$2)-ROW(BD209),0)="TT","TT",IF(OFFSET(BD209,0,COLUMN($M209)-COLUMN(BD209))="%",ROUND((OFFSET(BD209,-2,0)-OFFSET(BD209,-19,0))*0.07,2),IF(OFFSET(BD209,0,COLUMN($M209)-COLUMN(BD209))="V",ROUND(OFFSET(BD209,0,-2)*OFFSET(BD209,0,-1),2),SUMIF(INDIRECT(ADDRESS(MATCH("START"&amp;OFFSET(BD209,0,COLUMN($B209)-COLUMN(BD209)),$A:$A,0),$C209+COLUMN($E209)+1)&amp;":"&amp;ADDRESS(MATCH("END"&amp;OFFSET(BD209,0,COLUMN($B209)-COLUMN(BD209)),$A:$A,0),$C209+COLUMN($E209)+1),TRUE),INDIRECT(ADDRESS(ROW(BD209),$C209+COLUMN($E209)),TRUE),INDIRECT(ADDRESS(MATCH("START"&amp;OFFSET(BD209,0,COLUMN($B209)-COLUMN(BD209)),$A:$A,0),COLUMN(BD209))&amp;":"&amp;ADDRESS(MATCH("END"&amp;OFFSET(BD209,0,COLUMN($B209)-COLUMN(BD209)),$A:$A,0),COLUMN(BD209)),TRUE)))))</f>
        <v>0</v>
      </c>
      <c r="BE209" s="356">
        <f ca="1">IF(OFFSET(BE209,ROW(BE$2)-ROW(BE209),0)="TT",SUMIF(INDIRECT(ADDRESS(2,COLUMN($Q209)+1) &amp; ":" &amp; ADDRESS(2,COLUMN(BE209)-1),TRUE),"TBE",INDIRECT(ADDRESS(ROW(BE209), COLUMN($Q209)+1) &amp; ":" &amp; ADDRESS(ROW(BE209),COLUMN(BE209)-1),TRUE)),IF(OFFSET(BE209,ROW(BE$2)-ROW(BE209),0)="TBE",SUMIF(INDIRECT(ADDRESS(2,MATCH(INT(OFFSET(BE209,ROW(BE$2)-ROW(BE209),-2)),$2:$2,0)) &amp; ":" &amp; ADDRESS(2,COLUMN(BE209)-1),TRUE),"T",INDIRECT(ADDRESS(ROW(BE209), MATCH(INT(OFFSET(BE209,ROW(BE$2)-ROW(BE209),-2)),$2:$2,0)) &amp; ":" &amp; ADDRESS(ROW(BE209),COLUMN(BE209)-1),TRUE)),IF(OFFSET(BE209,0,COLUMN($M209)-COLUMN(BE209))="V",OFFSET(BE209,0,-2)*OFFSET(BE209,0,-1),"TOTAL")))</f>
        <v>0</v>
      </c>
      <c r="BF209" s="370"/>
      <c r="BG209" s="371"/>
      <c r="BH209" s="372">
        <f ca="1">IF(OFFSET(BH209,ROW(BH$2)-ROW(BH209),0)="TT","TT",IF(OFFSET(BH209,0,COLUMN($M209)-COLUMN(BH209))="%",ROUND((OFFSET(BH209,-2,0)-OFFSET(BH209,-19,0))*0.07,2),IF(OFFSET(BH209,0,COLUMN($M209)-COLUMN(BH209))="V",ROUND(OFFSET(BH209,0,-2)*OFFSET(BH209,0,-1),2),SUMIF(INDIRECT(ADDRESS(MATCH("START"&amp;OFFSET(BH209,0,COLUMN($B209)-COLUMN(BH209)),$A:$A,0),$C209+COLUMN($E209)+1)&amp;":"&amp;ADDRESS(MATCH("END"&amp;OFFSET(BH209,0,COLUMN($B209)-COLUMN(BH209)),$A:$A,0),$C209+COLUMN($E209)+1),TRUE),INDIRECT(ADDRESS(ROW(BH209),$C209+COLUMN($E209)),TRUE),INDIRECT(ADDRESS(MATCH("START"&amp;OFFSET(BH209,0,COLUMN($B209)-COLUMN(BH209)),$A:$A,0),COLUMN(BH209))&amp;":"&amp;ADDRESS(MATCH("END"&amp;OFFSET(BH209,0,COLUMN($B209)-COLUMN(BH209)),$A:$A,0),COLUMN(BH209)),TRUE)))))</f>
        <v>0</v>
      </c>
      <c r="BI209" s="356">
        <f ca="1">IF(OFFSET(BI209,ROW(BI$2)-ROW(BI209),0)="TT",SUMIF(INDIRECT(ADDRESS(2,COLUMN($Q209)+1) &amp; ":" &amp; ADDRESS(2,COLUMN(BI209)-1),TRUE),"TBE",INDIRECT(ADDRESS(ROW(BI209), COLUMN($Q209)+1) &amp; ":" &amp; ADDRESS(ROW(BI209),COLUMN(BI209)-1),TRUE)),IF(OFFSET(BI209,ROW(BI$2)-ROW(BI209),0)="TBE",SUMIF(INDIRECT(ADDRESS(2,MATCH(INT(OFFSET(BI209,ROW(BI$2)-ROW(BI209),-2)),$2:$2,0)) &amp; ":" &amp; ADDRESS(2,COLUMN(BI209)-1),TRUE),"T",INDIRECT(ADDRESS(ROW(BI209), MATCH(INT(OFFSET(BI209,ROW(BI$2)-ROW(BI209),-2)),$2:$2,0)) &amp; ":" &amp; ADDRESS(ROW(BI209),COLUMN(BI209)-1),TRUE)),IF(OFFSET(BI209,0,COLUMN($M209)-COLUMN(BI209))="V",OFFSET(BI209,0,-2)*OFFSET(BI209,0,-1),"TOTAL")))</f>
        <v>0</v>
      </c>
      <c r="BJ209" s="370"/>
      <c r="BK209" s="371"/>
      <c r="BL209" s="372">
        <f ca="1">IF(OFFSET(BL209,ROW(BL$2)-ROW(BL209),0)="TT","TT",IF(OFFSET(BL209,0,COLUMN($M209)-COLUMN(BL209))="%",ROUND((OFFSET(BL209,-2,0)-OFFSET(BL209,-19,0))*0.07,2),IF(OFFSET(BL209,0,COLUMN($M209)-COLUMN(BL209))="V",ROUND(OFFSET(BL209,0,-2)*OFFSET(BL209,0,-1),2),SUMIF(INDIRECT(ADDRESS(MATCH("START"&amp;OFFSET(BL209,0,COLUMN($B209)-COLUMN(BL209)),$A:$A,0),$C209+COLUMN($E209)+1)&amp;":"&amp;ADDRESS(MATCH("END"&amp;OFFSET(BL209,0,COLUMN($B209)-COLUMN(BL209)),$A:$A,0),$C209+COLUMN($E209)+1),TRUE),INDIRECT(ADDRESS(ROW(BL209),$C209+COLUMN($E209)),TRUE),INDIRECT(ADDRESS(MATCH("START"&amp;OFFSET(BL209,0,COLUMN($B209)-COLUMN(BL209)),$A:$A,0),COLUMN(BL209))&amp;":"&amp;ADDRESS(MATCH("END"&amp;OFFSET(BL209,0,COLUMN($B209)-COLUMN(BL209)),$A:$A,0),COLUMN(BL209)),TRUE)))))</f>
        <v>0</v>
      </c>
      <c r="BM209" s="356">
        <f ca="1">IF(OFFSET(BM209,ROW(BM$2)-ROW(BM209),0)="TT",SUMIF(INDIRECT(ADDRESS(2,COLUMN($Q209)+1) &amp; ":" &amp; ADDRESS(2,COLUMN(BM209)-1),TRUE),"TBE",INDIRECT(ADDRESS(ROW(BM209), COLUMN($Q209)+1) &amp; ":" &amp; ADDRESS(ROW(BM209),COLUMN(BM209)-1),TRUE)),IF(OFFSET(BM209,ROW(BM$2)-ROW(BM209),0)="TBE",SUMIF(INDIRECT(ADDRESS(2,MATCH(INT(OFFSET(BM209,ROW(BM$2)-ROW(BM209),-2)),$2:$2,0)) &amp; ":" &amp; ADDRESS(2,COLUMN(BM209)-1),TRUE),"T",INDIRECT(ADDRESS(ROW(BM209), MATCH(INT(OFFSET(BM209,ROW(BM$2)-ROW(BM209),-2)),$2:$2,0)) &amp; ":" &amp; ADDRESS(ROW(BM209),COLUMN(BM209)-1),TRUE)),IF(OFFSET(BM209,0,COLUMN($M209)-COLUMN(BM209))="V",OFFSET(BM209,0,-2)*OFFSET(BM209,0,-1),"TOTAL")))</f>
        <v>0</v>
      </c>
      <c r="BN209" s="356">
        <f ca="1">IF(OFFSET(BN209,ROW(BN$2)-ROW(BN209),0)="TT",SUMIF(INDIRECT(ADDRESS(2,COLUMN($Q209)+1) &amp; ":" &amp; ADDRESS(2,COLUMN(BN209)-1),TRUE),"TBE",INDIRECT(ADDRESS(ROW(BN209), COLUMN($Q209)+1) &amp; ":" &amp; ADDRESS(ROW(BN209),COLUMN(BN209)-1),TRUE)),IF(OFFSET(BN209,ROW(BN$2)-ROW(BN209),0)="TBE",SUMIF(INDIRECT(ADDRESS(2,MATCH(INT(OFFSET(BN209,ROW(BN$2)-ROW(BN209),-2)),$2:$2,0)) &amp; ":" &amp; ADDRESS(2,COLUMN(BN209)-1),TRUE),"T",INDIRECT(ADDRESS(ROW(BN209), MATCH(INT(OFFSET(BN209,ROW(BN$2)-ROW(BN209),-2)),$2:$2,0)) &amp; ":" &amp; ADDRESS(ROW(BN209),COLUMN(BN209)-1),TRUE)),IF(OFFSET(BN209,0,COLUMN($M209)-COLUMN(BN209))="V",OFFSET(BN209,0,-2)*OFFSET(BN209,0,-1),"TOTAL")))</f>
        <v>0</v>
      </c>
    </row>
    <row r="210" spans="1:68">
      <c r="A210" s="221" t="str">
        <f t="shared" ca="1" si="310"/>
        <v>WP006</v>
      </c>
      <c r="B210" s="221" t="str">
        <f t="shared" ca="1" si="311"/>
        <v>WP006</v>
      </c>
      <c r="C210" s="221">
        <v>1</v>
      </c>
      <c r="N210" s="461"/>
      <c r="O210" s="259"/>
      <c r="P210" s="389"/>
      <c r="Q210" s="389"/>
      <c r="R210" s="361"/>
      <c r="S210" s="362"/>
      <c r="T210" s="363"/>
      <c r="U210" s="360"/>
      <c r="V210" s="361"/>
      <c r="W210" s="362"/>
      <c r="X210" s="363"/>
      <c r="Y210" s="360"/>
      <c r="Z210" s="361"/>
      <c r="AA210" s="362"/>
      <c r="AB210" s="363"/>
      <c r="AC210" s="360"/>
      <c r="AD210" s="361"/>
      <c r="AE210" s="362"/>
      <c r="AF210" s="363"/>
      <c r="AG210" s="360"/>
      <c r="AH210" s="361"/>
      <c r="AI210" s="362"/>
      <c r="AJ210" s="363"/>
      <c r="AK210" s="360"/>
      <c r="AL210" s="361"/>
      <c r="AM210" s="362"/>
      <c r="AN210" s="363"/>
      <c r="AO210" s="360"/>
      <c r="AP210" s="361"/>
      <c r="AQ210" s="362"/>
      <c r="AR210" s="363"/>
      <c r="AS210" s="360"/>
      <c r="AT210" s="361"/>
      <c r="AU210" s="362"/>
      <c r="AV210" s="363"/>
      <c r="AW210" s="360"/>
      <c r="AX210" s="361"/>
      <c r="AY210" s="362"/>
      <c r="AZ210" s="363"/>
      <c r="BA210" s="360"/>
      <c r="BB210" s="361"/>
      <c r="BC210" s="362"/>
      <c r="BD210" s="363"/>
      <c r="BE210" s="360"/>
      <c r="BF210" s="361"/>
      <c r="BG210" s="362"/>
      <c r="BH210" s="363"/>
      <c r="BI210" s="360"/>
      <c r="BJ210" s="361"/>
      <c r="BK210" s="362"/>
      <c r="BL210" s="363"/>
      <c r="BM210" s="360"/>
      <c r="BN210" s="360"/>
    </row>
    <row r="211" spans="1:68" ht="12.75" thickBot="1">
      <c r="A211" s="221" t="str">
        <f t="shared" ca="1" si="310"/>
        <v>ENDWP006</v>
      </c>
      <c r="B211" s="221" t="str">
        <f t="shared" ca="1" si="311"/>
        <v>WP006</v>
      </c>
      <c r="C211" s="221">
        <v>0</v>
      </c>
      <c r="D211" s="221" t="s">
        <v>135</v>
      </c>
      <c r="E211" s="221" t="s">
        <v>130</v>
      </c>
      <c r="M211" s="221" t="s">
        <v>46</v>
      </c>
      <c r="N211" s="462"/>
      <c r="O211" s="454" t="str">
        <f ca="1">"TOTAL COSTS (A+B+C+D+E) - " &amp; OFFSET(O211,-26,0)</f>
        <v xml:space="preserve">TOTAL COSTS (A+B+C+D+E) - </v>
      </c>
      <c r="P211" s="455"/>
      <c r="Q211" s="455"/>
      <c r="R211" s="373"/>
      <c r="S211" s="374"/>
      <c r="T211" s="375">
        <f t="shared" ca="1" si="324"/>
        <v>0</v>
      </c>
      <c r="U211" s="376">
        <f ca="1">IF(OFFSET(U211,ROW(U$2)-ROW(U211),0)="TT",SUMIF(INDIRECT(ADDRESS(2,COLUMN($Q211)+1) &amp; ":" &amp; ADDRESS(2,COLUMN(U211)-1),TRUE),"TBE",INDIRECT(ADDRESS(ROW(U211), COLUMN($Q211)+1) &amp; ":" &amp; ADDRESS(ROW(U211),COLUMN(U211)-1),TRUE)),IF(OFFSET(U211,ROW(U$2)-ROW(U211),0)="TBE",SUMIF(INDIRECT(ADDRESS(2,MATCH(INT(OFFSET(U211,ROW(U$2)-ROW(U211),-2)),$2:$2,0)) &amp; ":" &amp; ADDRESS(2,COLUMN(U211)-1),TRUE),"T",INDIRECT(ADDRESS(ROW(U211), MATCH(INT(OFFSET(U211,ROW(U$2)-ROW(U211),-2)),$2:$2,0)) &amp; ":" &amp; ADDRESS(ROW(U211),COLUMN(U211)-1),TRUE)),IF(OFFSET(U211,0,COLUMN($M211)-COLUMN(U211))="V",OFFSET(U211,0,-2)*OFFSET(U211,0,-1),"TOTAL")))</f>
        <v>0</v>
      </c>
      <c r="V211" s="373"/>
      <c r="W211" s="374"/>
      <c r="X211" s="375">
        <f t="shared" ca="1" si="325"/>
        <v>0</v>
      </c>
      <c r="Y211" s="376">
        <f ca="1">IF(OFFSET(Y211,ROW(Y$2)-ROW(Y211),0)="TT",SUMIF(INDIRECT(ADDRESS(2,COLUMN($Q211)+1) &amp; ":" &amp; ADDRESS(2,COLUMN(Y211)-1),TRUE),"TBE",INDIRECT(ADDRESS(ROW(Y211), COLUMN($Q211)+1) &amp; ":" &amp; ADDRESS(ROW(Y211),COLUMN(Y211)-1),TRUE)),IF(OFFSET(Y211,ROW(Y$2)-ROW(Y211),0)="TBE",SUMIF(INDIRECT(ADDRESS(2,MATCH(INT(OFFSET(Y211,ROW(Y$2)-ROW(Y211),-2)),$2:$2,0)) &amp; ":" &amp; ADDRESS(2,COLUMN(Y211)-1),TRUE),"T",INDIRECT(ADDRESS(ROW(Y211), MATCH(INT(OFFSET(Y211,ROW(Y$2)-ROW(Y211),-2)),$2:$2,0)) &amp; ":" &amp; ADDRESS(ROW(Y211),COLUMN(Y211)-1),TRUE)),IF(OFFSET(Y211,0,COLUMN($M211)-COLUMN(Y211))="V",OFFSET(Y211,0,-2)*OFFSET(Y211,0,-1),"TOTAL")))</f>
        <v>0</v>
      </c>
      <c r="Z211" s="373"/>
      <c r="AA211" s="374"/>
      <c r="AB211" s="375">
        <f t="shared" ca="1" si="326"/>
        <v>0</v>
      </c>
      <c r="AC211" s="376">
        <f ca="1">IF(OFFSET(AC211,ROW(AC$2)-ROW(AC211),0)="TT",SUMIF(INDIRECT(ADDRESS(2,COLUMN($Q211)+1) &amp; ":" &amp; ADDRESS(2,COLUMN(AC211)-1),TRUE),"TBE",INDIRECT(ADDRESS(ROW(AC211), COLUMN($Q211)+1) &amp; ":" &amp; ADDRESS(ROW(AC211),COLUMN(AC211)-1),TRUE)),IF(OFFSET(AC211,ROW(AC$2)-ROW(AC211),0)="TBE",SUMIF(INDIRECT(ADDRESS(2,MATCH(INT(OFFSET(AC211,ROW(AC$2)-ROW(AC211),-2)),$2:$2,0)) &amp; ":" &amp; ADDRESS(2,COLUMN(AC211)-1),TRUE),"T",INDIRECT(ADDRESS(ROW(AC211), MATCH(INT(OFFSET(AC211,ROW(AC$2)-ROW(AC211),-2)),$2:$2,0)) &amp; ":" &amp; ADDRESS(ROW(AC211),COLUMN(AC211)-1),TRUE)),IF(OFFSET(AC211,0,COLUMN($M211)-COLUMN(AC211))="V",OFFSET(AC211,0,-2)*OFFSET(AC211,0,-1),"TOTAL")))</f>
        <v>0</v>
      </c>
      <c r="AD211" s="373"/>
      <c r="AE211" s="374"/>
      <c r="AF211" s="375">
        <f t="shared" ca="1" si="327"/>
        <v>0</v>
      </c>
      <c r="AG211" s="376">
        <f ca="1">IF(OFFSET(AG211,ROW(AG$2)-ROW(AG211),0)="TT",SUMIF(INDIRECT(ADDRESS(2,COLUMN($Q211)+1) &amp; ":" &amp; ADDRESS(2,COLUMN(AG211)-1),TRUE),"TBE",INDIRECT(ADDRESS(ROW(AG211), COLUMN($Q211)+1) &amp; ":" &amp; ADDRESS(ROW(AG211),COLUMN(AG211)-1),TRUE)),IF(OFFSET(AG211,ROW(AG$2)-ROW(AG211),0)="TBE",SUMIF(INDIRECT(ADDRESS(2,MATCH(INT(OFFSET(AG211,ROW(AG$2)-ROW(AG211),-2)),$2:$2,0)) &amp; ":" &amp; ADDRESS(2,COLUMN(AG211)-1),TRUE),"T",INDIRECT(ADDRESS(ROW(AG211), MATCH(INT(OFFSET(AG211,ROW(AG$2)-ROW(AG211),-2)),$2:$2,0)) &amp; ":" &amp; ADDRESS(ROW(AG211),COLUMN(AG211)-1),TRUE)),IF(OFFSET(AG211,0,COLUMN($M211)-COLUMN(AG211))="V",OFFSET(AG211,0,-2)*OFFSET(AG211,0,-1),"TOTAL")))</f>
        <v>0</v>
      </c>
      <c r="AH211" s="373"/>
      <c r="AI211" s="374"/>
      <c r="AJ211" s="375">
        <f t="shared" ca="1" si="328"/>
        <v>0</v>
      </c>
      <c r="AK211" s="376">
        <f ca="1">IF(OFFSET(AK211,ROW(AK$2)-ROW(AK211),0)="TT",SUMIF(INDIRECT(ADDRESS(2,COLUMN($Q211)+1) &amp; ":" &amp; ADDRESS(2,COLUMN(AK211)-1),TRUE),"TBE",INDIRECT(ADDRESS(ROW(AK211), COLUMN($Q211)+1) &amp; ":" &amp; ADDRESS(ROW(AK211),COLUMN(AK211)-1),TRUE)),IF(OFFSET(AK211,ROW(AK$2)-ROW(AK211),0)="TBE",SUMIF(INDIRECT(ADDRESS(2,MATCH(INT(OFFSET(AK211,ROW(AK$2)-ROW(AK211),-2)),$2:$2,0)) &amp; ":" &amp; ADDRESS(2,COLUMN(AK211)-1),TRUE),"T",INDIRECT(ADDRESS(ROW(AK211), MATCH(INT(OFFSET(AK211,ROW(AK$2)-ROW(AK211),-2)),$2:$2,0)) &amp; ":" &amp; ADDRESS(ROW(AK211),COLUMN(AK211)-1),TRUE)),IF(OFFSET(AK211,0,COLUMN($M211)-COLUMN(AK211))="V",OFFSET(AK211,0,-2)*OFFSET(AK211,0,-1),"TOTAL")))</f>
        <v>0</v>
      </c>
      <c r="AL211" s="373"/>
      <c r="AM211" s="374"/>
      <c r="AN211" s="375">
        <f t="shared" ca="1" si="329"/>
        <v>0</v>
      </c>
      <c r="AO211" s="376">
        <f ca="1">IF(OFFSET(AO211,ROW(AO$2)-ROW(AO211),0)="TT",SUMIF(INDIRECT(ADDRESS(2,COLUMN($Q211)+1) &amp; ":" &amp; ADDRESS(2,COLUMN(AO211)-1),TRUE),"TBE",INDIRECT(ADDRESS(ROW(AO211), COLUMN($Q211)+1) &amp; ":" &amp; ADDRESS(ROW(AO211),COLUMN(AO211)-1),TRUE)),IF(OFFSET(AO211,ROW(AO$2)-ROW(AO211),0)="TBE",SUMIF(INDIRECT(ADDRESS(2,MATCH(INT(OFFSET(AO211,ROW(AO$2)-ROW(AO211),-2)),$2:$2,0)) &amp; ":" &amp; ADDRESS(2,COLUMN(AO211)-1),TRUE),"T",INDIRECT(ADDRESS(ROW(AO211), MATCH(INT(OFFSET(AO211,ROW(AO$2)-ROW(AO211),-2)),$2:$2,0)) &amp; ":" &amp; ADDRESS(ROW(AO211),COLUMN(AO211)-1),TRUE)),IF(OFFSET(AO211,0,COLUMN($M211)-COLUMN(AO211))="V",OFFSET(AO211,0,-2)*OFFSET(AO211,0,-1),"TOTAL")))</f>
        <v>0</v>
      </c>
      <c r="AP211" s="373"/>
      <c r="AQ211" s="374"/>
      <c r="AR211" s="375">
        <f t="shared" ca="1" si="330"/>
        <v>0</v>
      </c>
      <c r="AS211" s="376">
        <f ca="1">IF(OFFSET(AS211,ROW(AS$2)-ROW(AS211),0)="TT",SUMIF(INDIRECT(ADDRESS(2,COLUMN($Q211)+1) &amp; ":" &amp; ADDRESS(2,COLUMN(AS211)-1),TRUE),"TBE",INDIRECT(ADDRESS(ROW(AS211), COLUMN($Q211)+1) &amp; ":" &amp; ADDRESS(ROW(AS211),COLUMN(AS211)-1),TRUE)),IF(OFFSET(AS211,ROW(AS$2)-ROW(AS211),0)="TBE",SUMIF(INDIRECT(ADDRESS(2,MATCH(INT(OFFSET(AS211,ROW(AS$2)-ROW(AS211),-2)),$2:$2,0)) &amp; ":" &amp; ADDRESS(2,COLUMN(AS211)-1),TRUE),"T",INDIRECT(ADDRESS(ROW(AS211), MATCH(INT(OFFSET(AS211,ROW(AS$2)-ROW(AS211),-2)),$2:$2,0)) &amp; ":" &amp; ADDRESS(ROW(AS211),COLUMN(AS211)-1),TRUE)),IF(OFFSET(AS211,0,COLUMN($M211)-COLUMN(AS211))="V",OFFSET(AS211,0,-2)*OFFSET(AS211,0,-1),"TOTAL")))</f>
        <v>0</v>
      </c>
      <c r="AT211" s="373"/>
      <c r="AU211" s="374"/>
      <c r="AV211" s="375">
        <f t="shared" ca="1" si="331"/>
        <v>0</v>
      </c>
      <c r="AW211" s="376">
        <f ca="1">IF(OFFSET(AW211,ROW(AW$2)-ROW(AW211),0)="TT",SUMIF(INDIRECT(ADDRESS(2,COLUMN($Q211)+1) &amp; ":" &amp; ADDRESS(2,COLUMN(AW211)-1),TRUE),"TBE",INDIRECT(ADDRESS(ROW(AW211), COLUMN($Q211)+1) &amp; ":" &amp; ADDRESS(ROW(AW211),COLUMN(AW211)-1),TRUE)),IF(OFFSET(AW211,ROW(AW$2)-ROW(AW211),0)="TBE",SUMIF(INDIRECT(ADDRESS(2,MATCH(INT(OFFSET(AW211,ROW(AW$2)-ROW(AW211),-2)),$2:$2,0)) &amp; ":" &amp; ADDRESS(2,COLUMN(AW211)-1),TRUE),"T",INDIRECT(ADDRESS(ROW(AW211), MATCH(INT(OFFSET(AW211,ROW(AW$2)-ROW(AW211),-2)),$2:$2,0)) &amp; ":" &amp; ADDRESS(ROW(AW211),COLUMN(AW211)-1),TRUE)),IF(OFFSET(AW211,0,COLUMN($M211)-COLUMN(AW211))="V",OFFSET(AW211,0,-2)*OFFSET(AW211,0,-1),"TOTAL")))</f>
        <v>0</v>
      </c>
      <c r="AX211" s="373"/>
      <c r="AY211" s="374"/>
      <c r="AZ211" s="375">
        <f t="shared" ca="1" si="332"/>
        <v>0</v>
      </c>
      <c r="BA211" s="376">
        <f ca="1">IF(OFFSET(BA211,ROW(BA$2)-ROW(BA211),0)="TT",SUMIF(INDIRECT(ADDRESS(2,COLUMN($Q211)+1) &amp; ":" &amp; ADDRESS(2,COLUMN(BA211)-1),TRUE),"TBE",INDIRECT(ADDRESS(ROW(BA211), COLUMN($Q211)+1) &amp; ":" &amp; ADDRESS(ROW(BA211),COLUMN(BA211)-1),TRUE)),IF(OFFSET(BA211,ROW(BA$2)-ROW(BA211),0)="TBE",SUMIF(INDIRECT(ADDRESS(2,MATCH(INT(OFFSET(BA211,ROW(BA$2)-ROW(BA211),-2)),$2:$2,0)) &amp; ":" &amp; ADDRESS(2,COLUMN(BA211)-1),TRUE),"T",INDIRECT(ADDRESS(ROW(BA211), MATCH(INT(OFFSET(BA211,ROW(BA$2)-ROW(BA211),-2)),$2:$2,0)) &amp; ":" &amp; ADDRESS(ROW(BA211),COLUMN(BA211)-1),TRUE)),IF(OFFSET(BA211,0,COLUMN($M211)-COLUMN(BA211))="V",OFFSET(BA211,0,-2)*OFFSET(BA211,0,-1),"TOTAL")))</f>
        <v>0</v>
      </c>
      <c r="BB211" s="373"/>
      <c r="BC211" s="374"/>
      <c r="BD211" s="375">
        <f t="shared" ca="1" si="333"/>
        <v>0</v>
      </c>
      <c r="BE211" s="376">
        <f ca="1">IF(OFFSET(BE211,ROW(BE$2)-ROW(BE211),0)="TT",SUMIF(INDIRECT(ADDRESS(2,COLUMN($Q211)+1) &amp; ":" &amp; ADDRESS(2,COLUMN(BE211)-1),TRUE),"TBE",INDIRECT(ADDRESS(ROW(BE211), COLUMN($Q211)+1) &amp; ":" &amp; ADDRESS(ROW(BE211),COLUMN(BE211)-1),TRUE)),IF(OFFSET(BE211,ROW(BE$2)-ROW(BE211),0)="TBE",SUMIF(INDIRECT(ADDRESS(2,MATCH(INT(OFFSET(BE211,ROW(BE$2)-ROW(BE211),-2)),$2:$2,0)) &amp; ":" &amp; ADDRESS(2,COLUMN(BE211)-1),TRUE),"T",INDIRECT(ADDRESS(ROW(BE211), MATCH(INT(OFFSET(BE211,ROW(BE$2)-ROW(BE211),-2)),$2:$2,0)) &amp; ":" &amp; ADDRESS(ROW(BE211),COLUMN(BE211)-1),TRUE)),IF(OFFSET(BE211,0,COLUMN($M211)-COLUMN(BE211))="V",OFFSET(BE211,0,-2)*OFFSET(BE211,0,-1),"TOTAL")))</f>
        <v>0</v>
      </c>
      <c r="BF211" s="373"/>
      <c r="BG211" s="374"/>
      <c r="BH211" s="375">
        <f t="shared" ca="1" si="334"/>
        <v>0</v>
      </c>
      <c r="BI211" s="376">
        <f ca="1">IF(OFFSET(BI211,ROW(BI$2)-ROW(BI211),0)="TT",SUMIF(INDIRECT(ADDRESS(2,COLUMN($Q211)+1) &amp; ":" &amp; ADDRESS(2,COLUMN(BI211)-1),TRUE),"TBE",INDIRECT(ADDRESS(ROW(BI211), COLUMN($Q211)+1) &amp; ":" &amp; ADDRESS(ROW(BI211),COLUMN(BI211)-1),TRUE)),IF(OFFSET(BI211,ROW(BI$2)-ROW(BI211),0)="TBE",SUMIF(INDIRECT(ADDRESS(2,MATCH(INT(OFFSET(BI211,ROW(BI$2)-ROW(BI211),-2)),$2:$2,0)) &amp; ":" &amp; ADDRESS(2,COLUMN(BI211)-1),TRUE),"T",INDIRECT(ADDRESS(ROW(BI211), MATCH(INT(OFFSET(BI211,ROW(BI$2)-ROW(BI211),-2)),$2:$2,0)) &amp; ":" &amp; ADDRESS(ROW(BI211),COLUMN(BI211)-1),TRUE)),IF(OFFSET(BI211,0,COLUMN($M211)-COLUMN(BI211))="V",OFFSET(BI211,0,-2)*OFFSET(BI211,0,-1),"TOTAL")))</f>
        <v>0</v>
      </c>
      <c r="BJ211" s="373"/>
      <c r="BK211" s="374"/>
      <c r="BL211" s="375">
        <f t="shared" ca="1" si="335"/>
        <v>0</v>
      </c>
      <c r="BM211" s="376">
        <f ca="1">IF(OFFSET(BM211,ROW(BM$2)-ROW(BM211),0)="TT",SUMIF(INDIRECT(ADDRESS(2,COLUMN($Q211)+1) &amp; ":" &amp; ADDRESS(2,COLUMN(BM211)-1),TRUE),"TBE",INDIRECT(ADDRESS(ROW(BM211), COLUMN($Q211)+1) &amp; ":" &amp; ADDRESS(ROW(BM211),COLUMN(BM211)-1),TRUE)),IF(OFFSET(BM211,ROW(BM$2)-ROW(BM211),0)="TBE",SUMIF(INDIRECT(ADDRESS(2,MATCH(INT(OFFSET(BM211,ROW(BM$2)-ROW(BM211),-2)),$2:$2,0)) &amp; ":" &amp; ADDRESS(2,COLUMN(BM211)-1),TRUE),"T",INDIRECT(ADDRESS(ROW(BM211), MATCH(INT(OFFSET(BM211,ROW(BM$2)-ROW(BM211),-2)),$2:$2,0)) &amp; ":" &amp; ADDRESS(ROW(BM211),COLUMN(BM211)-1),TRUE)),IF(OFFSET(BM211,0,COLUMN($M211)-COLUMN(BM211))="V",OFFSET(BM211,0,-2)*OFFSET(BM211,0,-1),"TOTAL")))</f>
        <v>0</v>
      </c>
      <c r="BN211" s="376">
        <f ca="1">IF(OFFSET(BN211,ROW(BN$2)-ROW(BN211),0)="TT",SUMIF(INDIRECT(ADDRESS(2,COLUMN($Q211)+1) &amp; ":" &amp; ADDRESS(2,COLUMN(BN211)-1),TRUE),"TBE",INDIRECT(ADDRESS(ROW(BN211), COLUMN($Q211)+1) &amp; ":" &amp; ADDRESS(ROW(BN211),COLUMN(BN211)-1),TRUE)),IF(OFFSET(BN211,ROW(BN$2)-ROW(BN211),0)="TBE",SUMIF(INDIRECT(ADDRESS(2,MATCH(INT(OFFSET(BN211,ROW(BN$2)-ROW(BN211),-2)),$2:$2,0)) &amp; ":" &amp; ADDRESS(2,COLUMN(BN211)-1),TRUE),"T",INDIRECT(ADDRESS(ROW(BN211), MATCH(INT(OFFSET(BN211,ROW(BN$2)-ROW(BN211),-2)),$2:$2,0)) &amp; ":" &amp; ADDRESS(ROW(BN211),COLUMN(BN211)-1),TRUE)),IF(OFFSET(BN211,0,COLUMN($M211)-COLUMN(BN211))="V",OFFSET(BN211,0,-2)*OFFSET(BN211,0,-1),"TOTAL")))</f>
        <v>0</v>
      </c>
    </row>
    <row r="212" spans="1:68" ht="13.5" thickTop="1" thickBot="1">
      <c r="A212" s="221" t="s">
        <v>137</v>
      </c>
    </row>
    <row r="213" spans="1:68" ht="13.5" thickTop="1" thickBot="1">
      <c r="A213" s="221" t="str">
        <f ca="1">IF(ISNUMBER(OFFSET(A213,0,13)),"START",IF(AND(OFFSET(A213,0,2)=0,OFFSET(A213,0,4)="GT"),"END",""))&amp;OFFSET(A213,0,1)</f>
        <v>STARTWP007</v>
      </c>
      <c r="B213" s="221" t="str">
        <f ca="1">IF(ISNUMBER(OFFSET(B213,0,12)),"WP" &amp; TEXT(OFFSET(B213,0,12),"000"),OFFSET(B213,-1,0))</f>
        <v>WP007</v>
      </c>
      <c r="N213" s="244">
        <v>7</v>
      </c>
      <c r="O213" s="459" t="str">
        <f ca="1">""&amp;VLOOKUP(OFFSET(N213,1,0),'Work Packages List'!A:B,2,FALSE)</f>
        <v/>
      </c>
      <c r="P213" s="459"/>
      <c r="Q213" s="460"/>
      <c r="R213" s="349"/>
      <c r="S213" s="350"/>
      <c r="T213" s="351"/>
      <c r="U213" s="352"/>
      <c r="V213" s="349"/>
      <c r="W213" s="350"/>
      <c r="X213" s="351"/>
      <c r="Y213" s="352"/>
      <c r="Z213" s="349"/>
      <c r="AA213" s="350"/>
      <c r="AB213" s="351"/>
      <c r="AC213" s="352"/>
      <c r="AD213" s="349"/>
      <c r="AE213" s="350"/>
      <c r="AF213" s="351"/>
      <c r="AG213" s="352"/>
      <c r="AH213" s="349"/>
      <c r="AI213" s="350"/>
      <c r="AJ213" s="351"/>
      <c r="AK213" s="352"/>
      <c r="AL213" s="349"/>
      <c r="AM213" s="350"/>
      <c r="AN213" s="351"/>
      <c r="AO213" s="352"/>
      <c r="AP213" s="349"/>
      <c r="AQ213" s="350"/>
      <c r="AR213" s="351"/>
      <c r="AS213" s="352"/>
      <c r="AT213" s="349"/>
      <c r="AU213" s="350"/>
      <c r="AV213" s="351"/>
      <c r="AW213" s="352"/>
      <c r="AX213" s="349"/>
      <c r="AY213" s="350"/>
      <c r="AZ213" s="351"/>
      <c r="BA213" s="352"/>
      <c r="BB213" s="349"/>
      <c r="BC213" s="350"/>
      <c r="BD213" s="351"/>
      <c r="BE213" s="352"/>
      <c r="BF213" s="349"/>
      <c r="BG213" s="350"/>
      <c r="BH213" s="351"/>
      <c r="BI213" s="352"/>
      <c r="BJ213" s="349"/>
      <c r="BK213" s="350"/>
      <c r="BL213" s="351"/>
      <c r="BM213" s="352"/>
      <c r="BN213" s="352"/>
    </row>
    <row r="214" spans="1:68">
      <c r="A214" s="221" t="str">
        <f t="shared" ref="A214:A245" ca="1" si="372">IF(ISNUMBER(OFFSET(A214,0,12)),"START",IF(AND(OFFSET(A214,0,2)=0,OFFSET(A214,0,4)="GT"),"END",""))&amp;OFFSET(A214,0,1)</f>
        <v>WP007</v>
      </c>
      <c r="B214" s="221" t="str">
        <f t="shared" ref="B214:B245" ca="1" si="373">IF(ISNUMBER(OFFSET(B214,0,11)),"WP" &amp; TEXT(OFFSET(B214,0,11),"000"),OFFSET(B214,-1,0))</f>
        <v>WP007</v>
      </c>
      <c r="C214" s="221">
        <v>4</v>
      </c>
      <c r="D214" s="221" t="s">
        <v>73</v>
      </c>
      <c r="H214" s="221" t="s">
        <v>74</v>
      </c>
      <c r="I214" s="221" t="s">
        <v>75</v>
      </c>
      <c r="M214" s="221" t="s">
        <v>46</v>
      </c>
      <c r="N214" s="461" t="str">
        <f ca="1">"WP " &amp; TEXT(OFFSET(N214,-1,0),"000")</f>
        <v>WP 007</v>
      </c>
      <c r="O214" s="452" t="s">
        <v>37</v>
      </c>
      <c r="P214" s="453"/>
      <c r="Q214" s="463"/>
      <c r="R214" s="353">
        <f ca="1">IF(OFFSET(R214,ROW(R$2)-ROW(R214),0)="TT","TT",IF(OFFSET(R214,0,COLUMN($M214)-COLUMN(R214))="%",ROUND(OFFSET(R214,-2,0)*0.07,0),IF(OFFSET(R214,0,COLUMN($M214)-COLUMN(R214))="V","x",SUMIF(INDIRECT(ADDRESS(MATCH("START"&amp;OFFSET(R214,0,COLUMN($B214)-COLUMN(R214)),$A:$A,0),$C214+COLUMN($E214)+1)&amp;":"&amp;ADDRESS(MATCH("END"&amp;OFFSET(R214,0,COLUMN($B214)-COLUMN(R214)),$A:$A,0),$C214+COLUMN($E214)+1),TRUE),INDIRECT(ADDRESS(ROW(R214),$C214+COLUMN($E214)),TRUE),INDIRECT(ADDRESS(MATCH("START"&amp;OFFSET(R214,0,COLUMN($B214)-COLUMN(R214)),$A:$A,0),COLUMN(R214))&amp;":"&amp;ADDRESS(MATCH("END"&amp;OFFSET(R214,0,COLUMN($B214)-COLUMN(R214)),$A:$A,0),COLUMN(R214)),TRUE)))))</f>
        <v>0</v>
      </c>
      <c r="S214" s="354"/>
      <c r="T214" s="355">
        <f ca="1">IF(OFFSET(T214,ROW(T$2)-ROW(T214),0)="TT","TT",IF(OFFSET(T214,0,COLUMN($M214)-COLUMN(T214))="%",ROUND((OFFSET(T214,-2,0)-OFFSET(T214,-21,0))*0.07,2),IF(OFFSET(T214,0,COLUMN($M214)-COLUMN(T214))="V",ROUND(OFFSET(T214,0,-2)*OFFSET(T214,0,-1),2),SUMIF(INDIRECT(ADDRESS(MATCH("START"&amp;OFFSET(T214,0,COLUMN($B214)-COLUMN(T214)),$A:$A,0),$C214+COLUMN($E214)+1)&amp;":"&amp;ADDRESS(MATCH("END"&amp;OFFSET(T214,0,COLUMN($B214)-COLUMN(T214)),$A:$A,0),$C214+COLUMN($E214)+1),TRUE),INDIRECT(ADDRESS(ROW(T214),$C214+COLUMN($E214)),TRUE),INDIRECT(ADDRESS(MATCH("START"&amp;OFFSET(T214,0,COLUMN($B214)-COLUMN(T214)),$A:$A,0),COLUMN(T214))&amp;":"&amp;ADDRESS(MATCH("END"&amp;OFFSET(T214,0,COLUMN($B214)-COLUMN(T214)),$A:$A,0),COLUMN(T214)),TRUE)))))</f>
        <v>0</v>
      </c>
      <c r="U214" s="356">
        <f t="shared" ref="U214:U241" ca="1" si="374">IF(OFFSET(U214,ROW(U$2)-ROW(U214),0)="TT",SUMIF(INDIRECT(ADDRESS(2,COLUMN($Q214)+1) &amp; ":" &amp; ADDRESS(2,COLUMN(U214)-1),TRUE),"TBE",INDIRECT(ADDRESS(ROW(U214), COLUMN($Q214)+1) &amp; ":" &amp; ADDRESS(ROW(U214),COLUMN(U214)-1),TRUE)),IF(OFFSET(U214,ROW(U$2)-ROW(U214),0)="TBE",SUMIF(INDIRECT(ADDRESS(2,MATCH(INT(OFFSET(U214,ROW(U$2)-ROW(U214),-2)),$2:$2,0)) &amp; ":" &amp; ADDRESS(2,COLUMN(U214)-1),TRUE),"T",INDIRECT(ADDRESS(ROW(U214), MATCH(INT(OFFSET(U214,ROW(U$2)-ROW(U214),-2)),$2:$2,0)) &amp; ":" &amp; ADDRESS(ROW(U214),COLUMN(U214)-1),TRUE)),IF(OFFSET(U214,0,COLUMN($M214)-COLUMN(U214))="V",OFFSET(U214,0,-2)*OFFSET(U214,0,-1),"TOTAL")))</f>
        <v>0</v>
      </c>
      <c r="V214" s="353">
        <f ca="1">IF(OFFSET(V214,ROW(V$2)-ROW(V214),0)="TT","TT",IF(OFFSET(V214,0,COLUMN($M214)-COLUMN(V214))="%",ROUND(OFFSET(V214,-2,0)*0.07,0),IF(OFFSET(V214,0,COLUMN($M214)-COLUMN(V214))="V","x",SUMIF(INDIRECT(ADDRESS(MATCH("START"&amp;OFFSET(V214,0,COLUMN($B214)-COLUMN(V214)),$A:$A,0),$C214+COLUMN($E214)+1)&amp;":"&amp;ADDRESS(MATCH("END"&amp;OFFSET(V214,0,COLUMN($B214)-COLUMN(V214)),$A:$A,0),$C214+COLUMN($E214)+1),TRUE),INDIRECT(ADDRESS(ROW(V214),$C214+COLUMN($E214)),TRUE),INDIRECT(ADDRESS(MATCH("START"&amp;OFFSET(V214,0,COLUMN($B214)-COLUMN(V214)),$A:$A,0),COLUMN(V214))&amp;":"&amp;ADDRESS(MATCH("END"&amp;OFFSET(V214,0,COLUMN($B214)-COLUMN(V214)),$A:$A,0),COLUMN(V214)),TRUE)))))</f>
        <v>0</v>
      </c>
      <c r="W214" s="354"/>
      <c r="X214" s="355">
        <f ca="1">IF(OFFSET(X214,ROW(X$2)-ROW(X214),0)="TT","TT",IF(OFFSET(X214,0,COLUMN($M214)-COLUMN(X214))="%",ROUND((OFFSET(X214,-2,0)-OFFSET(X214,-21,0))*0.07,2),IF(OFFSET(X214,0,COLUMN($M214)-COLUMN(X214))="V",ROUND(OFFSET(X214,0,-2)*OFFSET(X214,0,-1),2),SUMIF(INDIRECT(ADDRESS(MATCH("START"&amp;OFFSET(X214,0,COLUMN($B214)-COLUMN(X214)),$A:$A,0),$C214+COLUMN($E214)+1)&amp;":"&amp;ADDRESS(MATCH("END"&amp;OFFSET(X214,0,COLUMN($B214)-COLUMN(X214)),$A:$A,0),$C214+COLUMN($E214)+1),TRUE),INDIRECT(ADDRESS(ROW(X214),$C214+COLUMN($E214)),TRUE),INDIRECT(ADDRESS(MATCH("START"&amp;OFFSET(X214,0,COLUMN($B214)-COLUMN(X214)),$A:$A,0),COLUMN(X214))&amp;":"&amp;ADDRESS(MATCH("END"&amp;OFFSET(X214,0,COLUMN($B214)-COLUMN(X214)),$A:$A,0),COLUMN(X214)),TRUE)))))</f>
        <v>0</v>
      </c>
      <c r="Y214" s="356">
        <f t="shared" ref="Y214:Y241" ca="1" si="375">IF(OFFSET(Y214,ROW(Y$2)-ROW(Y214),0)="TT",SUMIF(INDIRECT(ADDRESS(2,COLUMN($Q214)+1) &amp; ":" &amp; ADDRESS(2,COLUMN(Y214)-1),TRUE),"TBE",INDIRECT(ADDRESS(ROW(Y214), COLUMN($Q214)+1) &amp; ":" &amp; ADDRESS(ROW(Y214),COLUMN(Y214)-1),TRUE)),IF(OFFSET(Y214,ROW(Y$2)-ROW(Y214),0)="TBE",SUMIF(INDIRECT(ADDRESS(2,MATCH(INT(OFFSET(Y214,ROW(Y$2)-ROW(Y214),-2)),$2:$2,0)) &amp; ":" &amp; ADDRESS(2,COLUMN(Y214)-1),TRUE),"T",INDIRECT(ADDRESS(ROW(Y214), MATCH(INT(OFFSET(Y214,ROW(Y$2)-ROW(Y214),-2)),$2:$2,0)) &amp; ":" &amp; ADDRESS(ROW(Y214),COLUMN(Y214)-1),TRUE)),IF(OFFSET(Y214,0,COLUMN($M214)-COLUMN(Y214))="V",OFFSET(Y214,0,-2)*OFFSET(Y214,0,-1),"TOTAL")))</f>
        <v>0</v>
      </c>
      <c r="Z214" s="353">
        <f ca="1">IF(OFFSET(Z214,ROW(Z$2)-ROW(Z214),0)="TT","TT",IF(OFFSET(Z214,0,COLUMN($M214)-COLUMN(Z214))="%",ROUND(OFFSET(Z214,-2,0)*0.07,0),IF(OFFSET(Z214,0,COLUMN($M214)-COLUMN(Z214))="V","x",SUMIF(INDIRECT(ADDRESS(MATCH("START"&amp;OFFSET(Z214,0,COLUMN($B214)-COLUMN(Z214)),$A:$A,0),$C214+COLUMN($E214)+1)&amp;":"&amp;ADDRESS(MATCH("END"&amp;OFFSET(Z214,0,COLUMN($B214)-COLUMN(Z214)),$A:$A,0),$C214+COLUMN($E214)+1),TRUE),INDIRECT(ADDRESS(ROW(Z214),$C214+COLUMN($E214)),TRUE),INDIRECT(ADDRESS(MATCH("START"&amp;OFFSET(Z214,0,COLUMN($B214)-COLUMN(Z214)),$A:$A,0),COLUMN(Z214))&amp;":"&amp;ADDRESS(MATCH("END"&amp;OFFSET(Z214,0,COLUMN($B214)-COLUMN(Z214)),$A:$A,0),COLUMN(Z214)),TRUE)))))</f>
        <v>0</v>
      </c>
      <c r="AA214" s="354"/>
      <c r="AB214" s="355">
        <f ca="1">IF(OFFSET(AB214,ROW(AB$2)-ROW(AB214),0)="TT","TT",IF(OFFSET(AB214,0,COLUMN($M214)-COLUMN(AB214))="%",ROUND((OFFSET(AB214,-2,0)-OFFSET(AB214,-21,0))*0.07,2),IF(OFFSET(AB214,0,COLUMN($M214)-COLUMN(AB214))="V",ROUND(OFFSET(AB214,0,-2)*OFFSET(AB214,0,-1),2),SUMIF(INDIRECT(ADDRESS(MATCH("START"&amp;OFFSET(AB214,0,COLUMN($B214)-COLUMN(AB214)),$A:$A,0),$C214+COLUMN($E214)+1)&amp;":"&amp;ADDRESS(MATCH("END"&amp;OFFSET(AB214,0,COLUMN($B214)-COLUMN(AB214)),$A:$A,0),$C214+COLUMN($E214)+1),TRUE),INDIRECT(ADDRESS(ROW(AB214),$C214+COLUMN($E214)),TRUE),INDIRECT(ADDRESS(MATCH("START"&amp;OFFSET(AB214,0,COLUMN($B214)-COLUMN(AB214)),$A:$A,0),COLUMN(AB214))&amp;":"&amp;ADDRESS(MATCH("END"&amp;OFFSET(AB214,0,COLUMN($B214)-COLUMN(AB214)),$A:$A,0),COLUMN(AB214)),TRUE)))))</f>
        <v>0</v>
      </c>
      <c r="AC214" s="356">
        <f t="shared" ref="AC214:AC241" ca="1" si="376">IF(OFFSET(AC214,ROW(AC$2)-ROW(AC214),0)="TT",SUMIF(INDIRECT(ADDRESS(2,COLUMN($Q214)+1) &amp; ":" &amp; ADDRESS(2,COLUMN(AC214)-1),TRUE),"TBE",INDIRECT(ADDRESS(ROW(AC214), COLUMN($Q214)+1) &amp; ":" &amp; ADDRESS(ROW(AC214),COLUMN(AC214)-1),TRUE)),IF(OFFSET(AC214,ROW(AC$2)-ROW(AC214),0)="TBE",SUMIF(INDIRECT(ADDRESS(2,MATCH(INT(OFFSET(AC214,ROW(AC$2)-ROW(AC214),-2)),$2:$2,0)) &amp; ":" &amp; ADDRESS(2,COLUMN(AC214)-1),TRUE),"T",INDIRECT(ADDRESS(ROW(AC214), MATCH(INT(OFFSET(AC214,ROW(AC$2)-ROW(AC214),-2)),$2:$2,0)) &amp; ":" &amp; ADDRESS(ROW(AC214),COLUMN(AC214)-1),TRUE)),IF(OFFSET(AC214,0,COLUMN($M214)-COLUMN(AC214))="V",OFFSET(AC214,0,-2)*OFFSET(AC214,0,-1),"TOTAL")))</f>
        <v>0</v>
      </c>
      <c r="AD214" s="353">
        <f ca="1">IF(OFFSET(AD214,ROW(AD$2)-ROW(AD214),0)="TT","TT",IF(OFFSET(AD214,0,COLUMN($M214)-COLUMN(AD214))="%",ROUND(OFFSET(AD214,-2,0)*0.07,0),IF(OFFSET(AD214,0,COLUMN($M214)-COLUMN(AD214))="V","x",SUMIF(INDIRECT(ADDRESS(MATCH("START"&amp;OFFSET(AD214,0,COLUMN($B214)-COLUMN(AD214)),$A:$A,0),$C214+COLUMN($E214)+1)&amp;":"&amp;ADDRESS(MATCH("END"&amp;OFFSET(AD214,0,COLUMN($B214)-COLUMN(AD214)),$A:$A,0),$C214+COLUMN($E214)+1),TRUE),INDIRECT(ADDRESS(ROW(AD214),$C214+COLUMN($E214)),TRUE),INDIRECT(ADDRESS(MATCH("START"&amp;OFFSET(AD214,0,COLUMN($B214)-COLUMN(AD214)),$A:$A,0),COLUMN(AD214))&amp;":"&amp;ADDRESS(MATCH("END"&amp;OFFSET(AD214,0,COLUMN($B214)-COLUMN(AD214)),$A:$A,0),COLUMN(AD214)),TRUE)))))</f>
        <v>0</v>
      </c>
      <c r="AE214" s="354"/>
      <c r="AF214" s="355">
        <f ca="1">IF(OFFSET(AF214,ROW(AF$2)-ROW(AF214),0)="TT","TT",IF(OFFSET(AF214,0,COLUMN($M214)-COLUMN(AF214))="%",ROUND((OFFSET(AF214,-2,0)-OFFSET(AF214,-21,0))*0.07,2),IF(OFFSET(AF214,0,COLUMN($M214)-COLUMN(AF214))="V",ROUND(OFFSET(AF214,0,-2)*OFFSET(AF214,0,-1),2),SUMIF(INDIRECT(ADDRESS(MATCH("START"&amp;OFFSET(AF214,0,COLUMN($B214)-COLUMN(AF214)),$A:$A,0),$C214+COLUMN($E214)+1)&amp;":"&amp;ADDRESS(MATCH("END"&amp;OFFSET(AF214,0,COLUMN($B214)-COLUMN(AF214)),$A:$A,0),$C214+COLUMN($E214)+1),TRUE),INDIRECT(ADDRESS(ROW(AF214),$C214+COLUMN($E214)),TRUE),INDIRECT(ADDRESS(MATCH("START"&amp;OFFSET(AF214,0,COLUMN($B214)-COLUMN(AF214)),$A:$A,0),COLUMN(AF214))&amp;":"&amp;ADDRESS(MATCH("END"&amp;OFFSET(AF214,0,COLUMN($B214)-COLUMN(AF214)),$A:$A,0),COLUMN(AF214)),TRUE)))))</f>
        <v>0</v>
      </c>
      <c r="AG214" s="356">
        <f t="shared" ref="AG214:AG241" ca="1" si="377">IF(OFFSET(AG214,ROW(AG$2)-ROW(AG214),0)="TT",SUMIF(INDIRECT(ADDRESS(2,COLUMN($Q214)+1) &amp; ":" &amp; ADDRESS(2,COLUMN(AG214)-1),TRUE),"TBE",INDIRECT(ADDRESS(ROW(AG214), COLUMN($Q214)+1) &amp; ":" &amp; ADDRESS(ROW(AG214),COLUMN(AG214)-1),TRUE)),IF(OFFSET(AG214,ROW(AG$2)-ROW(AG214),0)="TBE",SUMIF(INDIRECT(ADDRESS(2,MATCH(INT(OFFSET(AG214,ROW(AG$2)-ROW(AG214),-2)),$2:$2,0)) &amp; ":" &amp; ADDRESS(2,COLUMN(AG214)-1),TRUE),"T",INDIRECT(ADDRESS(ROW(AG214), MATCH(INT(OFFSET(AG214,ROW(AG$2)-ROW(AG214),-2)),$2:$2,0)) &amp; ":" &amp; ADDRESS(ROW(AG214),COLUMN(AG214)-1),TRUE)),IF(OFFSET(AG214,0,COLUMN($M214)-COLUMN(AG214))="V",OFFSET(AG214,0,-2)*OFFSET(AG214,0,-1),"TOTAL")))</f>
        <v>0</v>
      </c>
      <c r="AH214" s="353">
        <f ca="1">IF(OFFSET(AH214,ROW(AH$2)-ROW(AH214),0)="TT","TT",IF(OFFSET(AH214,0,COLUMN($M214)-COLUMN(AH214))="%",ROUND(OFFSET(AH214,-2,0)*0.07,0),IF(OFFSET(AH214,0,COLUMN($M214)-COLUMN(AH214))="V","x",SUMIF(INDIRECT(ADDRESS(MATCH("START"&amp;OFFSET(AH214,0,COLUMN($B214)-COLUMN(AH214)),$A:$A,0),$C214+COLUMN($E214)+1)&amp;":"&amp;ADDRESS(MATCH("END"&amp;OFFSET(AH214,0,COLUMN($B214)-COLUMN(AH214)),$A:$A,0),$C214+COLUMN($E214)+1),TRUE),INDIRECT(ADDRESS(ROW(AH214),$C214+COLUMN($E214)),TRUE),INDIRECT(ADDRESS(MATCH("START"&amp;OFFSET(AH214,0,COLUMN($B214)-COLUMN(AH214)),$A:$A,0),COLUMN(AH214))&amp;":"&amp;ADDRESS(MATCH("END"&amp;OFFSET(AH214,0,COLUMN($B214)-COLUMN(AH214)),$A:$A,0),COLUMN(AH214)),TRUE)))))</f>
        <v>0</v>
      </c>
      <c r="AI214" s="354"/>
      <c r="AJ214" s="355">
        <f ca="1">IF(OFFSET(AJ214,ROW(AJ$2)-ROW(AJ214),0)="TT","TT",IF(OFFSET(AJ214,0,COLUMN($M214)-COLUMN(AJ214))="%",ROUND((OFFSET(AJ214,-2,0)-OFFSET(AJ214,-21,0))*0.07,2),IF(OFFSET(AJ214,0,COLUMN($M214)-COLUMN(AJ214))="V",ROUND(OFFSET(AJ214,0,-2)*OFFSET(AJ214,0,-1),2),SUMIF(INDIRECT(ADDRESS(MATCH("START"&amp;OFFSET(AJ214,0,COLUMN($B214)-COLUMN(AJ214)),$A:$A,0),$C214+COLUMN($E214)+1)&amp;":"&amp;ADDRESS(MATCH("END"&amp;OFFSET(AJ214,0,COLUMN($B214)-COLUMN(AJ214)),$A:$A,0),$C214+COLUMN($E214)+1),TRUE),INDIRECT(ADDRESS(ROW(AJ214),$C214+COLUMN($E214)),TRUE),INDIRECT(ADDRESS(MATCH("START"&amp;OFFSET(AJ214,0,COLUMN($B214)-COLUMN(AJ214)),$A:$A,0),COLUMN(AJ214))&amp;":"&amp;ADDRESS(MATCH("END"&amp;OFFSET(AJ214,0,COLUMN($B214)-COLUMN(AJ214)),$A:$A,0),COLUMN(AJ214)),TRUE)))))</f>
        <v>0</v>
      </c>
      <c r="AK214" s="356">
        <f t="shared" ref="AK214:AK241" ca="1" si="378">IF(OFFSET(AK214,ROW(AK$2)-ROW(AK214),0)="TT",SUMIF(INDIRECT(ADDRESS(2,COLUMN($Q214)+1) &amp; ":" &amp; ADDRESS(2,COLUMN(AK214)-1),TRUE),"TBE",INDIRECT(ADDRESS(ROW(AK214), COLUMN($Q214)+1) &amp; ":" &amp; ADDRESS(ROW(AK214),COLUMN(AK214)-1),TRUE)),IF(OFFSET(AK214,ROW(AK$2)-ROW(AK214),0)="TBE",SUMIF(INDIRECT(ADDRESS(2,MATCH(INT(OFFSET(AK214,ROW(AK$2)-ROW(AK214),-2)),$2:$2,0)) &amp; ":" &amp; ADDRESS(2,COLUMN(AK214)-1),TRUE),"T",INDIRECT(ADDRESS(ROW(AK214), MATCH(INT(OFFSET(AK214,ROW(AK$2)-ROW(AK214),-2)),$2:$2,0)) &amp; ":" &amp; ADDRESS(ROW(AK214),COLUMN(AK214)-1),TRUE)),IF(OFFSET(AK214,0,COLUMN($M214)-COLUMN(AK214))="V",OFFSET(AK214,0,-2)*OFFSET(AK214,0,-1),"TOTAL")))</f>
        <v>0</v>
      </c>
      <c r="AL214" s="353">
        <f ca="1">IF(OFFSET(AL214,ROW(AL$2)-ROW(AL214),0)="TT","TT",IF(OFFSET(AL214,0,COLUMN($M214)-COLUMN(AL214))="%",ROUND(OFFSET(AL214,-2,0)*0.07,0),IF(OFFSET(AL214,0,COLUMN($M214)-COLUMN(AL214))="V","x",SUMIF(INDIRECT(ADDRESS(MATCH("START"&amp;OFFSET(AL214,0,COLUMN($B214)-COLUMN(AL214)),$A:$A,0),$C214+COLUMN($E214)+1)&amp;":"&amp;ADDRESS(MATCH("END"&amp;OFFSET(AL214,0,COLUMN($B214)-COLUMN(AL214)),$A:$A,0),$C214+COLUMN($E214)+1),TRUE),INDIRECT(ADDRESS(ROW(AL214),$C214+COLUMN($E214)),TRUE),INDIRECT(ADDRESS(MATCH("START"&amp;OFFSET(AL214,0,COLUMN($B214)-COLUMN(AL214)),$A:$A,0),COLUMN(AL214))&amp;":"&amp;ADDRESS(MATCH("END"&amp;OFFSET(AL214,0,COLUMN($B214)-COLUMN(AL214)),$A:$A,0),COLUMN(AL214)),TRUE)))))</f>
        <v>0</v>
      </c>
      <c r="AM214" s="354"/>
      <c r="AN214" s="355">
        <f ca="1">IF(OFFSET(AN214,ROW(AN$2)-ROW(AN214),0)="TT","TT",IF(OFFSET(AN214,0,COLUMN($M214)-COLUMN(AN214))="%",ROUND((OFFSET(AN214,-2,0)-OFFSET(AN214,-21,0))*0.07,2),IF(OFFSET(AN214,0,COLUMN($M214)-COLUMN(AN214))="V",ROUND(OFFSET(AN214,0,-2)*OFFSET(AN214,0,-1),2),SUMIF(INDIRECT(ADDRESS(MATCH("START"&amp;OFFSET(AN214,0,COLUMN($B214)-COLUMN(AN214)),$A:$A,0),$C214+COLUMN($E214)+1)&amp;":"&amp;ADDRESS(MATCH("END"&amp;OFFSET(AN214,0,COLUMN($B214)-COLUMN(AN214)),$A:$A,0),$C214+COLUMN($E214)+1),TRUE),INDIRECT(ADDRESS(ROW(AN214),$C214+COLUMN($E214)),TRUE),INDIRECT(ADDRESS(MATCH("START"&amp;OFFSET(AN214,0,COLUMN($B214)-COLUMN(AN214)),$A:$A,0),COLUMN(AN214))&amp;":"&amp;ADDRESS(MATCH("END"&amp;OFFSET(AN214,0,COLUMN($B214)-COLUMN(AN214)),$A:$A,0),COLUMN(AN214)),TRUE)))))</f>
        <v>0</v>
      </c>
      <c r="AO214" s="356">
        <f t="shared" ref="AO214:AO241" ca="1" si="379">IF(OFFSET(AO214,ROW(AO$2)-ROW(AO214),0)="TT",SUMIF(INDIRECT(ADDRESS(2,COLUMN($Q214)+1) &amp; ":" &amp; ADDRESS(2,COLUMN(AO214)-1),TRUE),"TBE",INDIRECT(ADDRESS(ROW(AO214), COLUMN($Q214)+1) &amp; ":" &amp; ADDRESS(ROW(AO214),COLUMN(AO214)-1),TRUE)),IF(OFFSET(AO214,ROW(AO$2)-ROW(AO214),0)="TBE",SUMIF(INDIRECT(ADDRESS(2,MATCH(INT(OFFSET(AO214,ROW(AO$2)-ROW(AO214),-2)),$2:$2,0)) &amp; ":" &amp; ADDRESS(2,COLUMN(AO214)-1),TRUE),"T",INDIRECT(ADDRESS(ROW(AO214), MATCH(INT(OFFSET(AO214,ROW(AO$2)-ROW(AO214),-2)),$2:$2,0)) &amp; ":" &amp; ADDRESS(ROW(AO214),COLUMN(AO214)-1),TRUE)),IF(OFFSET(AO214,0,COLUMN($M214)-COLUMN(AO214))="V",OFFSET(AO214,0,-2)*OFFSET(AO214,0,-1),"TOTAL")))</f>
        <v>0</v>
      </c>
      <c r="AP214" s="353">
        <f ca="1">IF(OFFSET(AP214,ROW(AP$2)-ROW(AP214),0)="TT","TT",IF(OFFSET(AP214,0,COLUMN($M214)-COLUMN(AP214))="%",ROUND(OFFSET(AP214,-2,0)*0.07,0),IF(OFFSET(AP214,0,COLUMN($M214)-COLUMN(AP214))="V","x",SUMIF(INDIRECT(ADDRESS(MATCH("START"&amp;OFFSET(AP214,0,COLUMN($B214)-COLUMN(AP214)),$A:$A,0),$C214+COLUMN($E214)+1)&amp;":"&amp;ADDRESS(MATCH("END"&amp;OFFSET(AP214,0,COLUMN($B214)-COLUMN(AP214)),$A:$A,0),$C214+COLUMN($E214)+1),TRUE),INDIRECT(ADDRESS(ROW(AP214),$C214+COLUMN($E214)),TRUE),INDIRECT(ADDRESS(MATCH("START"&amp;OFFSET(AP214,0,COLUMN($B214)-COLUMN(AP214)),$A:$A,0),COLUMN(AP214))&amp;":"&amp;ADDRESS(MATCH("END"&amp;OFFSET(AP214,0,COLUMN($B214)-COLUMN(AP214)),$A:$A,0),COLUMN(AP214)),TRUE)))))</f>
        <v>0</v>
      </c>
      <c r="AQ214" s="354"/>
      <c r="AR214" s="355">
        <f ca="1">IF(OFFSET(AR214,ROW(AR$2)-ROW(AR214),0)="TT","TT",IF(OFFSET(AR214,0,COLUMN($M214)-COLUMN(AR214))="%",ROUND((OFFSET(AR214,-2,0)-OFFSET(AR214,-21,0))*0.07,2),IF(OFFSET(AR214,0,COLUMN($M214)-COLUMN(AR214))="V",ROUND(OFFSET(AR214,0,-2)*OFFSET(AR214,0,-1),2),SUMIF(INDIRECT(ADDRESS(MATCH("START"&amp;OFFSET(AR214,0,COLUMN($B214)-COLUMN(AR214)),$A:$A,0),$C214+COLUMN($E214)+1)&amp;":"&amp;ADDRESS(MATCH("END"&amp;OFFSET(AR214,0,COLUMN($B214)-COLUMN(AR214)),$A:$A,0),$C214+COLUMN($E214)+1),TRUE),INDIRECT(ADDRESS(ROW(AR214),$C214+COLUMN($E214)),TRUE),INDIRECT(ADDRESS(MATCH("START"&amp;OFFSET(AR214,0,COLUMN($B214)-COLUMN(AR214)),$A:$A,0),COLUMN(AR214))&amp;":"&amp;ADDRESS(MATCH("END"&amp;OFFSET(AR214,0,COLUMN($B214)-COLUMN(AR214)),$A:$A,0),COLUMN(AR214)),TRUE)))))</f>
        <v>0</v>
      </c>
      <c r="AS214" s="356">
        <f t="shared" ref="AS214:AS241" ca="1" si="380">IF(OFFSET(AS214,ROW(AS$2)-ROW(AS214),0)="TT",SUMIF(INDIRECT(ADDRESS(2,COLUMN($Q214)+1) &amp; ":" &amp; ADDRESS(2,COLUMN(AS214)-1),TRUE),"TBE",INDIRECT(ADDRESS(ROW(AS214), COLUMN($Q214)+1) &amp; ":" &amp; ADDRESS(ROW(AS214),COLUMN(AS214)-1),TRUE)),IF(OFFSET(AS214,ROW(AS$2)-ROW(AS214),0)="TBE",SUMIF(INDIRECT(ADDRESS(2,MATCH(INT(OFFSET(AS214,ROW(AS$2)-ROW(AS214),-2)),$2:$2,0)) &amp; ":" &amp; ADDRESS(2,COLUMN(AS214)-1),TRUE),"T",INDIRECT(ADDRESS(ROW(AS214), MATCH(INT(OFFSET(AS214,ROW(AS$2)-ROW(AS214),-2)),$2:$2,0)) &amp; ":" &amp; ADDRESS(ROW(AS214),COLUMN(AS214)-1),TRUE)),IF(OFFSET(AS214,0,COLUMN($M214)-COLUMN(AS214))="V",OFFSET(AS214,0,-2)*OFFSET(AS214,0,-1),"TOTAL")))</f>
        <v>0</v>
      </c>
      <c r="AT214" s="353">
        <f ca="1">IF(OFFSET(AT214,ROW(AT$2)-ROW(AT214),0)="TT","TT",IF(OFFSET(AT214,0,COLUMN($M214)-COLUMN(AT214))="%",ROUND(OFFSET(AT214,-2,0)*0.07,0),IF(OFFSET(AT214,0,COLUMN($M214)-COLUMN(AT214))="V","x",SUMIF(INDIRECT(ADDRESS(MATCH("START"&amp;OFFSET(AT214,0,COLUMN($B214)-COLUMN(AT214)),$A:$A,0),$C214+COLUMN($E214)+1)&amp;":"&amp;ADDRESS(MATCH("END"&amp;OFFSET(AT214,0,COLUMN($B214)-COLUMN(AT214)),$A:$A,0),$C214+COLUMN($E214)+1),TRUE),INDIRECT(ADDRESS(ROW(AT214),$C214+COLUMN($E214)),TRUE),INDIRECT(ADDRESS(MATCH("START"&amp;OFFSET(AT214,0,COLUMN($B214)-COLUMN(AT214)),$A:$A,0),COLUMN(AT214))&amp;":"&amp;ADDRESS(MATCH("END"&amp;OFFSET(AT214,0,COLUMN($B214)-COLUMN(AT214)),$A:$A,0),COLUMN(AT214)),TRUE)))))</f>
        <v>0</v>
      </c>
      <c r="AU214" s="354"/>
      <c r="AV214" s="355">
        <f ca="1">IF(OFFSET(AV214,ROW(AV$2)-ROW(AV214),0)="TT","TT",IF(OFFSET(AV214,0,COLUMN($M214)-COLUMN(AV214))="%",ROUND((OFFSET(AV214,-2,0)-OFFSET(AV214,-21,0))*0.07,2),IF(OFFSET(AV214,0,COLUMN($M214)-COLUMN(AV214))="V",ROUND(OFFSET(AV214,0,-2)*OFFSET(AV214,0,-1),2),SUMIF(INDIRECT(ADDRESS(MATCH("START"&amp;OFFSET(AV214,0,COLUMN($B214)-COLUMN(AV214)),$A:$A,0),$C214+COLUMN($E214)+1)&amp;":"&amp;ADDRESS(MATCH("END"&amp;OFFSET(AV214,0,COLUMN($B214)-COLUMN(AV214)),$A:$A,0),$C214+COLUMN($E214)+1),TRUE),INDIRECT(ADDRESS(ROW(AV214),$C214+COLUMN($E214)),TRUE),INDIRECT(ADDRESS(MATCH("START"&amp;OFFSET(AV214,0,COLUMN($B214)-COLUMN(AV214)),$A:$A,0),COLUMN(AV214))&amp;":"&amp;ADDRESS(MATCH("END"&amp;OFFSET(AV214,0,COLUMN($B214)-COLUMN(AV214)),$A:$A,0),COLUMN(AV214)),TRUE)))))</f>
        <v>0</v>
      </c>
      <c r="AW214" s="356">
        <f t="shared" ref="AW214:AW241" ca="1" si="381">IF(OFFSET(AW214,ROW(AW$2)-ROW(AW214),0)="TT",SUMIF(INDIRECT(ADDRESS(2,COLUMN($Q214)+1) &amp; ":" &amp; ADDRESS(2,COLUMN(AW214)-1),TRUE),"TBE",INDIRECT(ADDRESS(ROW(AW214), COLUMN($Q214)+1) &amp; ":" &amp; ADDRESS(ROW(AW214),COLUMN(AW214)-1),TRUE)),IF(OFFSET(AW214,ROW(AW$2)-ROW(AW214),0)="TBE",SUMIF(INDIRECT(ADDRESS(2,MATCH(INT(OFFSET(AW214,ROW(AW$2)-ROW(AW214),-2)),$2:$2,0)) &amp; ":" &amp; ADDRESS(2,COLUMN(AW214)-1),TRUE),"T",INDIRECT(ADDRESS(ROW(AW214), MATCH(INT(OFFSET(AW214,ROW(AW$2)-ROW(AW214),-2)),$2:$2,0)) &amp; ":" &amp; ADDRESS(ROW(AW214),COLUMN(AW214)-1),TRUE)),IF(OFFSET(AW214,0,COLUMN($M214)-COLUMN(AW214))="V",OFFSET(AW214,0,-2)*OFFSET(AW214,0,-1),"TOTAL")))</f>
        <v>0</v>
      </c>
      <c r="AX214" s="353">
        <f ca="1">IF(OFFSET(AX214,ROW(AX$2)-ROW(AX214),0)="TT","TT",IF(OFFSET(AX214,0,COLUMN($M214)-COLUMN(AX214))="%",ROUND(OFFSET(AX214,-2,0)*0.07,0),IF(OFFSET(AX214,0,COLUMN($M214)-COLUMN(AX214))="V","x",SUMIF(INDIRECT(ADDRESS(MATCH("START"&amp;OFFSET(AX214,0,COLUMN($B214)-COLUMN(AX214)),$A:$A,0),$C214+COLUMN($E214)+1)&amp;":"&amp;ADDRESS(MATCH("END"&amp;OFFSET(AX214,0,COLUMN($B214)-COLUMN(AX214)),$A:$A,0),$C214+COLUMN($E214)+1),TRUE),INDIRECT(ADDRESS(ROW(AX214),$C214+COLUMN($E214)),TRUE),INDIRECT(ADDRESS(MATCH("START"&amp;OFFSET(AX214,0,COLUMN($B214)-COLUMN(AX214)),$A:$A,0),COLUMN(AX214))&amp;":"&amp;ADDRESS(MATCH("END"&amp;OFFSET(AX214,0,COLUMN($B214)-COLUMN(AX214)),$A:$A,0),COLUMN(AX214)),TRUE)))))</f>
        <v>0</v>
      </c>
      <c r="AY214" s="354"/>
      <c r="AZ214" s="355">
        <f ca="1">IF(OFFSET(AZ214,ROW(AZ$2)-ROW(AZ214),0)="TT","TT",IF(OFFSET(AZ214,0,COLUMN($M214)-COLUMN(AZ214))="%",ROUND((OFFSET(AZ214,-2,0)-OFFSET(AZ214,-21,0))*0.07,2),IF(OFFSET(AZ214,0,COLUMN($M214)-COLUMN(AZ214))="V",ROUND(OFFSET(AZ214,0,-2)*OFFSET(AZ214,0,-1),2),SUMIF(INDIRECT(ADDRESS(MATCH("START"&amp;OFFSET(AZ214,0,COLUMN($B214)-COLUMN(AZ214)),$A:$A,0),$C214+COLUMN($E214)+1)&amp;":"&amp;ADDRESS(MATCH("END"&amp;OFFSET(AZ214,0,COLUMN($B214)-COLUMN(AZ214)),$A:$A,0),$C214+COLUMN($E214)+1),TRUE),INDIRECT(ADDRESS(ROW(AZ214),$C214+COLUMN($E214)),TRUE),INDIRECT(ADDRESS(MATCH("START"&amp;OFFSET(AZ214,0,COLUMN($B214)-COLUMN(AZ214)),$A:$A,0),COLUMN(AZ214))&amp;":"&amp;ADDRESS(MATCH("END"&amp;OFFSET(AZ214,0,COLUMN($B214)-COLUMN(AZ214)),$A:$A,0),COLUMN(AZ214)),TRUE)))))</f>
        <v>0</v>
      </c>
      <c r="BA214" s="356">
        <f t="shared" ref="BA214:BA241" ca="1" si="382">IF(OFFSET(BA214,ROW(BA$2)-ROW(BA214),0)="TT",SUMIF(INDIRECT(ADDRESS(2,COLUMN($Q214)+1) &amp; ":" &amp; ADDRESS(2,COLUMN(BA214)-1),TRUE),"TBE",INDIRECT(ADDRESS(ROW(BA214), COLUMN($Q214)+1) &amp; ":" &amp; ADDRESS(ROW(BA214),COLUMN(BA214)-1),TRUE)),IF(OFFSET(BA214,ROW(BA$2)-ROW(BA214),0)="TBE",SUMIF(INDIRECT(ADDRESS(2,MATCH(INT(OFFSET(BA214,ROW(BA$2)-ROW(BA214),-2)),$2:$2,0)) &amp; ":" &amp; ADDRESS(2,COLUMN(BA214)-1),TRUE),"T",INDIRECT(ADDRESS(ROW(BA214), MATCH(INT(OFFSET(BA214,ROW(BA$2)-ROW(BA214),-2)),$2:$2,0)) &amp; ":" &amp; ADDRESS(ROW(BA214),COLUMN(BA214)-1),TRUE)),IF(OFFSET(BA214,0,COLUMN($M214)-COLUMN(BA214))="V",OFFSET(BA214,0,-2)*OFFSET(BA214,0,-1),"TOTAL")))</f>
        <v>0</v>
      </c>
      <c r="BB214" s="353">
        <f ca="1">IF(OFFSET(BB214,ROW(BB$2)-ROW(BB214),0)="TT","TT",IF(OFFSET(BB214,0,COLUMN($M214)-COLUMN(BB214))="%",ROUND(OFFSET(BB214,-2,0)*0.07,0),IF(OFFSET(BB214,0,COLUMN($M214)-COLUMN(BB214))="V","x",SUMIF(INDIRECT(ADDRESS(MATCH("START"&amp;OFFSET(BB214,0,COLUMN($B214)-COLUMN(BB214)),$A:$A,0),$C214+COLUMN($E214)+1)&amp;":"&amp;ADDRESS(MATCH("END"&amp;OFFSET(BB214,0,COLUMN($B214)-COLUMN(BB214)),$A:$A,0),$C214+COLUMN($E214)+1),TRUE),INDIRECT(ADDRESS(ROW(BB214),$C214+COLUMN($E214)),TRUE),INDIRECT(ADDRESS(MATCH("START"&amp;OFFSET(BB214,0,COLUMN($B214)-COLUMN(BB214)),$A:$A,0),COLUMN(BB214))&amp;":"&amp;ADDRESS(MATCH("END"&amp;OFFSET(BB214,0,COLUMN($B214)-COLUMN(BB214)),$A:$A,0),COLUMN(BB214)),TRUE)))))</f>
        <v>0</v>
      </c>
      <c r="BC214" s="354"/>
      <c r="BD214" s="355">
        <f ca="1">IF(OFFSET(BD214,ROW(BD$2)-ROW(BD214),0)="TT","TT",IF(OFFSET(BD214,0,COLUMN($M214)-COLUMN(BD214))="%",ROUND((OFFSET(BD214,-2,0)-OFFSET(BD214,-21,0))*0.07,2),IF(OFFSET(BD214,0,COLUMN($M214)-COLUMN(BD214))="V",ROUND(OFFSET(BD214,0,-2)*OFFSET(BD214,0,-1),2),SUMIF(INDIRECT(ADDRESS(MATCH("START"&amp;OFFSET(BD214,0,COLUMN($B214)-COLUMN(BD214)),$A:$A,0),$C214+COLUMN($E214)+1)&amp;":"&amp;ADDRESS(MATCH("END"&amp;OFFSET(BD214,0,COLUMN($B214)-COLUMN(BD214)),$A:$A,0),$C214+COLUMN($E214)+1),TRUE),INDIRECT(ADDRESS(ROW(BD214),$C214+COLUMN($E214)),TRUE),INDIRECT(ADDRESS(MATCH("START"&amp;OFFSET(BD214,0,COLUMN($B214)-COLUMN(BD214)),$A:$A,0),COLUMN(BD214))&amp;":"&amp;ADDRESS(MATCH("END"&amp;OFFSET(BD214,0,COLUMN($B214)-COLUMN(BD214)),$A:$A,0),COLUMN(BD214)),TRUE)))))</f>
        <v>0</v>
      </c>
      <c r="BE214" s="356">
        <f t="shared" ref="BE214:BE241" ca="1" si="383">IF(OFFSET(BE214,ROW(BE$2)-ROW(BE214),0)="TT",SUMIF(INDIRECT(ADDRESS(2,COLUMN($Q214)+1) &amp; ":" &amp; ADDRESS(2,COLUMN(BE214)-1),TRUE),"TBE",INDIRECT(ADDRESS(ROW(BE214), COLUMN($Q214)+1) &amp; ":" &amp; ADDRESS(ROW(BE214),COLUMN(BE214)-1),TRUE)),IF(OFFSET(BE214,ROW(BE$2)-ROW(BE214),0)="TBE",SUMIF(INDIRECT(ADDRESS(2,MATCH(INT(OFFSET(BE214,ROW(BE$2)-ROW(BE214),-2)),$2:$2,0)) &amp; ":" &amp; ADDRESS(2,COLUMN(BE214)-1),TRUE),"T",INDIRECT(ADDRESS(ROW(BE214), MATCH(INT(OFFSET(BE214,ROW(BE$2)-ROW(BE214),-2)),$2:$2,0)) &amp; ":" &amp; ADDRESS(ROW(BE214),COLUMN(BE214)-1),TRUE)),IF(OFFSET(BE214,0,COLUMN($M214)-COLUMN(BE214))="V",OFFSET(BE214,0,-2)*OFFSET(BE214,0,-1),"TOTAL")))</f>
        <v>0</v>
      </c>
      <c r="BF214" s="353">
        <f ca="1">IF(OFFSET(BF214,ROW(BF$2)-ROW(BF214),0)="TT","TT",IF(OFFSET(BF214,0,COLUMN($M214)-COLUMN(BF214))="%",ROUND(OFFSET(BF214,-2,0)*0.07,0),IF(OFFSET(BF214,0,COLUMN($M214)-COLUMN(BF214))="V","x",SUMIF(INDIRECT(ADDRESS(MATCH("START"&amp;OFFSET(BF214,0,COLUMN($B214)-COLUMN(BF214)),$A:$A,0),$C214+COLUMN($E214)+1)&amp;":"&amp;ADDRESS(MATCH("END"&amp;OFFSET(BF214,0,COLUMN($B214)-COLUMN(BF214)),$A:$A,0),$C214+COLUMN($E214)+1),TRUE),INDIRECT(ADDRESS(ROW(BF214),$C214+COLUMN($E214)),TRUE),INDIRECT(ADDRESS(MATCH("START"&amp;OFFSET(BF214,0,COLUMN($B214)-COLUMN(BF214)),$A:$A,0),COLUMN(BF214))&amp;":"&amp;ADDRESS(MATCH("END"&amp;OFFSET(BF214,0,COLUMN($B214)-COLUMN(BF214)),$A:$A,0),COLUMN(BF214)),TRUE)))))</f>
        <v>0</v>
      </c>
      <c r="BG214" s="354"/>
      <c r="BH214" s="355">
        <f ca="1">IF(OFFSET(BH214,ROW(BH$2)-ROW(BH214),0)="TT","TT",IF(OFFSET(BH214,0,COLUMN($M214)-COLUMN(BH214))="%",ROUND((OFFSET(BH214,-2,0)-OFFSET(BH214,-21,0))*0.07,2),IF(OFFSET(BH214,0,COLUMN($M214)-COLUMN(BH214))="V",ROUND(OFFSET(BH214,0,-2)*OFFSET(BH214,0,-1),2),SUMIF(INDIRECT(ADDRESS(MATCH("START"&amp;OFFSET(BH214,0,COLUMN($B214)-COLUMN(BH214)),$A:$A,0),$C214+COLUMN($E214)+1)&amp;":"&amp;ADDRESS(MATCH("END"&amp;OFFSET(BH214,0,COLUMN($B214)-COLUMN(BH214)),$A:$A,0),$C214+COLUMN($E214)+1),TRUE),INDIRECT(ADDRESS(ROW(BH214),$C214+COLUMN($E214)),TRUE),INDIRECT(ADDRESS(MATCH("START"&amp;OFFSET(BH214,0,COLUMN($B214)-COLUMN(BH214)),$A:$A,0),COLUMN(BH214))&amp;":"&amp;ADDRESS(MATCH("END"&amp;OFFSET(BH214,0,COLUMN($B214)-COLUMN(BH214)),$A:$A,0),COLUMN(BH214)),TRUE)))))</f>
        <v>0</v>
      </c>
      <c r="BI214" s="356">
        <f t="shared" ref="BI214:BI241" ca="1" si="384">IF(OFFSET(BI214,ROW(BI$2)-ROW(BI214),0)="TT",SUMIF(INDIRECT(ADDRESS(2,COLUMN($Q214)+1) &amp; ":" &amp; ADDRESS(2,COLUMN(BI214)-1),TRUE),"TBE",INDIRECT(ADDRESS(ROW(BI214), COLUMN($Q214)+1) &amp; ":" &amp; ADDRESS(ROW(BI214),COLUMN(BI214)-1),TRUE)),IF(OFFSET(BI214,ROW(BI$2)-ROW(BI214),0)="TBE",SUMIF(INDIRECT(ADDRESS(2,MATCH(INT(OFFSET(BI214,ROW(BI$2)-ROW(BI214),-2)),$2:$2,0)) &amp; ":" &amp; ADDRESS(2,COLUMN(BI214)-1),TRUE),"T",INDIRECT(ADDRESS(ROW(BI214), MATCH(INT(OFFSET(BI214,ROW(BI$2)-ROW(BI214),-2)),$2:$2,0)) &amp; ":" &amp; ADDRESS(ROW(BI214),COLUMN(BI214)-1),TRUE)),IF(OFFSET(BI214,0,COLUMN($M214)-COLUMN(BI214))="V",OFFSET(BI214,0,-2)*OFFSET(BI214,0,-1),"TOTAL")))</f>
        <v>0</v>
      </c>
      <c r="BJ214" s="353">
        <f ca="1">IF(OFFSET(BJ214,ROW(BJ$2)-ROW(BJ214),0)="TT","TT",IF(OFFSET(BJ214,0,COLUMN($M214)-COLUMN(BJ214))="%",ROUND(OFFSET(BJ214,-2,0)*0.07,0),IF(OFFSET(BJ214,0,COLUMN($M214)-COLUMN(BJ214))="V","x",SUMIF(INDIRECT(ADDRESS(MATCH("START"&amp;OFFSET(BJ214,0,COLUMN($B214)-COLUMN(BJ214)),$A:$A,0),$C214+COLUMN($E214)+1)&amp;":"&amp;ADDRESS(MATCH("END"&amp;OFFSET(BJ214,0,COLUMN($B214)-COLUMN(BJ214)),$A:$A,0),$C214+COLUMN($E214)+1),TRUE),INDIRECT(ADDRESS(ROW(BJ214),$C214+COLUMN($E214)),TRUE),INDIRECT(ADDRESS(MATCH("START"&amp;OFFSET(BJ214,0,COLUMN($B214)-COLUMN(BJ214)),$A:$A,0),COLUMN(BJ214))&amp;":"&amp;ADDRESS(MATCH("END"&amp;OFFSET(BJ214,0,COLUMN($B214)-COLUMN(BJ214)),$A:$A,0),COLUMN(BJ214)),TRUE)))))</f>
        <v>0</v>
      </c>
      <c r="BK214" s="354"/>
      <c r="BL214" s="355">
        <f ca="1">IF(OFFSET(BL214,ROW(BL$2)-ROW(BL214),0)="TT","TT",IF(OFFSET(BL214,0,COLUMN($M214)-COLUMN(BL214))="%",ROUND((OFFSET(BL214,-2,0)-OFFSET(BL214,-21,0))*0.07,2),IF(OFFSET(BL214,0,COLUMN($M214)-COLUMN(BL214))="V",ROUND(OFFSET(BL214,0,-2)*OFFSET(BL214,0,-1),2),SUMIF(INDIRECT(ADDRESS(MATCH("START"&amp;OFFSET(BL214,0,COLUMN($B214)-COLUMN(BL214)),$A:$A,0),$C214+COLUMN($E214)+1)&amp;":"&amp;ADDRESS(MATCH("END"&amp;OFFSET(BL214,0,COLUMN($B214)-COLUMN(BL214)),$A:$A,0),$C214+COLUMN($E214)+1),TRUE),INDIRECT(ADDRESS(ROW(BL214),$C214+COLUMN($E214)),TRUE),INDIRECT(ADDRESS(MATCH("START"&amp;OFFSET(BL214,0,COLUMN($B214)-COLUMN(BL214)),$A:$A,0),COLUMN(BL214))&amp;":"&amp;ADDRESS(MATCH("END"&amp;OFFSET(BL214,0,COLUMN($B214)-COLUMN(BL214)),$A:$A,0),COLUMN(BL214)),TRUE)))))</f>
        <v>0</v>
      </c>
      <c r="BM214" s="356">
        <f t="shared" ref="BM214:BN241" ca="1" si="385">IF(OFFSET(BM214,ROW(BM$2)-ROW(BM214),0)="TT",SUMIF(INDIRECT(ADDRESS(2,COLUMN($Q214)+1) &amp; ":" &amp; ADDRESS(2,COLUMN(BM214)-1),TRUE),"TBE",INDIRECT(ADDRESS(ROW(BM214), COLUMN($Q214)+1) &amp; ":" &amp; ADDRESS(ROW(BM214),COLUMN(BM214)-1),TRUE)),IF(OFFSET(BM214,ROW(BM$2)-ROW(BM214),0)="TBE",SUMIF(INDIRECT(ADDRESS(2,MATCH(INT(OFFSET(BM214,ROW(BM$2)-ROW(BM214),-2)),$2:$2,0)) &amp; ":" &amp; ADDRESS(2,COLUMN(BM214)-1),TRUE),"T",INDIRECT(ADDRESS(ROW(BM214), MATCH(INT(OFFSET(BM214,ROW(BM$2)-ROW(BM214),-2)),$2:$2,0)) &amp; ":" &amp; ADDRESS(ROW(BM214),COLUMN(BM214)-1),TRUE)),IF(OFFSET(BM214,0,COLUMN($M214)-COLUMN(BM214))="V",OFFSET(BM214,0,-2)*OFFSET(BM214,0,-1),"TOTAL")))</f>
        <v>0</v>
      </c>
      <c r="BN214" s="356">
        <f t="shared" ca="1" si="385"/>
        <v>0</v>
      </c>
    </row>
    <row r="215" spans="1:68">
      <c r="A215" s="221" t="str">
        <f t="shared" ca="1" si="372"/>
        <v>WP007</v>
      </c>
      <c r="B215" s="221" t="str">
        <f t="shared" ca="1" si="373"/>
        <v>WP007</v>
      </c>
      <c r="C215" s="221">
        <v>6</v>
      </c>
      <c r="D215" s="221" t="s">
        <v>76</v>
      </c>
      <c r="J215" s="222" t="s">
        <v>75</v>
      </c>
      <c r="K215" s="221" t="s">
        <v>77</v>
      </c>
      <c r="M215" s="221" t="s">
        <v>46</v>
      </c>
      <c r="N215" s="461"/>
      <c r="O215" s="245"/>
      <c r="P215" s="464" t="s">
        <v>78</v>
      </c>
      <c r="Q215" s="465"/>
      <c r="R215" s="357">
        <f ca="1">IF(OFFSET(R215,ROW(R$2)-ROW(R215),0)="TT","TT",IF(OFFSET(R215,0,COLUMN($M215)-COLUMN(R215))="%",ROUND(OFFSET(R215,-2,0)*0.07,0),IF(OFFSET(R215,0,COLUMN($M215)-COLUMN(R215))="V","x",SUMIF(INDIRECT(ADDRESS(MATCH("START"&amp;OFFSET(R215,0,COLUMN($B215)-COLUMN(R215)),$A:$A,0),$C215+COLUMN($E215)+1)&amp;":"&amp;ADDRESS(MATCH("END"&amp;OFFSET(R215,0,COLUMN($B215)-COLUMN(R215)),$A:$A,0),$C215+COLUMN($E215)+1),TRUE),INDIRECT(ADDRESS(ROW(R215),$C215+COLUMN($E215)),TRUE),INDIRECT(ADDRESS(MATCH("START"&amp;OFFSET(R215,0,COLUMN($B215)-COLUMN(R215)),$A:$A,0),COLUMN(R215))&amp;":"&amp;ADDRESS(MATCH("END"&amp;OFFSET(R215,0,COLUMN($B215)-COLUMN(R215)),$A:$A,0),COLUMN(R215)),TRUE)))))</f>
        <v>0</v>
      </c>
      <c r="S215" s="358"/>
      <c r="T215" s="359">
        <f t="shared" ref="T215:T245" ca="1" si="386">IF(OFFSET(T215,ROW(T$2)-ROW(T215),0)="TT","TT",IF(OFFSET(T215,0,COLUMN($M215)-COLUMN(T215))="%",ROUND((OFFSET(T215,-2,0)-OFFSET(T215,-21,0))*0.07,2),IF(OFFSET(T215,0,COLUMN($M215)-COLUMN(T215))="V",ROUND(OFFSET(T215,0,-2)*OFFSET(T215,0,-1),2),SUMIF(INDIRECT(ADDRESS(MATCH("START"&amp;OFFSET(T215,0,COLUMN($B215)-COLUMN(T215)),$A:$A,0),$C215+COLUMN($E215)+1)&amp;":"&amp;ADDRESS(MATCH("END"&amp;OFFSET(T215,0,COLUMN($B215)-COLUMN(T215)),$A:$A,0),$C215+COLUMN($E215)+1),TRUE),INDIRECT(ADDRESS(ROW(T215),$C215+COLUMN($E215)),TRUE),INDIRECT(ADDRESS(MATCH("START"&amp;OFFSET(T215,0,COLUMN($B215)-COLUMN(T215)),$A:$A,0),COLUMN(T215))&amp;":"&amp;ADDRESS(MATCH("END"&amp;OFFSET(T215,0,COLUMN($B215)-COLUMN(T215)),$A:$A,0),COLUMN(T215)),TRUE)))))</f>
        <v>0</v>
      </c>
      <c r="U215" s="360">
        <f t="shared" ca="1" si="374"/>
        <v>0</v>
      </c>
      <c r="V215" s="357">
        <f ca="1">IF(OFFSET(V215,ROW(V$2)-ROW(V215),0)="TT","TT",IF(OFFSET(V215,0,COLUMN($M215)-COLUMN(V215))="%",ROUND(OFFSET(V215,-2,0)*0.07,0),IF(OFFSET(V215,0,COLUMN($M215)-COLUMN(V215))="V","x",SUMIF(INDIRECT(ADDRESS(MATCH("START"&amp;OFFSET(V215,0,COLUMN($B215)-COLUMN(V215)),$A:$A,0),$C215+COLUMN($E215)+1)&amp;":"&amp;ADDRESS(MATCH("END"&amp;OFFSET(V215,0,COLUMN($B215)-COLUMN(V215)),$A:$A,0),$C215+COLUMN($E215)+1),TRUE),INDIRECT(ADDRESS(ROW(V215),$C215+COLUMN($E215)),TRUE),INDIRECT(ADDRESS(MATCH("START"&amp;OFFSET(V215,0,COLUMN($B215)-COLUMN(V215)),$A:$A,0),COLUMN(V215))&amp;":"&amp;ADDRESS(MATCH("END"&amp;OFFSET(V215,0,COLUMN($B215)-COLUMN(V215)),$A:$A,0),COLUMN(V215)),TRUE)))))</f>
        <v>0</v>
      </c>
      <c r="W215" s="358"/>
      <c r="X215" s="359">
        <f t="shared" ref="X215:X245" ca="1" si="387">IF(OFFSET(X215,ROW(X$2)-ROW(X215),0)="TT","TT",IF(OFFSET(X215,0,COLUMN($M215)-COLUMN(X215))="%",ROUND((OFFSET(X215,-2,0)-OFFSET(X215,-21,0))*0.07,2),IF(OFFSET(X215,0,COLUMN($M215)-COLUMN(X215))="V",ROUND(OFFSET(X215,0,-2)*OFFSET(X215,0,-1),2),SUMIF(INDIRECT(ADDRESS(MATCH("START"&amp;OFFSET(X215,0,COLUMN($B215)-COLUMN(X215)),$A:$A,0),$C215+COLUMN($E215)+1)&amp;":"&amp;ADDRESS(MATCH("END"&amp;OFFSET(X215,0,COLUMN($B215)-COLUMN(X215)),$A:$A,0),$C215+COLUMN($E215)+1),TRUE),INDIRECT(ADDRESS(ROW(X215),$C215+COLUMN($E215)),TRUE),INDIRECT(ADDRESS(MATCH("START"&amp;OFFSET(X215,0,COLUMN($B215)-COLUMN(X215)),$A:$A,0),COLUMN(X215))&amp;":"&amp;ADDRESS(MATCH("END"&amp;OFFSET(X215,0,COLUMN($B215)-COLUMN(X215)),$A:$A,0),COLUMN(X215)),TRUE)))))</f>
        <v>0</v>
      </c>
      <c r="Y215" s="360">
        <f t="shared" ca="1" si="375"/>
        <v>0</v>
      </c>
      <c r="Z215" s="357">
        <f ca="1">IF(OFFSET(Z215,ROW(Z$2)-ROW(Z215),0)="TT","TT",IF(OFFSET(Z215,0,COLUMN($M215)-COLUMN(Z215))="%",ROUND(OFFSET(Z215,-2,0)*0.07,0),IF(OFFSET(Z215,0,COLUMN($M215)-COLUMN(Z215))="V","x",SUMIF(INDIRECT(ADDRESS(MATCH("START"&amp;OFFSET(Z215,0,COLUMN($B215)-COLUMN(Z215)),$A:$A,0),$C215+COLUMN($E215)+1)&amp;":"&amp;ADDRESS(MATCH("END"&amp;OFFSET(Z215,0,COLUMN($B215)-COLUMN(Z215)),$A:$A,0),$C215+COLUMN($E215)+1),TRUE),INDIRECT(ADDRESS(ROW(Z215),$C215+COLUMN($E215)),TRUE),INDIRECT(ADDRESS(MATCH("START"&amp;OFFSET(Z215,0,COLUMN($B215)-COLUMN(Z215)),$A:$A,0),COLUMN(Z215))&amp;":"&amp;ADDRESS(MATCH("END"&amp;OFFSET(Z215,0,COLUMN($B215)-COLUMN(Z215)),$A:$A,0),COLUMN(Z215)),TRUE)))))</f>
        <v>0</v>
      </c>
      <c r="AA215" s="358"/>
      <c r="AB215" s="359">
        <f t="shared" ref="AB215:AB245" ca="1" si="388">IF(OFFSET(AB215,ROW(AB$2)-ROW(AB215),0)="TT","TT",IF(OFFSET(AB215,0,COLUMN($M215)-COLUMN(AB215))="%",ROUND((OFFSET(AB215,-2,0)-OFFSET(AB215,-21,0))*0.07,2),IF(OFFSET(AB215,0,COLUMN($M215)-COLUMN(AB215))="V",ROUND(OFFSET(AB215,0,-2)*OFFSET(AB215,0,-1),2),SUMIF(INDIRECT(ADDRESS(MATCH("START"&amp;OFFSET(AB215,0,COLUMN($B215)-COLUMN(AB215)),$A:$A,0),$C215+COLUMN($E215)+1)&amp;":"&amp;ADDRESS(MATCH("END"&amp;OFFSET(AB215,0,COLUMN($B215)-COLUMN(AB215)),$A:$A,0),$C215+COLUMN($E215)+1),TRUE),INDIRECT(ADDRESS(ROW(AB215),$C215+COLUMN($E215)),TRUE),INDIRECT(ADDRESS(MATCH("START"&amp;OFFSET(AB215,0,COLUMN($B215)-COLUMN(AB215)),$A:$A,0),COLUMN(AB215))&amp;":"&amp;ADDRESS(MATCH("END"&amp;OFFSET(AB215,0,COLUMN($B215)-COLUMN(AB215)),$A:$A,0),COLUMN(AB215)),TRUE)))))</f>
        <v>0</v>
      </c>
      <c r="AC215" s="360">
        <f t="shared" ca="1" si="376"/>
        <v>0</v>
      </c>
      <c r="AD215" s="357">
        <f ca="1">IF(OFFSET(AD215,ROW(AD$2)-ROW(AD215),0)="TT","TT",IF(OFFSET(AD215,0,COLUMN($M215)-COLUMN(AD215))="%",ROUND(OFFSET(AD215,-2,0)*0.07,0),IF(OFFSET(AD215,0,COLUMN($M215)-COLUMN(AD215))="V","x",SUMIF(INDIRECT(ADDRESS(MATCH("START"&amp;OFFSET(AD215,0,COLUMN($B215)-COLUMN(AD215)),$A:$A,0),$C215+COLUMN($E215)+1)&amp;":"&amp;ADDRESS(MATCH("END"&amp;OFFSET(AD215,0,COLUMN($B215)-COLUMN(AD215)),$A:$A,0),$C215+COLUMN($E215)+1),TRUE),INDIRECT(ADDRESS(ROW(AD215),$C215+COLUMN($E215)),TRUE),INDIRECT(ADDRESS(MATCH("START"&amp;OFFSET(AD215,0,COLUMN($B215)-COLUMN(AD215)),$A:$A,0),COLUMN(AD215))&amp;":"&amp;ADDRESS(MATCH("END"&amp;OFFSET(AD215,0,COLUMN($B215)-COLUMN(AD215)),$A:$A,0),COLUMN(AD215)),TRUE)))))</f>
        <v>0</v>
      </c>
      <c r="AE215" s="358"/>
      <c r="AF215" s="359">
        <f t="shared" ref="AF215:AF245" ca="1" si="389">IF(OFFSET(AF215,ROW(AF$2)-ROW(AF215),0)="TT","TT",IF(OFFSET(AF215,0,COLUMN($M215)-COLUMN(AF215))="%",ROUND((OFFSET(AF215,-2,0)-OFFSET(AF215,-21,0))*0.07,2),IF(OFFSET(AF215,0,COLUMN($M215)-COLUMN(AF215))="V",ROUND(OFFSET(AF215,0,-2)*OFFSET(AF215,0,-1),2),SUMIF(INDIRECT(ADDRESS(MATCH("START"&amp;OFFSET(AF215,0,COLUMN($B215)-COLUMN(AF215)),$A:$A,0),$C215+COLUMN($E215)+1)&amp;":"&amp;ADDRESS(MATCH("END"&amp;OFFSET(AF215,0,COLUMN($B215)-COLUMN(AF215)),$A:$A,0),$C215+COLUMN($E215)+1),TRUE),INDIRECT(ADDRESS(ROW(AF215),$C215+COLUMN($E215)),TRUE),INDIRECT(ADDRESS(MATCH("START"&amp;OFFSET(AF215,0,COLUMN($B215)-COLUMN(AF215)),$A:$A,0),COLUMN(AF215))&amp;":"&amp;ADDRESS(MATCH("END"&amp;OFFSET(AF215,0,COLUMN($B215)-COLUMN(AF215)),$A:$A,0),COLUMN(AF215)),TRUE)))))</f>
        <v>0</v>
      </c>
      <c r="AG215" s="360">
        <f t="shared" ca="1" si="377"/>
        <v>0</v>
      </c>
      <c r="AH215" s="357">
        <f ca="1">IF(OFFSET(AH215,ROW(AH$2)-ROW(AH215),0)="TT","TT",IF(OFFSET(AH215,0,COLUMN($M215)-COLUMN(AH215))="%",ROUND(OFFSET(AH215,-2,0)*0.07,0),IF(OFFSET(AH215,0,COLUMN($M215)-COLUMN(AH215))="V","x",SUMIF(INDIRECT(ADDRESS(MATCH("START"&amp;OFFSET(AH215,0,COLUMN($B215)-COLUMN(AH215)),$A:$A,0),$C215+COLUMN($E215)+1)&amp;":"&amp;ADDRESS(MATCH("END"&amp;OFFSET(AH215,0,COLUMN($B215)-COLUMN(AH215)),$A:$A,0),$C215+COLUMN($E215)+1),TRUE),INDIRECT(ADDRESS(ROW(AH215),$C215+COLUMN($E215)),TRUE),INDIRECT(ADDRESS(MATCH("START"&amp;OFFSET(AH215,0,COLUMN($B215)-COLUMN(AH215)),$A:$A,0),COLUMN(AH215))&amp;":"&amp;ADDRESS(MATCH("END"&amp;OFFSET(AH215,0,COLUMN($B215)-COLUMN(AH215)),$A:$A,0),COLUMN(AH215)),TRUE)))))</f>
        <v>0</v>
      </c>
      <c r="AI215" s="358"/>
      <c r="AJ215" s="359">
        <f t="shared" ref="AJ215:AJ245" ca="1" si="390">IF(OFFSET(AJ215,ROW(AJ$2)-ROW(AJ215),0)="TT","TT",IF(OFFSET(AJ215,0,COLUMN($M215)-COLUMN(AJ215))="%",ROUND((OFFSET(AJ215,-2,0)-OFFSET(AJ215,-21,0))*0.07,2),IF(OFFSET(AJ215,0,COLUMN($M215)-COLUMN(AJ215))="V",ROUND(OFFSET(AJ215,0,-2)*OFFSET(AJ215,0,-1),2),SUMIF(INDIRECT(ADDRESS(MATCH("START"&amp;OFFSET(AJ215,0,COLUMN($B215)-COLUMN(AJ215)),$A:$A,0),$C215+COLUMN($E215)+1)&amp;":"&amp;ADDRESS(MATCH("END"&amp;OFFSET(AJ215,0,COLUMN($B215)-COLUMN(AJ215)),$A:$A,0),$C215+COLUMN($E215)+1),TRUE),INDIRECT(ADDRESS(ROW(AJ215),$C215+COLUMN($E215)),TRUE),INDIRECT(ADDRESS(MATCH("START"&amp;OFFSET(AJ215,0,COLUMN($B215)-COLUMN(AJ215)),$A:$A,0),COLUMN(AJ215))&amp;":"&amp;ADDRESS(MATCH("END"&amp;OFFSET(AJ215,0,COLUMN($B215)-COLUMN(AJ215)),$A:$A,0),COLUMN(AJ215)),TRUE)))))</f>
        <v>0</v>
      </c>
      <c r="AK215" s="360">
        <f t="shared" ca="1" si="378"/>
        <v>0</v>
      </c>
      <c r="AL215" s="357">
        <f ca="1">IF(OFFSET(AL215,ROW(AL$2)-ROW(AL215),0)="TT","TT",IF(OFFSET(AL215,0,COLUMN($M215)-COLUMN(AL215))="%",ROUND(OFFSET(AL215,-2,0)*0.07,0),IF(OFFSET(AL215,0,COLUMN($M215)-COLUMN(AL215))="V","x",SUMIF(INDIRECT(ADDRESS(MATCH("START"&amp;OFFSET(AL215,0,COLUMN($B215)-COLUMN(AL215)),$A:$A,0),$C215+COLUMN($E215)+1)&amp;":"&amp;ADDRESS(MATCH("END"&amp;OFFSET(AL215,0,COLUMN($B215)-COLUMN(AL215)),$A:$A,0),$C215+COLUMN($E215)+1),TRUE),INDIRECT(ADDRESS(ROW(AL215),$C215+COLUMN($E215)),TRUE),INDIRECT(ADDRESS(MATCH("START"&amp;OFFSET(AL215,0,COLUMN($B215)-COLUMN(AL215)),$A:$A,0),COLUMN(AL215))&amp;":"&amp;ADDRESS(MATCH("END"&amp;OFFSET(AL215,0,COLUMN($B215)-COLUMN(AL215)),$A:$A,0),COLUMN(AL215)),TRUE)))))</f>
        <v>0</v>
      </c>
      <c r="AM215" s="358"/>
      <c r="AN215" s="359">
        <f t="shared" ref="AN215:AN245" ca="1" si="391">IF(OFFSET(AN215,ROW(AN$2)-ROW(AN215),0)="TT","TT",IF(OFFSET(AN215,0,COLUMN($M215)-COLUMN(AN215))="%",ROUND((OFFSET(AN215,-2,0)-OFFSET(AN215,-21,0))*0.07,2),IF(OFFSET(AN215,0,COLUMN($M215)-COLUMN(AN215))="V",ROUND(OFFSET(AN215,0,-2)*OFFSET(AN215,0,-1),2),SUMIF(INDIRECT(ADDRESS(MATCH("START"&amp;OFFSET(AN215,0,COLUMN($B215)-COLUMN(AN215)),$A:$A,0),$C215+COLUMN($E215)+1)&amp;":"&amp;ADDRESS(MATCH("END"&amp;OFFSET(AN215,0,COLUMN($B215)-COLUMN(AN215)),$A:$A,0),$C215+COLUMN($E215)+1),TRUE),INDIRECT(ADDRESS(ROW(AN215),$C215+COLUMN($E215)),TRUE),INDIRECT(ADDRESS(MATCH("START"&amp;OFFSET(AN215,0,COLUMN($B215)-COLUMN(AN215)),$A:$A,0),COLUMN(AN215))&amp;":"&amp;ADDRESS(MATCH("END"&amp;OFFSET(AN215,0,COLUMN($B215)-COLUMN(AN215)),$A:$A,0),COLUMN(AN215)),TRUE)))))</f>
        <v>0</v>
      </c>
      <c r="AO215" s="360">
        <f t="shared" ca="1" si="379"/>
        <v>0</v>
      </c>
      <c r="AP215" s="357">
        <f ca="1">IF(OFFSET(AP215,ROW(AP$2)-ROW(AP215),0)="TT","TT",IF(OFFSET(AP215,0,COLUMN($M215)-COLUMN(AP215))="%",ROUND(OFFSET(AP215,-2,0)*0.07,0),IF(OFFSET(AP215,0,COLUMN($M215)-COLUMN(AP215))="V","x",SUMIF(INDIRECT(ADDRESS(MATCH("START"&amp;OFFSET(AP215,0,COLUMN($B215)-COLUMN(AP215)),$A:$A,0),$C215+COLUMN($E215)+1)&amp;":"&amp;ADDRESS(MATCH("END"&amp;OFFSET(AP215,0,COLUMN($B215)-COLUMN(AP215)),$A:$A,0),$C215+COLUMN($E215)+1),TRUE),INDIRECT(ADDRESS(ROW(AP215),$C215+COLUMN($E215)),TRUE),INDIRECT(ADDRESS(MATCH("START"&amp;OFFSET(AP215,0,COLUMN($B215)-COLUMN(AP215)),$A:$A,0),COLUMN(AP215))&amp;":"&amp;ADDRESS(MATCH("END"&amp;OFFSET(AP215,0,COLUMN($B215)-COLUMN(AP215)),$A:$A,0),COLUMN(AP215)),TRUE)))))</f>
        <v>0</v>
      </c>
      <c r="AQ215" s="358"/>
      <c r="AR215" s="359">
        <f t="shared" ref="AR215:AR245" ca="1" si="392">IF(OFFSET(AR215,ROW(AR$2)-ROW(AR215),0)="TT","TT",IF(OFFSET(AR215,0,COLUMN($M215)-COLUMN(AR215))="%",ROUND((OFFSET(AR215,-2,0)-OFFSET(AR215,-21,0))*0.07,2),IF(OFFSET(AR215,0,COLUMN($M215)-COLUMN(AR215))="V",ROUND(OFFSET(AR215,0,-2)*OFFSET(AR215,0,-1),2),SUMIF(INDIRECT(ADDRESS(MATCH("START"&amp;OFFSET(AR215,0,COLUMN($B215)-COLUMN(AR215)),$A:$A,0),$C215+COLUMN($E215)+1)&amp;":"&amp;ADDRESS(MATCH("END"&amp;OFFSET(AR215,0,COLUMN($B215)-COLUMN(AR215)),$A:$A,0),$C215+COLUMN($E215)+1),TRUE),INDIRECT(ADDRESS(ROW(AR215),$C215+COLUMN($E215)),TRUE),INDIRECT(ADDRESS(MATCH("START"&amp;OFFSET(AR215,0,COLUMN($B215)-COLUMN(AR215)),$A:$A,0),COLUMN(AR215))&amp;":"&amp;ADDRESS(MATCH("END"&amp;OFFSET(AR215,0,COLUMN($B215)-COLUMN(AR215)),$A:$A,0),COLUMN(AR215)),TRUE)))))</f>
        <v>0</v>
      </c>
      <c r="AS215" s="360">
        <f t="shared" ca="1" si="380"/>
        <v>0</v>
      </c>
      <c r="AT215" s="357">
        <f ca="1">IF(OFFSET(AT215,ROW(AT$2)-ROW(AT215),0)="TT","TT",IF(OFFSET(AT215,0,COLUMN($M215)-COLUMN(AT215))="%",ROUND(OFFSET(AT215,-2,0)*0.07,0),IF(OFFSET(AT215,0,COLUMN($M215)-COLUMN(AT215))="V","x",SUMIF(INDIRECT(ADDRESS(MATCH("START"&amp;OFFSET(AT215,0,COLUMN($B215)-COLUMN(AT215)),$A:$A,0),$C215+COLUMN($E215)+1)&amp;":"&amp;ADDRESS(MATCH("END"&amp;OFFSET(AT215,0,COLUMN($B215)-COLUMN(AT215)),$A:$A,0),$C215+COLUMN($E215)+1),TRUE),INDIRECT(ADDRESS(ROW(AT215),$C215+COLUMN($E215)),TRUE),INDIRECT(ADDRESS(MATCH("START"&amp;OFFSET(AT215,0,COLUMN($B215)-COLUMN(AT215)),$A:$A,0),COLUMN(AT215))&amp;":"&amp;ADDRESS(MATCH("END"&amp;OFFSET(AT215,0,COLUMN($B215)-COLUMN(AT215)),$A:$A,0),COLUMN(AT215)),TRUE)))))</f>
        <v>0</v>
      </c>
      <c r="AU215" s="358"/>
      <c r="AV215" s="359">
        <f t="shared" ref="AV215:AV245" ca="1" si="393">IF(OFFSET(AV215,ROW(AV$2)-ROW(AV215),0)="TT","TT",IF(OFFSET(AV215,0,COLUMN($M215)-COLUMN(AV215))="%",ROUND((OFFSET(AV215,-2,0)-OFFSET(AV215,-21,0))*0.07,2),IF(OFFSET(AV215,0,COLUMN($M215)-COLUMN(AV215))="V",ROUND(OFFSET(AV215,0,-2)*OFFSET(AV215,0,-1),2),SUMIF(INDIRECT(ADDRESS(MATCH("START"&amp;OFFSET(AV215,0,COLUMN($B215)-COLUMN(AV215)),$A:$A,0),$C215+COLUMN($E215)+1)&amp;":"&amp;ADDRESS(MATCH("END"&amp;OFFSET(AV215,0,COLUMN($B215)-COLUMN(AV215)),$A:$A,0),$C215+COLUMN($E215)+1),TRUE),INDIRECT(ADDRESS(ROW(AV215),$C215+COLUMN($E215)),TRUE),INDIRECT(ADDRESS(MATCH("START"&amp;OFFSET(AV215,0,COLUMN($B215)-COLUMN(AV215)),$A:$A,0),COLUMN(AV215))&amp;":"&amp;ADDRESS(MATCH("END"&amp;OFFSET(AV215,0,COLUMN($B215)-COLUMN(AV215)),$A:$A,0),COLUMN(AV215)),TRUE)))))</f>
        <v>0</v>
      </c>
      <c r="AW215" s="360">
        <f t="shared" ca="1" si="381"/>
        <v>0</v>
      </c>
      <c r="AX215" s="357">
        <f ca="1">IF(OFFSET(AX215,ROW(AX$2)-ROW(AX215),0)="TT","TT",IF(OFFSET(AX215,0,COLUMN($M215)-COLUMN(AX215))="%",ROUND(OFFSET(AX215,-2,0)*0.07,0),IF(OFFSET(AX215,0,COLUMN($M215)-COLUMN(AX215))="V","x",SUMIF(INDIRECT(ADDRESS(MATCH("START"&amp;OFFSET(AX215,0,COLUMN($B215)-COLUMN(AX215)),$A:$A,0),$C215+COLUMN($E215)+1)&amp;":"&amp;ADDRESS(MATCH("END"&amp;OFFSET(AX215,0,COLUMN($B215)-COLUMN(AX215)),$A:$A,0),$C215+COLUMN($E215)+1),TRUE),INDIRECT(ADDRESS(ROW(AX215),$C215+COLUMN($E215)),TRUE),INDIRECT(ADDRESS(MATCH("START"&amp;OFFSET(AX215,0,COLUMN($B215)-COLUMN(AX215)),$A:$A,0),COLUMN(AX215))&amp;":"&amp;ADDRESS(MATCH("END"&amp;OFFSET(AX215,0,COLUMN($B215)-COLUMN(AX215)),$A:$A,0),COLUMN(AX215)),TRUE)))))</f>
        <v>0</v>
      </c>
      <c r="AY215" s="358"/>
      <c r="AZ215" s="359">
        <f t="shared" ref="AZ215:AZ245" ca="1" si="394">IF(OFFSET(AZ215,ROW(AZ$2)-ROW(AZ215),0)="TT","TT",IF(OFFSET(AZ215,0,COLUMN($M215)-COLUMN(AZ215))="%",ROUND((OFFSET(AZ215,-2,0)-OFFSET(AZ215,-21,0))*0.07,2),IF(OFFSET(AZ215,0,COLUMN($M215)-COLUMN(AZ215))="V",ROUND(OFFSET(AZ215,0,-2)*OFFSET(AZ215,0,-1),2),SUMIF(INDIRECT(ADDRESS(MATCH("START"&amp;OFFSET(AZ215,0,COLUMN($B215)-COLUMN(AZ215)),$A:$A,0),$C215+COLUMN($E215)+1)&amp;":"&amp;ADDRESS(MATCH("END"&amp;OFFSET(AZ215,0,COLUMN($B215)-COLUMN(AZ215)),$A:$A,0),$C215+COLUMN($E215)+1),TRUE),INDIRECT(ADDRESS(ROW(AZ215),$C215+COLUMN($E215)),TRUE),INDIRECT(ADDRESS(MATCH("START"&amp;OFFSET(AZ215,0,COLUMN($B215)-COLUMN(AZ215)),$A:$A,0),COLUMN(AZ215))&amp;":"&amp;ADDRESS(MATCH("END"&amp;OFFSET(AZ215,0,COLUMN($B215)-COLUMN(AZ215)),$A:$A,0),COLUMN(AZ215)),TRUE)))))</f>
        <v>0</v>
      </c>
      <c r="BA215" s="360">
        <f t="shared" ca="1" si="382"/>
        <v>0</v>
      </c>
      <c r="BB215" s="357">
        <f ca="1">IF(OFFSET(BB215,ROW(BB$2)-ROW(BB215),0)="TT","TT",IF(OFFSET(BB215,0,COLUMN($M215)-COLUMN(BB215))="%",ROUND(OFFSET(BB215,-2,0)*0.07,0),IF(OFFSET(BB215,0,COLUMN($M215)-COLUMN(BB215))="V","x",SUMIF(INDIRECT(ADDRESS(MATCH("START"&amp;OFFSET(BB215,0,COLUMN($B215)-COLUMN(BB215)),$A:$A,0),$C215+COLUMN($E215)+1)&amp;":"&amp;ADDRESS(MATCH("END"&amp;OFFSET(BB215,0,COLUMN($B215)-COLUMN(BB215)),$A:$A,0),$C215+COLUMN($E215)+1),TRUE),INDIRECT(ADDRESS(ROW(BB215),$C215+COLUMN($E215)),TRUE),INDIRECT(ADDRESS(MATCH("START"&amp;OFFSET(BB215,0,COLUMN($B215)-COLUMN(BB215)),$A:$A,0),COLUMN(BB215))&amp;":"&amp;ADDRESS(MATCH("END"&amp;OFFSET(BB215,0,COLUMN($B215)-COLUMN(BB215)),$A:$A,0),COLUMN(BB215)),TRUE)))))</f>
        <v>0</v>
      </c>
      <c r="BC215" s="358"/>
      <c r="BD215" s="359">
        <f t="shared" ref="BD215:BD245" ca="1" si="395">IF(OFFSET(BD215,ROW(BD$2)-ROW(BD215),0)="TT","TT",IF(OFFSET(BD215,0,COLUMN($M215)-COLUMN(BD215))="%",ROUND((OFFSET(BD215,-2,0)-OFFSET(BD215,-21,0))*0.07,2),IF(OFFSET(BD215,0,COLUMN($M215)-COLUMN(BD215))="V",ROUND(OFFSET(BD215,0,-2)*OFFSET(BD215,0,-1),2),SUMIF(INDIRECT(ADDRESS(MATCH("START"&amp;OFFSET(BD215,0,COLUMN($B215)-COLUMN(BD215)),$A:$A,0),$C215+COLUMN($E215)+1)&amp;":"&amp;ADDRESS(MATCH("END"&amp;OFFSET(BD215,0,COLUMN($B215)-COLUMN(BD215)),$A:$A,0),$C215+COLUMN($E215)+1),TRUE),INDIRECT(ADDRESS(ROW(BD215),$C215+COLUMN($E215)),TRUE),INDIRECT(ADDRESS(MATCH("START"&amp;OFFSET(BD215,0,COLUMN($B215)-COLUMN(BD215)),$A:$A,0),COLUMN(BD215))&amp;":"&amp;ADDRESS(MATCH("END"&amp;OFFSET(BD215,0,COLUMN($B215)-COLUMN(BD215)),$A:$A,0),COLUMN(BD215)),TRUE)))))</f>
        <v>0</v>
      </c>
      <c r="BE215" s="360">
        <f t="shared" ca="1" si="383"/>
        <v>0</v>
      </c>
      <c r="BF215" s="357">
        <f ca="1">IF(OFFSET(BF215,ROW(BF$2)-ROW(BF215),0)="TT","TT",IF(OFFSET(BF215,0,COLUMN($M215)-COLUMN(BF215))="%",ROUND(OFFSET(BF215,-2,0)*0.07,0),IF(OFFSET(BF215,0,COLUMN($M215)-COLUMN(BF215))="V","x",SUMIF(INDIRECT(ADDRESS(MATCH("START"&amp;OFFSET(BF215,0,COLUMN($B215)-COLUMN(BF215)),$A:$A,0),$C215+COLUMN($E215)+1)&amp;":"&amp;ADDRESS(MATCH("END"&amp;OFFSET(BF215,0,COLUMN($B215)-COLUMN(BF215)),$A:$A,0),$C215+COLUMN($E215)+1),TRUE),INDIRECT(ADDRESS(ROW(BF215),$C215+COLUMN($E215)),TRUE),INDIRECT(ADDRESS(MATCH("START"&amp;OFFSET(BF215,0,COLUMN($B215)-COLUMN(BF215)),$A:$A,0),COLUMN(BF215))&amp;":"&amp;ADDRESS(MATCH("END"&amp;OFFSET(BF215,0,COLUMN($B215)-COLUMN(BF215)),$A:$A,0),COLUMN(BF215)),TRUE)))))</f>
        <v>0</v>
      </c>
      <c r="BG215" s="358"/>
      <c r="BH215" s="359">
        <f t="shared" ref="BH215:BH245" ca="1" si="396">IF(OFFSET(BH215,ROW(BH$2)-ROW(BH215),0)="TT","TT",IF(OFFSET(BH215,0,COLUMN($M215)-COLUMN(BH215))="%",ROUND((OFFSET(BH215,-2,0)-OFFSET(BH215,-21,0))*0.07,2),IF(OFFSET(BH215,0,COLUMN($M215)-COLUMN(BH215))="V",ROUND(OFFSET(BH215,0,-2)*OFFSET(BH215,0,-1),2),SUMIF(INDIRECT(ADDRESS(MATCH("START"&amp;OFFSET(BH215,0,COLUMN($B215)-COLUMN(BH215)),$A:$A,0),$C215+COLUMN($E215)+1)&amp;":"&amp;ADDRESS(MATCH("END"&amp;OFFSET(BH215,0,COLUMN($B215)-COLUMN(BH215)),$A:$A,0),$C215+COLUMN($E215)+1),TRUE),INDIRECT(ADDRESS(ROW(BH215),$C215+COLUMN($E215)),TRUE),INDIRECT(ADDRESS(MATCH("START"&amp;OFFSET(BH215,0,COLUMN($B215)-COLUMN(BH215)),$A:$A,0),COLUMN(BH215))&amp;":"&amp;ADDRESS(MATCH("END"&amp;OFFSET(BH215,0,COLUMN($B215)-COLUMN(BH215)),$A:$A,0),COLUMN(BH215)),TRUE)))))</f>
        <v>0</v>
      </c>
      <c r="BI215" s="360">
        <f t="shared" ca="1" si="384"/>
        <v>0</v>
      </c>
      <c r="BJ215" s="357">
        <f ca="1">IF(OFFSET(BJ215,ROW(BJ$2)-ROW(BJ215),0)="TT","TT",IF(OFFSET(BJ215,0,COLUMN($M215)-COLUMN(BJ215))="%",ROUND(OFFSET(BJ215,-2,0)*0.07,0),IF(OFFSET(BJ215,0,COLUMN($M215)-COLUMN(BJ215))="V","x",SUMIF(INDIRECT(ADDRESS(MATCH("START"&amp;OFFSET(BJ215,0,COLUMN($B215)-COLUMN(BJ215)),$A:$A,0),$C215+COLUMN($E215)+1)&amp;":"&amp;ADDRESS(MATCH("END"&amp;OFFSET(BJ215,0,COLUMN($B215)-COLUMN(BJ215)),$A:$A,0),$C215+COLUMN($E215)+1),TRUE),INDIRECT(ADDRESS(ROW(BJ215),$C215+COLUMN($E215)),TRUE),INDIRECT(ADDRESS(MATCH("START"&amp;OFFSET(BJ215,0,COLUMN($B215)-COLUMN(BJ215)),$A:$A,0),COLUMN(BJ215))&amp;":"&amp;ADDRESS(MATCH("END"&amp;OFFSET(BJ215,0,COLUMN($B215)-COLUMN(BJ215)),$A:$A,0),COLUMN(BJ215)),TRUE)))))</f>
        <v>0</v>
      </c>
      <c r="BK215" s="358"/>
      <c r="BL215" s="359">
        <f t="shared" ref="BL215:BL245" ca="1" si="397">IF(OFFSET(BL215,ROW(BL$2)-ROW(BL215),0)="TT","TT",IF(OFFSET(BL215,0,COLUMN($M215)-COLUMN(BL215))="%",ROUND((OFFSET(BL215,-2,0)-OFFSET(BL215,-21,0))*0.07,2),IF(OFFSET(BL215,0,COLUMN($M215)-COLUMN(BL215))="V",ROUND(OFFSET(BL215,0,-2)*OFFSET(BL215,0,-1),2),SUMIF(INDIRECT(ADDRESS(MATCH("START"&amp;OFFSET(BL215,0,COLUMN($B215)-COLUMN(BL215)),$A:$A,0),$C215+COLUMN($E215)+1)&amp;":"&amp;ADDRESS(MATCH("END"&amp;OFFSET(BL215,0,COLUMN($B215)-COLUMN(BL215)),$A:$A,0),$C215+COLUMN($E215)+1),TRUE),INDIRECT(ADDRESS(ROW(BL215),$C215+COLUMN($E215)),TRUE),INDIRECT(ADDRESS(MATCH("START"&amp;OFFSET(BL215,0,COLUMN($B215)-COLUMN(BL215)),$A:$A,0),COLUMN(BL215))&amp;":"&amp;ADDRESS(MATCH("END"&amp;OFFSET(BL215,0,COLUMN($B215)-COLUMN(BL215)),$A:$A,0),COLUMN(BL215)),TRUE)))))</f>
        <v>0</v>
      </c>
      <c r="BM215" s="360">
        <f t="shared" ca="1" si="385"/>
        <v>0</v>
      </c>
      <c r="BN215" s="360">
        <f t="shared" ca="1" si="385"/>
        <v>0</v>
      </c>
      <c r="BP215" s="246"/>
    </row>
    <row r="216" spans="1:68">
      <c r="A216" s="221" t="str">
        <f t="shared" ca="1" si="372"/>
        <v>WP007</v>
      </c>
      <c r="B216" s="221" t="str">
        <f t="shared" ca="1" si="373"/>
        <v>WP007</v>
      </c>
      <c r="C216" s="221">
        <v>7</v>
      </c>
      <c r="D216" s="221" t="s">
        <v>79</v>
      </c>
      <c r="L216" s="221" t="s">
        <v>77</v>
      </c>
      <c r="M216" s="221" t="s">
        <v>80</v>
      </c>
      <c r="N216" s="461"/>
      <c r="O216" s="247"/>
      <c r="P216" s="248"/>
      <c r="Q216" s="249" t="str">
        <f>EMP_TYPE1</f>
        <v>Type 1</v>
      </c>
      <c r="R216" s="361">
        <f t="shared" ref="R216:S225" ca="1" si="398">INDIRECT("'"&amp; MID(OFFSET(R216,ROW(R$3)-ROW(R216),IF(OFFSET(R216,ROW(R$2)-ROW(R216),2)="T",0,IF(OFFSET(R216,ROW(R$2)-ROW(R216),1)="T",-1,-2))),1,6) &amp; "'!" &amp; ADDRESS(ROW(R216),MATCH(INDIRECT(ADDRESS(2,COLUMN(R216)+IF(OFFSET(R216,ROW(R$2)-ROW(R216),2)="T",1,IF(OFFSET(R216,ROW(R$2)-ROW(R216),1)="T",0,-1))),TRUE),INDIRECT("'"&amp; MID(OFFSET(R216,ROW(R$3)-ROW(R216),IF(OFFSET(R216,ROW(R$2)-ROW(R216),2)="T",0,IF(OFFSET(R216,ROW(R$2)-ROW(R216),1)="T",-1,-2))),1,6) &amp; "'!2:2",TRUE),0)-IF(OFFSET(R216,ROW(R$2)-ROW(R216),2)="T",1,IF(OFFSET(R216,ROW(R$2)-ROW(R216),1)="T",0,-1))),TRUE)</f>
        <v>0</v>
      </c>
      <c r="S216" s="362">
        <f t="shared" ca="1" si="398"/>
        <v>0</v>
      </c>
      <c r="T216" s="363">
        <f t="shared" ca="1" si="386"/>
        <v>0</v>
      </c>
      <c r="U216" s="360">
        <f t="shared" ca="1" si="374"/>
        <v>0</v>
      </c>
      <c r="V216" s="361">
        <f t="shared" ref="V216:W225" ca="1" si="399">INDIRECT("'"&amp; MID(OFFSET(V216,ROW(V$3)-ROW(V216),IF(OFFSET(V216,ROW(V$2)-ROW(V216),2)="T",0,IF(OFFSET(V216,ROW(V$2)-ROW(V216),1)="T",-1,-2))),1,6) &amp; "'!" &amp; ADDRESS(ROW(V216),MATCH(INDIRECT(ADDRESS(2,COLUMN(V216)+IF(OFFSET(V216,ROW(V$2)-ROW(V216),2)="T",1,IF(OFFSET(V216,ROW(V$2)-ROW(V216),1)="T",0,-1))),TRUE),INDIRECT("'"&amp; MID(OFFSET(V216,ROW(V$3)-ROW(V216),IF(OFFSET(V216,ROW(V$2)-ROW(V216),2)="T",0,IF(OFFSET(V216,ROW(V$2)-ROW(V216),1)="T",-1,-2))),1,6) &amp; "'!2:2",TRUE),0)-IF(OFFSET(V216,ROW(V$2)-ROW(V216),2)="T",1,IF(OFFSET(V216,ROW(V$2)-ROW(V216),1)="T",0,-1))),TRUE)</f>
        <v>0</v>
      </c>
      <c r="W216" s="362">
        <f t="shared" ca="1" si="399"/>
        <v>0</v>
      </c>
      <c r="X216" s="363">
        <f t="shared" ca="1" si="387"/>
        <v>0</v>
      </c>
      <c r="Y216" s="360">
        <f t="shared" ca="1" si="375"/>
        <v>0</v>
      </c>
      <c r="Z216" s="361">
        <f t="shared" ref="Z216:AA225" ca="1" si="400">INDIRECT("'"&amp; MID(OFFSET(Z216,ROW(Z$3)-ROW(Z216),IF(OFFSET(Z216,ROW(Z$2)-ROW(Z216),2)="T",0,IF(OFFSET(Z216,ROW(Z$2)-ROW(Z216),1)="T",-1,-2))),1,6) &amp; "'!" &amp; ADDRESS(ROW(Z216),MATCH(INDIRECT(ADDRESS(2,COLUMN(Z216)+IF(OFFSET(Z216,ROW(Z$2)-ROW(Z216),2)="T",1,IF(OFFSET(Z216,ROW(Z$2)-ROW(Z216),1)="T",0,-1))),TRUE),INDIRECT("'"&amp; MID(OFFSET(Z216,ROW(Z$3)-ROW(Z216),IF(OFFSET(Z216,ROW(Z$2)-ROW(Z216),2)="T",0,IF(OFFSET(Z216,ROW(Z$2)-ROW(Z216),1)="T",-1,-2))),1,6) &amp; "'!2:2",TRUE),0)-IF(OFFSET(Z216,ROW(Z$2)-ROW(Z216),2)="T",1,IF(OFFSET(Z216,ROW(Z$2)-ROW(Z216),1)="T",0,-1))),TRUE)</f>
        <v>0</v>
      </c>
      <c r="AA216" s="362">
        <f t="shared" ca="1" si="400"/>
        <v>0</v>
      </c>
      <c r="AB216" s="363">
        <f t="shared" ca="1" si="388"/>
        <v>0</v>
      </c>
      <c r="AC216" s="360">
        <f t="shared" ca="1" si="376"/>
        <v>0</v>
      </c>
      <c r="AD216" s="361">
        <f t="shared" ref="AD216:AE225" ca="1" si="401">INDIRECT("'"&amp; MID(OFFSET(AD216,ROW(AD$3)-ROW(AD216),IF(OFFSET(AD216,ROW(AD$2)-ROW(AD216),2)="T",0,IF(OFFSET(AD216,ROW(AD$2)-ROW(AD216),1)="T",-1,-2))),1,6) &amp; "'!" &amp; ADDRESS(ROW(AD216),MATCH(INDIRECT(ADDRESS(2,COLUMN(AD216)+IF(OFFSET(AD216,ROW(AD$2)-ROW(AD216),2)="T",1,IF(OFFSET(AD216,ROW(AD$2)-ROW(AD216),1)="T",0,-1))),TRUE),INDIRECT("'"&amp; MID(OFFSET(AD216,ROW(AD$3)-ROW(AD216),IF(OFFSET(AD216,ROW(AD$2)-ROW(AD216),2)="T",0,IF(OFFSET(AD216,ROW(AD$2)-ROW(AD216),1)="T",-1,-2))),1,6) &amp; "'!2:2",TRUE),0)-IF(OFFSET(AD216,ROW(AD$2)-ROW(AD216),2)="T",1,IF(OFFSET(AD216,ROW(AD$2)-ROW(AD216),1)="T",0,-1))),TRUE)</f>
        <v>0</v>
      </c>
      <c r="AE216" s="362">
        <f t="shared" ca="1" si="401"/>
        <v>0</v>
      </c>
      <c r="AF216" s="363">
        <f t="shared" ca="1" si="389"/>
        <v>0</v>
      </c>
      <c r="AG216" s="360">
        <f t="shared" ca="1" si="377"/>
        <v>0</v>
      </c>
      <c r="AH216" s="361">
        <f t="shared" ref="AH216:AI225" ca="1" si="402">INDIRECT("'"&amp; MID(OFFSET(AH216,ROW(AH$3)-ROW(AH216),IF(OFFSET(AH216,ROW(AH$2)-ROW(AH216),2)="T",0,IF(OFFSET(AH216,ROW(AH$2)-ROW(AH216),1)="T",-1,-2))),1,6) &amp; "'!" &amp; ADDRESS(ROW(AH216),MATCH(INDIRECT(ADDRESS(2,COLUMN(AH216)+IF(OFFSET(AH216,ROW(AH$2)-ROW(AH216),2)="T",1,IF(OFFSET(AH216,ROW(AH$2)-ROW(AH216),1)="T",0,-1))),TRUE),INDIRECT("'"&amp; MID(OFFSET(AH216,ROW(AH$3)-ROW(AH216),IF(OFFSET(AH216,ROW(AH$2)-ROW(AH216),2)="T",0,IF(OFFSET(AH216,ROW(AH$2)-ROW(AH216),1)="T",-1,-2))),1,6) &amp; "'!2:2",TRUE),0)-IF(OFFSET(AH216,ROW(AH$2)-ROW(AH216),2)="T",1,IF(OFFSET(AH216,ROW(AH$2)-ROW(AH216),1)="T",0,-1))),TRUE)</f>
        <v>0</v>
      </c>
      <c r="AI216" s="362">
        <f t="shared" ca="1" si="402"/>
        <v>0</v>
      </c>
      <c r="AJ216" s="363">
        <f t="shared" ca="1" si="390"/>
        <v>0</v>
      </c>
      <c r="AK216" s="360">
        <f t="shared" ca="1" si="378"/>
        <v>0</v>
      </c>
      <c r="AL216" s="361">
        <f t="shared" ref="AL216:AM225" ca="1" si="403">INDIRECT("'"&amp; MID(OFFSET(AL216,ROW(AL$3)-ROW(AL216),IF(OFFSET(AL216,ROW(AL$2)-ROW(AL216),2)="T",0,IF(OFFSET(AL216,ROW(AL$2)-ROW(AL216),1)="T",-1,-2))),1,6) &amp; "'!" &amp; ADDRESS(ROW(AL216),MATCH(INDIRECT(ADDRESS(2,COLUMN(AL216)+IF(OFFSET(AL216,ROW(AL$2)-ROW(AL216),2)="T",1,IF(OFFSET(AL216,ROW(AL$2)-ROW(AL216),1)="T",0,-1))),TRUE),INDIRECT("'"&amp; MID(OFFSET(AL216,ROW(AL$3)-ROW(AL216),IF(OFFSET(AL216,ROW(AL$2)-ROW(AL216),2)="T",0,IF(OFFSET(AL216,ROW(AL$2)-ROW(AL216),1)="T",-1,-2))),1,6) &amp; "'!2:2",TRUE),0)-IF(OFFSET(AL216,ROW(AL$2)-ROW(AL216),2)="T",1,IF(OFFSET(AL216,ROW(AL$2)-ROW(AL216),1)="T",0,-1))),TRUE)</f>
        <v>0</v>
      </c>
      <c r="AM216" s="362">
        <f t="shared" ca="1" si="403"/>
        <v>0</v>
      </c>
      <c r="AN216" s="363">
        <f t="shared" ca="1" si="391"/>
        <v>0</v>
      </c>
      <c r="AO216" s="360">
        <f t="shared" ca="1" si="379"/>
        <v>0</v>
      </c>
      <c r="AP216" s="361">
        <f t="shared" ref="AP216:AQ225" ca="1" si="404">INDIRECT("'"&amp; MID(OFFSET(AP216,ROW(AP$3)-ROW(AP216),IF(OFFSET(AP216,ROW(AP$2)-ROW(AP216),2)="T",0,IF(OFFSET(AP216,ROW(AP$2)-ROW(AP216),1)="T",-1,-2))),1,6) &amp; "'!" &amp; ADDRESS(ROW(AP216),MATCH(INDIRECT(ADDRESS(2,COLUMN(AP216)+IF(OFFSET(AP216,ROW(AP$2)-ROW(AP216),2)="T",1,IF(OFFSET(AP216,ROW(AP$2)-ROW(AP216),1)="T",0,-1))),TRUE),INDIRECT("'"&amp; MID(OFFSET(AP216,ROW(AP$3)-ROW(AP216),IF(OFFSET(AP216,ROW(AP$2)-ROW(AP216),2)="T",0,IF(OFFSET(AP216,ROW(AP$2)-ROW(AP216),1)="T",-1,-2))),1,6) &amp; "'!2:2",TRUE),0)-IF(OFFSET(AP216,ROW(AP$2)-ROW(AP216),2)="T",1,IF(OFFSET(AP216,ROW(AP$2)-ROW(AP216),1)="T",0,-1))),TRUE)</f>
        <v>0</v>
      </c>
      <c r="AQ216" s="362">
        <f t="shared" ca="1" si="404"/>
        <v>0</v>
      </c>
      <c r="AR216" s="363">
        <f t="shared" ca="1" si="392"/>
        <v>0</v>
      </c>
      <c r="AS216" s="360">
        <f t="shared" ca="1" si="380"/>
        <v>0</v>
      </c>
      <c r="AT216" s="361">
        <f t="shared" ref="AT216:AU225" ca="1" si="405">INDIRECT("'"&amp; MID(OFFSET(AT216,ROW(AT$3)-ROW(AT216),IF(OFFSET(AT216,ROW(AT$2)-ROW(AT216),2)="T",0,IF(OFFSET(AT216,ROW(AT$2)-ROW(AT216),1)="T",-1,-2))),1,6) &amp; "'!" &amp; ADDRESS(ROW(AT216),MATCH(INDIRECT(ADDRESS(2,COLUMN(AT216)+IF(OFFSET(AT216,ROW(AT$2)-ROW(AT216),2)="T",1,IF(OFFSET(AT216,ROW(AT$2)-ROW(AT216),1)="T",0,-1))),TRUE),INDIRECT("'"&amp; MID(OFFSET(AT216,ROW(AT$3)-ROW(AT216),IF(OFFSET(AT216,ROW(AT$2)-ROW(AT216),2)="T",0,IF(OFFSET(AT216,ROW(AT$2)-ROW(AT216),1)="T",-1,-2))),1,6) &amp; "'!2:2",TRUE),0)-IF(OFFSET(AT216,ROW(AT$2)-ROW(AT216),2)="T",1,IF(OFFSET(AT216,ROW(AT$2)-ROW(AT216),1)="T",0,-1))),TRUE)</f>
        <v>0</v>
      </c>
      <c r="AU216" s="362">
        <f t="shared" ca="1" si="405"/>
        <v>0</v>
      </c>
      <c r="AV216" s="363">
        <f t="shared" ca="1" si="393"/>
        <v>0</v>
      </c>
      <c r="AW216" s="360">
        <f t="shared" ca="1" si="381"/>
        <v>0</v>
      </c>
      <c r="AX216" s="361">
        <f t="shared" ref="AX216:AY225" ca="1" si="406">INDIRECT("'"&amp; MID(OFFSET(AX216,ROW(AX$3)-ROW(AX216),IF(OFFSET(AX216,ROW(AX$2)-ROW(AX216),2)="T",0,IF(OFFSET(AX216,ROW(AX$2)-ROW(AX216),1)="T",-1,-2))),1,6) &amp; "'!" &amp; ADDRESS(ROW(AX216),MATCH(INDIRECT(ADDRESS(2,COLUMN(AX216)+IF(OFFSET(AX216,ROW(AX$2)-ROW(AX216),2)="T",1,IF(OFFSET(AX216,ROW(AX$2)-ROW(AX216),1)="T",0,-1))),TRUE),INDIRECT("'"&amp; MID(OFFSET(AX216,ROW(AX$3)-ROW(AX216),IF(OFFSET(AX216,ROW(AX$2)-ROW(AX216),2)="T",0,IF(OFFSET(AX216,ROW(AX$2)-ROW(AX216),1)="T",-1,-2))),1,6) &amp; "'!2:2",TRUE),0)-IF(OFFSET(AX216,ROW(AX$2)-ROW(AX216),2)="T",1,IF(OFFSET(AX216,ROW(AX$2)-ROW(AX216),1)="T",0,-1))),TRUE)</f>
        <v>0</v>
      </c>
      <c r="AY216" s="362">
        <f t="shared" ca="1" si="406"/>
        <v>0</v>
      </c>
      <c r="AZ216" s="363">
        <f t="shared" ca="1" si="394"/>
        <v>0</v>
      </c>
      <c r="BA216" s="360">
        <f t="shared" ca="1" si="382"/>
        <v>0</v>
      </c>
      <c r="BB216" s="361">
        <f t="shared" ref="BB216:BC225" ca="1" si="407">INDIRECT("'"&amp; MID(OFFSET(BB216,ROW(BB$3)-ROW(BB216),IF(OFFSET(BB216,ROW(BB$2)-ROW(BB216),2)="T",0,IF(OFFSET(BB216,ROW(BB$2)-ROW(BB216),1)="T",-1,-2))),1,6) &amp; "'!" &amp; ADDRESS(ROW(BB216),MATCH(INDIRECT(ADDRESS(2,COLUMN(BB216)+IF(OFFSET(BB216,ROW(BB$2)-ROW(BB216),2)="T",1,IF(OFFSET(BB216,ROW(BB$2)-ROW(BB216),1)="T",0,-1))),TRUE),INDIRECT("'"&amp; MID(OFFSET(BB216,ROW(BB$3)-ROW(BB216),IF(OFFSET(BB216,ROW(BB$2)-ROW(BB216),2)="T",0,IF(OFFSET(BB216,ROW(BB$2)-ROW(BB216),1)="T",-1,-2))),1,6) &amp; "'!2:2",TRUE),0)-IF(OFFSET(BB216,ROW(BB$2)-ROW(BB216),2)="T",1,IF(OFFSET(BB216,ROW(BB$2)-ROW(BB216),1)="T",0,-1))),TRUE)</f>
        <v>0</v>
      </c>
      <c r="BC216" s="362">
        <f t="shared" ca="1" si="407"/>
        <v>0</v>
      </c>
      <c r="BD216" s="363">
        <f t="shared" ca="1" si="395"/>
        <v>0</v>
      </c>
      <c r="BE216" s="360">
        <f t="shared" ca="1" si="383"/>
        <v>0</v>
      </c>
      <c r="BF216" s="361">
        <f t="shared" ref="BF216:BG225" ca="1" si="408">INDIRECT("'"&amp; MID(OFFSET(BF216,ROW(BF$3)-ROW(BF216),IF(OFFSET(BF216,ROW(BF$2)-ROW(BF216),2)="T",0,IF(OFFSET(BF216,ROW(BF$2)-ROW(BF216),1)="T",-1,-2))),1,6) &amp; "'!" &amp; ADDRESS(ROW(BF216),MATCH(INDIRECT(ADDRESS(2,COLUMN(BF216)+IF(OFFSET(BF216,ROW(BF$2)-ROW(BF216),2)="T",1,IF(OFFSET(BF216,ROW(BF$2)-ROW(BF216),1)="T",0,-1))),TRUE),INDIRECT("'"&amp; MID(OFFSET(BF216,ROW(BF$3)-ROW(BF216),IF(OFFSET(BF216,ROW(BF$2)-ROW(BF216),2)="T",0,IF(OFFSET(BF216,ROW(BF$2)-ROW(BF216),1)="T",-1,-2))),1,6) &amp; "'!2:2",TRUE),0)-IF(OFFSET(BF216,ROW(BF$2)-ROW(BF216),2)="T",1,IF(OFFSET(BF216,ROW(BF$2)-ROW(BF216),1)="T",0,-1))),TRUE)</f>
        <v>0</v>
      </c>
      <c r="BG216" s="362">
        <f t="shared" ca="1" si="408"/>
        <v>0</v>
      </c>
      <c r="BH216" s="363">
        <f t="shared" ca="1" si="396"/>
        <v>0</v>
      </c>
      <c r="BI216" s="360">
        <f t="shared" ca="1" si="384"/>
        <v>0</v>
      </c>
      <c r="BJ216" s="361">
        <f t="shared" ref="BJ216:BK225" ca="1" si="409">INDIRECT("'"&amp; MID(OFFSET(BJ216,ROW(BJ$3)-ROW(BJ216),IF(OFFSET(BJ216,ROW(BJ$2)-ROW(BJ216),2)="T",0,IF(OFFSET(BJ216,ROW(BJ$2)-ROW(BJ216),1)="T",-1,-2))),1,6) &amp; "'!" &amp; ADDRESS(ROW(BJ216),MATCH(INDIRECT(ADDRESS(2,COLUMN(BJ216)+IF(OFFSET(BJ216,ROW(BJ$2)-ROW(BJ216),2)="T",1,IF(OFFSET(BJ216,ROW(BJ$2)-ROW(BJ216),1)="T",0,-1))),TRUE),INDIRECT("'"&amp; MID(OFFSET(BJ216,ROW(BJ$3)-ROW(BJ216),IF(OFFSET(BJ216,ROW(BJ$2)-ROW(BJ216),2)="T",0,IF(OFFSET(BJ216,ROW(BJ$2)-ROW(BJ216),1)="T",-1,-2))),1,6) &amp; "'!2:2",TRUE),0)-IF(OFFSET(BJ216,ROW(BJ$2)-ROW(BJ216),2)="T",1,IF(OFFSET(BJ216,ROW(BJ$2)-ROW(BJ216),1)="T",0,-1))),TRUE)</f>
        <v>0</v>
      </c>
      <c r="BK216" s="362">
        <f t="shared" ca="1" si="409"/>
        <v>0</v>
      </c>
      <c r="BL216" s="363">
        <f t="shared" ca="1" si="397"/>
        <v>0</v>
      </c>
      <c r="BM216" s="360">
        <f t="shared" ca="1" si="385"/>
        <v>0</v>
      </c>
      <c r="BN216" s="360">
        <f t="shared" ca="1" si="385"/>
        <v>0</v>
      </c>
      <c r="BP216" s="246"/>
    </row>
    <row r="217" spans="1:68">
      <c r="A217" s="221" t="str">
        <f t="shared" ca="1" si="372"/>
        <v>WP007</v>
      </c>
      <c r="B217" s="221" t="str">
        <f t="shared" ca="1" si="373"/>
        <v>WP007</v>
      </c>
      <c r="C217" s="221">
        <v>7</v>
      </c>
      <c r="D217" s="221" t="s">
        <v>81</v>
      </c>
      <c r="L217" s="221" t="s">
        <v>77</v>
      </c>
      <c r="M217" s="221" t="s">
        <v>80</v>
      </c>
      <c r="N217" s="461"/>
      <c r="O217" s="247"/>
      <c r="P217" s="248"/>
      <c r="Q217" s="249" t="str">
        <f>EMP_TYPE2</f>
        <v>Type 2</v>
      </c>
      <c r="R217" s="361">
        <f t="shared" ca="1" si="398"/>
        <v>0</v>
      </c>
      <c r="S217" s="362">
        <f t="shared" ca="1" si="398"/>
        <v>0</v>
      </c>
      <c r="T217" s="363">
        <f t="shared" ca="1" si="386"/>
        <v>0</v>
      </c>
      <c r="U217" s="360">
        <f t="shared" ca="1" si="374"/>
        <v>0</v>
      </c>
      <c r="V217" s="361">
        <f t="shared" ca="1" si="399"/>
        <v>0</v>
      </c>
      <c r="W217" s="362">
        <f t="shared" ca="1" si="399"/>
        <v>0</v>
      </c>
      <c r="X217" s="363">
        <f t="shared" ca="1" si="387"/>
        <v>0</v>
      </c>
      <c r="Y217" s="360">
        <f t="shared" ca="1" si="375"/>
        <v>0</v>
      </c>
      <c r="Z217" s="361">
        <f t="shared" ca="1" si="400"/>
        <v>0</v>
      </c>
      <c r="AA217" s="362">
        <f t="shared" ca="1" si="400"/>
        <v>0</v>
      </c>
      <c r="AB217" s="363">
        <f t="shared" ca="1" si="388"/>
        <v>0</v>
      </c>
      <c r="AC217" s="360">
        <f t="shared" ca="1" si="376"/>
        <v>0</v>
      </c>
      <c r="AD217" s="361">
        <f t="shared" ca="1" si="401"/>
        <v>0</v>
      </c>
      <c r="AE217" s="362">
        <f t="shared" ca="1" si="401"/>
        <v>0</v>
      </c>
      <c r="AF217" s="363">
        <f t="shared" ca="1" si="389"/>
        <v>0</v>
      </c>
      <c r="AG217" s="360">
        <f t="shared" ca="1" si="377"/>
        <v>0</v>
      </c>
      <c r="AH217" s="361">
        <f t="shared" ca="1" si="402"/>
        <v>0</v>
      </c>
      <c r="AI217" s="362">
        <f t="shared" ca="1" si="402"/>
        <v>0</v>
      </c>
      <c r="AJ217" s="363">
        <f t="shared" ca="1" si="390"/>
        <v>0</v>
      </c>
      <c r="AK217" s="360">
        <f t="shared" ca="1" si="378"/>
        <v>0</v>
      </c>
      <c r="AL217" s="361">
        <f t="shared" ca="1" si="403"/>
        <v>0</v>
      </c>
      <c r="AM217" s="362">
        <f t="shared" ca="1" si="403"/>
        <v>0</v>
      </c>
      <c r="AN217" s="363">
        <f t="shared" ca="1" si="391"/>
        <v>0</v>
      </c>
      <c r="AO217" s="360">
        <f t="shared" ca="1" si="379"/>
        <v>0</v>
      </c>
      <c r="AP217" s="361">
        <f t="shared" ca="1" si="404"/>
        <v>0</v>
      </c>
      <c r="AQ217" s="362">
        <f t="shared" ca="1" si="404"/>
        <v>0</v>
      </c>
      <c r="AR217" s="363">
        <f t="shared" ca="1" si="392"/>
        <v>0</v>
      </c>
      <c r="AS217" s="360">
        <f t="shared" ca="1" si="380"/>
        <v>0</v>
      </c>
      <c r="AT217" s="361">
        <f t="shared" ca="1" si="405"/>
        <v>0</v>
      </c>
      <c r="AU217" s="362">
        <f t="shared" ca="1" si="405"/>
        <v>0</v>
      </c>
      <c r="AV217" s="363">
        <f t="shared" ca="1" si="393"/>
        <v>0</v>
      </c>
      <c r="AW217" s="360">
        <f t="shared" ca="1" si="381"/>
        <v>0</v>
      </c>
      <c r="AX217" s="361">
        <f t="shared" ca="1" si="406"/>
        <v>0</v>
      </c>
      <c r="AY217" s="362">
        <f t="shared" ca="1" si="406"/>
        <v>0</v>
      </c>
      <c r="AZ217" s="363">
        <f t="shared" ca="1" si="394"/>
        <v>0</v>
      </c>
      <c r="BA217" s="360">
        <f t="shared" ca="1" si="382"/>
        <v>0</v>
      </c>
      <c r="BB217" s="361">
        <f t="shared" ca="1" si="407"/>
        <v>0</v>
      </c>
      <c r="BC217" s="362">
        <f t="shared" ca="1" si="407"/>
        <v>0</v>
      </c>
      <c r="BD217" s="363">
        <f t="shared" ca="1" si="395"/>
        <v>0</v>
      </c>
      <c r="BE217" s="360">
        <f t="shared" ca="1" si="383"/>
        <v>0</v>
      </c>
      <c r="BF217" s="361">
        <f t="shared" ca="1" si="408"/>
        <v>0</v>
      </c>
      <c r="BG217" s="362">
        <f t="shared" ca="1" si="408"/>
        <v>0</v>
      </c>
      <c r="BH217" s="363">
        <f t="shared" ca="1" si="396"/>
        <v>0</v>
      </c>
      <c r="BI217" s="360">
        <f t="shared" ca="1" si="384"/>
        <v>0</v>
      </c>
      <c r="BJ217" s="361">
        <f t="shared" ca="1" si="409"/>
        <v>0</v>
      </c>
      <c r="BK217" s="362">
        <f t="shared" ca="1" si="409"/>
        <v>0</v>
      </c>
      <c r="BL217" s="363">
        <f t="shared" ca="1" si="397"/>
        <v>0</v>
      </c>
      <c r="BM217" s="360">
        <f t="shared" ca="1" si="385"/>
        <v>0</v>
      </c>
      <c r="BN217" s="360">
        <f t="shared" ca="1" si="385"/>
        <v>0</v>
      </c>
      <c r="BP217" s="246"/>
    </row>
    <row r="218" spans="1:68">
      <c r="A218" s="221" t="str">
        <f t="shared" ca="1" si="372"/>
        <v>WP007</v>
      </c>
      <c r="B218" s="221" t="str">
        <f t="shared" ca="1" si="373"/>
        <v>WP007</v>
      </c>
      <c r="C218" s="221">
        <v>7</v>
      </c>
      <c r="D218" s="221" t="s">
        <v>82</v>
      </c>
      <c r="L218" s="221" t="s">
        <v>77</v>
      </c>
      <c r="M218" s="221" t="s">
        <v>80</v>
      </c>
      <c r="N218" s="461"/>
      <c r="O218" s="247"/>
      <c r="P218" s="248"/>
      <c r="Q218" s="249" t="str">
        <f>EMP_TYPE3</f>
        <v>Type 3</v>
      </c>
      <c r="R218" s="361">
        <f t="shared" ca="1" si="398"/>
        <v>0</v>
      </c>
      <c r="S218" s="362">
        <f t="shared" ca="1" si="398"/>
        <v>0</v>
      </c>
      <c r="T218" s="363">
        <f t="shared" ca="1" si="386"/>
        <v>0</v>
      </c>
      <c r="U218" s="360">
        <f t="shared" ca="1" si="374"/>
        <v>0</v>
      </c>
      <c r="V218" s="361">
        <f t="shared" ca="1" si="399"/>
        <v>0</v>
      </c>
      <c r="W218" s="362">
        <f t="shared" ca="1" si="399"/>
        <v>0</v>
      </c>
      <c r="X218" s="363">
        <f t="shared" ca="1" si="387"/>
        <v>0</v>
      </c>
      <c r="Y218" s="360">
        <f t="shared" ca="1" si="375"/>
        <v>0</v>
      </c>
      <c r="Z218" s="361">
        <f t="shared" ca="1" si="400"/>
        <v>0</v>
      </c>
      <c r="AA218" s="362">
        <f t="shared" ca="1" si="400"/>
        <v>0</v>
      </c>
      <c r="AB218" s="363">
        <f t="shared" ca="1" si="388"/>
        <v>0</v>
      </c>
      <c r="AC218" s="360">
        <f t="shared" ca="1" si="376"/>
        <v>0</v>
      </c>
      <c r="AD218" s="361">
        <f t="shared" ca="1" si="401"/>
        <v>0</v>
      </c>
      <c r="AE218" s="362">
        <f t="shared" ca="1" si="401"/>
        <v>0</v>
      </c>
      <c r="AF218" s="363">
        <f t="shared" ca="1" si="389"/>
        <v>0</v>
      </c>
      <c r="AG218" s="360">
        <f t="shared" ca="1" si="377"/>
        <v>0</v>
      </c>
      <c r="AH218" s="361">
        <f t="shared" ca="1" si="402"/>
        <v>0</v>
      </c>
      <c r="AI218" s="362">
        <f t="shared" ca="1" si="402"/>
        <v>0</v>
      </c>
      <c r="AJ218" s="363">
        <f t="shared" ca="1" si="390"/>
        <v>0</v>
      </c>
      <c r="AK218" s="360">
        <f t="shared" ca="1" si="378"/>
        <v>0</v>
      </c>
      <c r="AL218" s="361">
        <f t="shared" ca="1" si="403"/>
        <v>0</v>
      </c>
      <c r="AM218" s="362">
        <f t="shared" ca="1" si="403"/>
        <v>0</v>
      </c>
      <c r="AN218" s="363">
        <f t="shared" ca="1" si="391"/>
        <v>0</v>
      </c>
      <c r="AO218" s="360">
        <f t="shared" ca="1" si="379"/>
        <v>0</v>
      </c>
      <c r="AP218" s="361">
        <f t="shared" ca="1" si="404"/>
        <v>0</v>
      </c>
      <c r="AQ218" s="362">
        <f t="shared" ca="1" si="404"/>
        <v>0</v>
      </c>
      <c r="AR218" s="363">
        <f t="shared" ca="1" si="392"/>
        <v>0</v>
      </c>
      <c r="AS218" s="360">
        <f t="shared" ca="1" si="380"/>
        <v>0</v>
      </c>
      <c r="AT218" s="361">
        <f t="shared" ca="1" si="405"/>
        <v>0</v>
      </c>
      <c r="AU218" s="362">
        <f t="shared" ca="1" si="405"/>
        <v>0</v>
      </c>
      <c r="AV218" s="363">
        <f t="shared" ca="1" si="393"/>
        <v>0</v>
      </c>
      <c r="AW218" s="360">
        <f t="shared" ca="1" si="381"/>
        <v>0</v>
      </c>
      <c r="AX218" s="361">
        <f t="shared" ca="1" si="406"/>
        <v>0</v>
      </c>
      <c r="AY218" s="362">
        <f t="shared" ca="1" si="406"/>
        <v>0</v>
      </c>
      <c r="AZ218" s="363">
        <f t="shared" ca="1" si="394"/>
        <v>0</v>
      </c>
      <c r="BA218" s="360">
        <f t="shared" ca="1" si="382"/>
        <v>0</v>
      </c>
      <c r="BB218" s="361">
        <f t="shared" ca="1" si="407"/>
        <v>0</v>
      </c>
      <c r="BC218" s="362">
        <f t="shared" ca="1" si="407"/>
        <v>0</v>
      </c>
      <c r="BD218" s="363">
        <f t="shared" ca="1" si="395"/>
        <v>0</v>
      </c>
      <c r="BE218" s="360">
        <f t="shared" ca="1" si="383"/>
        <v>0</v>
      </c>
      <c r="BF218" s="361">
        <f t="shared" ca="1" si="408"/>
        <v>0</v>
      </c>
      <c r="BG218" s="362">
        <f t="shared" ca="1" si="408"/>
        <v>0</v>
      </c>
      <c r="BH218" s="363">
        <f t="shared" ca="1" si="396"/>
        <v>0</v>
      </c>
      <c r="BI218" s="360">
        <f t="shared" ca="1" si="384"/>
        <v>0</v>
      </c>
      <c r="BJ218" s="361">
        <f t="shared" ca="1" si="409"/>
        <v>0</v>
      </c>
      <c r="BK218" s="362">
        <f t="shared" ca="1" si="409"/>
        <v>0</v>
      </c>
      <c r="BL218" s="363">
        <f t="shared" ca="1" si="397"/>
        <v>0</v>
      </c>
      <c r="BM218" s="360">
        <f t="shared" ca="1" si="385"/>
        <v>0</v>
      </c>
      <c r="BN218" s="360">
        <f t="shared" ca="1" si="385"/>
        <v>0</v>
      </c>
      <c r="BP218" s="246"/>
    </row>
    <row r="219" spans="1:68">
      <c r="A219" s="221" t="str">
        <f t="shared" ca="1" si="372"/>
        <v>WP007</v>
      </c>
      <c r="B219" s="221" t="str">
        <f t="shared" ca="1" si="373"/>
        <v>WP007</v>
      </c>
      <c r="C219" s="221">
        <v>7</v>
      </c>
      <c r="D219" s="221" t="s">
        <v>83</v>
      </c>
      <c r="L219" s="221" t="s">
        <v>77</v>
      </c>
      <c r="M219" s="221" t="s">
        <v>80</v>
      </c>
      <c r="N219" s="461"/>
      <c r="O219" s="247"/>
      <c r="P219" s="248"/>
      <c r="Q219" s="249" t="str">
        <f>EMP_TYPE4</f>
        <v>Type 4</v>
      </c>
      <c r="R219" s="361">
        <f t="shared" ca="1" si="398"/>
        <v>0</v>
      </c>
      <c r="S219" s="362">
        <f t="shared" ca="1" si="398"/>
        <v>0</v>
      </c>
      <c r="T219" s="363">
        <f t="shared" ca="1" si="386"/>
        <v>0</v>
      </c>
      <c r="U219" s="360">
        <f t="shared" ca="1" si="374"/>
        <v>0</v>
      </c>
      <c r="V219" s="361">
        <f t="shared" ca="1" si="399"/>
        <v>0</v>
      </c>
      <c r="W219" s="362">
        <f t="shared" ca="1" si="399"/>
        <v>0</v>
      </c>
      <c r="X219" s="363">
        <f t="shared" ca="1" si="387"/>
        <v>0</v>
      </c>
      <c r="Y219" s="360">
        <f t="shared" ca="1" si="375"/>
        <v>0</v>
      </c>
      <c r="Z219" s="361">
        <f t="shared" ca="1" si="400"/>
        <v>0</v>
      </c>
      <c r="AA219" s="362">
        <f t="shared" ca="1" si="400"/>
        <v>0</v>
      </c>
      <c r="AB219" s="363">
        <f t="shared" ca="1" si="388"/>
        <v>0</v>
      </c>
      <c r="AC219" s="360">
        <f t="shared" ca="1" si="376"/>
        <v>0</v>
      </c>
      <c r="AD219" s="361">
        <f t="shared" ca="1" si="401"/>
        <v>0</v>
      </c>
      <c r="AE219" s="362">
        <f t="shared" ca="1" si="401"/>
        <v>0</v>
      </c>
      <c r="AF219" s="363">
        <f t="shared" ca="1" si="389"/>
        <v>0</v>
      </c>
      <c r="AG219" s="360">
        <f t="shared" ca="1" si="377"/>
        <v>0</v>
      </c>
      <c r="AH219" s="361">
        <f t="shared" ca="1" si="402"/>
        <v>0</v>
      </c>
      <c r="AI219" s="362">
        <f t="shared" ca="1" si="402"/>
        <v>0</v>
      </c>
      <c r="AJ219" s="363">
        <f t="shared" ca="1" si="390"/>
        <v>0</v>
      </c>
      <c r="AK219" s="360">
        <f t="shared" ca="1" si="378"/>
        <v>0</v>
      </c>
      <c r="AL219" s="361">
        <f t="shared" ca="1" si="403"/>
        <v>0</v>
      </c>
      <c r="AM219" s="362">
        <f t="shared" ca="1" si="403"/>
        <v>0</v>
      </c>
      <c r="AN219" s="363">
        <f t="shared" ca="1" si="391"/>
        <v>0</v>
      </c>
      <c r="AO219" s="360">
        <f t="shared" ca="1" si="379"/>
        <v>0</v>
      </c>
      <c r="AP219" s="361">
        <f t="shared" ca="1" si="404"/>
        <v>0</v>
      </c>
      <c r="AQ219" s="362">
        <f t="shared" ca="1" si="404"/>
        <v>0</v>
      </c>
      <c r="AR219" s="363">
        <f t="shared" ca="1" si="392"/>
        <v>0</v>
      </c>
      <c r="AS219" s="360">
        <f t="shared" ca="1" si="380"/>
        <v>0</v>
      </c>
      <c r="AT219" s="361">
        <f t="shared" ca="1" si="405"/>
        <v>0</v>
      </c>
      <c r="AU219" s="362">
        <f t="shared" ca="1" si="405"/>
        <v>0</v>
      </c>
      <c r="AV219" s="363">
        <f t="shared" ca="1" si="393"/>
        <v>0</v>
      </c>
      <c r="AW219" s="360">
        <f t="shared" ca="1" si="381"/>
        <v>0</v>
      </c>
      <c r="AX219" s="361">
        <f t="shared" ca="1" si="406"/>
        <v>0</v>
      </c>
      <c r="AY219" s="362">
        <f t="shared" ca="1" si="406"/>
        <v>0</v>
      </c>
      <c r="AZ219" s="363">
        <f t="shared" ca="1" si="394"/>
        <v>0</v>
      </c>
      <c r="BA219" s="360">
        <f t="shared" ca="1" si="382"/>
        <v>0</v>
      </c>
      <c r="BB219" s="361">
        <f t="shared" ca="1" si="407"/>
        <v>0</v>
      </c>
      <c r="BC219" s="362">
        <f t="shared" ca="1" si="407"/>
        <v>0</v>
      </c>
      <c r="BD219" s="363">
        <f t="shared" ca="1" si="395"/>
        <v>0</v>
      </c>
      <c r="BE219" s="360">
        <f t="shared" ca="1" si="383"/>
        <v>0</v>
      </c>
      <c r="BF219" s="361">
        <f t="shared" ca="1" si="408"/>
        <v>0</v>
      </c>
      <c r="BG219" s="362">
        <f t="shared" ca="1" si="408"/>
        <v>0</v>
      </c>
      <c r="BH219" s="363">
        <f t="shared" ca="1" si="396"/>
        <v>0</v>
      </c>
      <c r="BI219" s="360">
        <f t="shared" ca="1" si="384"/>
        <v>0</v>
      </c>
      <c r="BJ219" s="361">
        <f t="shared" ca="1" si="409"/>
        <v>0</v>
      </c>
      <c r="BK219" s="362">
        <f t="shared" ca="1" si="409"/>
        <v>0</v>
      </c>
      <c r="BL219" s="363">
        <f t="shared" ca="1" si="397"/>
        <v>0</v>
      </c>
      <c r="BM219" s="360">
        <f t="shared" ca="1" si="385"/>
        <v>0</v>
      </c>
      <c r="BN219" s="360">
        <f t="shared" ca="1" si="385"/>
        <v>0</v>
      </c>
      <c r="BP219" s="246"/>
    </row>
    <row r="220" spans="1:68">
      <c r="A220" s="221" t="str">
        <f t="shared" ca="1" si="372"/>
        <v>WP007</v>
      </c>
      <c r="B220" s="221" t="str">
        <f t="shared" ca="1" si="373"/>
        <v>WP007</v>
      </c>
      <c r="C220" s="221">
        <v>7</v>
      </c>
      <c r="D220" s="221" t="s">
        <v>84</v>
      </c>
      <c r="L220" s="221" t="s">
        <v>77</v>
      </c>
      <c r="M220" s="221" t="s">
        <v>80</v>
      </c>
      <c r="N220" s="461"/>
      <c r="O220" s="247"/>
      <c r="P220" s="248"/>
      <c r="Q220" s="249" t="str">
        <f>EMP_OTHER</f>
        <v>Type 5</v>
      </c>
      <c r="R220" s="361">
        <f t="shared" ca="1" si="398"/>
        <v>0</v>
      </c>
      <c r="S220" s="362">
        <f t="shared" ca="1" si="398"/>
        <v>0</v>
      </c>
      <c r="T220" s="363">
        <f t="shared" ca="1" si="386"/>
        <v>0</v>
      </c>
      <c r="U220" s="360">
        <f t="shared" ca="1" si="374"/>
        <v>0</v>
      </c>
      <c r="V220" s="361">
        <f t="shared" ca="1" si="399"/>
        <v>0</v>
      </c>
      <c r="W220" s="362">
        <f t="shared" ca="1" si="399"/>
        <v>0</v>
      </c>
      <c r="X220" s="363">
        <f t="shared" ca="1" si="387"/>
        <v>0</v>
      </c>
      <c r="Y220" s="360">
        <f t="shared" ca="1" si="375"/>
        <v>0</v>
      </c>
      <c r="Z220" s="361">
        <f t="shared" ca="1" si="400"/>
        <v>0</v>
      </c>
      <c r="AA220" s="362">
        <f t="shared" ca="1" si="400"/>
        <v>0</v>
      </c>
      <c r="AB220" s="363">
        <f t="shared" ca="1" si="388"/>
        <v>0</v>
      </c>
      <c r="AC220" s="360">
        <f t="shared" ca="1" si="376"/>
        <v>0</v>
      </c>
      <c r="AD220" s="361">
        <f t="shared" ca="1" si="401"/>
        <v>0</v>
      </c>
      <c r="AE220" s="362">
        <f t="shared" ca="1" si="401"/>
        <v>0</v>
      </c>
      <c r="AF220" s="363">
        <f t="shared" ca="1" si="389"/>
        <v>0</v>
      </c>
      <c r="AG220" s="360">
        <f t="shared" ca="1" si="377"/>
        <v>0</v>
      </c>
      <c r="AH220" s="361">
        <f t="shared" ca="1" si="402"/>
        <v>0</v>
      </c>
      <c r="AI220" s="362">
        <f t="shared" ca="1" si="402"/>
        <v>0</v>
      </c>
      <c r="AJ220" s="363">
        <f t="shared" ca="1" si="390"/>
        <v>0</v>
      </c>
      <c r="AK220" s="360">
        <f t="shared" ca="1" si="378"/>
        <v>0</v>
      </c>
      <c r="AL220" s="361">
        <f t="shared" ca="1" si="403"/>
        <v>0</v>
      </c>
      <c r="AM220" s="362">
        <f t="shared" ca="1" si="403"/>
        <v>0</v>
      </c>
      <c r="AN220" s="363">
        <f t="shared" ca="1" si="391"/>
        <v>0</v>
      </c>
      <c r="AO220" s="360">
        <f t="shared" ca="1" si="379"/>
        <v>0</v>
      </c>
      <c r="AP220" s="361">
        <f t="shared" ca="1" si="404"/>
        <v>0</v>
      </c>
      <c r="AQ220" s="362">
        <f t="shared" ca="1" si="404"/>
        <v>0</v>
      </c>
      <c r="AR220" s="363">
        <f t="shared" ca="1" si="392"/>
        <v>0</v>
      </c>
      <c r="AS220" s="360">
        <f t="shared" ca="1" si="380"/>
        <v>0</v>
      </c>
      <c r="AT220" s="361">
        <f t="shared" ca="1" si="405"/>
        <v>0</v>
      </c>
      <c r="AU220" s="362">
        <f t="shared" ca="1" si="405"/>
        <v>0</v>
      </c>
      <c r="AV220" s="363">
        <f t="shared" ca="1" si="393"/>
        <v>0</v>
      </c>
      <c r="AW220" s="360">
        <f t="shared" ca="1" si="381"/>
        <v>0</v>
      </c>
      <c r="AX220" s="361">
        <f t="shared" ca="1" si="406"/>
        <v>0</v>
      </c>
      <c r="AY220" s="362">
        <f t="shared" ca="1" si="406"/>
        <v>0</v>
      </c>
      <c r="AZ220" s="363">
        <f t="shared" ca="1" si="394"/>
        <v>0</v>
      </c>
      <c r="BA220" s="360">
        <f t="shared" ca="1" si="382"/>
        <v>0</v>
      </c>
      <c r="BB220" s="361">
        <f t="shared" ca="1" si="407"/>
        <v>0</v>
      </c>
      <c r="BC220" s="362">
        <f t="shared" ca="1" si="407"/>
        <v>0</v>
      </c>
      <c r="BD220" s="363">
        <f t="shared" ca="1" si="395"/>
        <v>0</v>
      </c>
      <c r="BE220" s="360">
        <f t="shared" ca="1" si="383"/>
        <v>0</v>
      </c>
      <c r="BF220" s="361">
        <f t="shared" ca="1" si="408"/>
        <v>0</v>
      </c>
      <c r="BG220" s="362">
        <f t="shared" ca="1" si="408"/>
        <v>0</v>
      </c>
      <c r="BH220" s="363">
        <f t="shared" ca="1" si="396"/>
        <v>0</v>
      </c>
      <c r="BI220" s="360">
        <f t="shared" ca="1" si="384"/>
        <v>0</v>
      </c>
      <c r="BJ220" s="361">
        <f t="shared" ca="1" si="409"/>
        <v>0</v>
      </c>
      <c r="BK220" s="362">
        <f t="shared" ca="1" si="409"/>
        <v>0</v>
      </c>
      <c r="BL220" s="363">
        <f t="shared" ca="1" si="397"/>
        <v>0</v>
      </c>
      <c r="BM220" s="360">
        <f t="shared" ca="1" si="385"/>
        <v>0</v>
      </c>
      <c r="BN220" s="360">
        <f t="shared" ca="1" si="385"/>
        <v>0</v>
      </c>
      <c r="BP220" s="246"/>
    </row>
    <row r="221" spans="1:68">
      <c r="A221" s="221" t="str">
        <f t="shared" ca="1" si="372"/>
        <v>WP007</v>
      </c>
      <c r="B221" s="221" t="str">
        <f t="shared" ca="1" si="373"/>
        <v>WP007</v>
      </c>
      <c r="C221" s="221">
        <v>6</v>
      </c>
      <c r="D221" s="221" t="s">
        <v>85</v>
      </c>
      <c r="J221" s="222" t="s">
        <v>75</v>
      </c>
      <c r="M221" s="221" t="s">
        <v>80</v>
      </c>
      <c r="N221" s="461"/>
      <c r="O221" s="250"/>
      <c r="P221" s="458" t="s">
        <v>86</v>
      </c>
      <c r="Q221" s="456"/>
      <c r="R221" s="364">
        <f t="shared" ca="1" si="398"/>
        <v>0</v>
      </c>
      <c r="S221" s="358">
        <f t="shared" ca="1" si="398"/>
        <v>0</v>
      </c>
      <c r="T221" s="359">
        <f t="shared" ca="1" si="386"/>
        <v>0</v>
      </c>
      <c r="U221" s="360">
        <f t="shared" ca="1" si="374"/>
        <v>0</v>
      </c>
      <c r="V221" s="364">
        <f t="shared" ca="1" si="399"/>
        <v>0</v>
      </c>
      <c r="W221" s="358">
        <f t="shared" ca="1" si="399"/>
        <v>0</v>
      </c>
      <c r="X221" s="359">
        <f t="shared" ca="1" si="387"/>
        <v>0</v>
      </c>
      <c r="Y221" s="360">
        <f t="shared" ca="1" si="375"/>
        <v>0</v>
      </c>
      <c r="Z221" s="364">
        <f t="shared" ca="1" si="400"/>
        <v>0</v>
      </c>
      <c r="AA221" s="358">
        <f t="shared" ca="1" si="400"/>
        <v>0</v>
      </c>
      <c r="AB221" s="359">
        <f t="shared" ca="1" si="388"/>
        <v>0</v>
      </c>
      <c r="AC221" s="360">
        <f t="shared" ca="1" si="376"/>
        <v>0</v>
      </c>
      <c r="AD221" s="364">
        <f t="shared" ca="1" si="401"/>
        <v>0</v>
      </c>
      <c r="AE221" s="358">
        <f t="shared" ca="1" si="401"/>
        <v>0</v>
      </c>
      <c r="AF221" s="359">
        <f t="shared" ca="1" si="389"/>
        <v>0</v>
      </c>
      <c r="AG221" s="360">
        <f t="shared" ca="1" si="377"/>
        <v>0</v>
      </c>
      <c r="AH221" s="364">
        <f t="shared" ca="1" si="402"/>
        <v>0</v>
      </c>
      <c r="AI221" s="358">
        <f t="shared" ca="1" si="402"/>
        <v>0</v>
      </c>
      <c r="AJ221" s="359">
        <f t="shared" ca="1" si="390"/>
        <v>0</v>
      </c>
      <c r="AK221" s="360">
        <f t="shared" ca="1" si="378"/>
        <v>0</v>
      </c>
      <c r="AL221" s="364">
        <f t="shared" ca="1" si="403"/>
        <v>0</v>
      </c>
      <c r="AM221" s="358">
        <f t="shared" ca="1" si="403"/>
        <v>0</v>
      </c>
      <c r="AN221" s="359">
        <f t="shared" ca="1" si="391"/>
        <v>0</v>
      </c>
      <c r="AO221" s="360">
        <f t="shared" ca="1" si="379"/>
        <v>0</v>
      </c>
      <c r="AP221" s="364">
        <f t="shared" ca="1" si="404"/>
        <v>0</v>
      </c>
      <c r="AQ221" s="358">
        <f t="shared" ca="1" si="404"/>
        <v>0</v>
      </c>
      <c r="AR221" s="359">
        <f t="shared" ca="1" si="392"/>
        <v>0</v>
      </c>
      <c r="AS221" s="360">
        <f t="shared" ca="1" si="380"/>
        <v>0</v>
      </c>
      <c r="AT221" s="364">
        <f t="shared" ca="1" si="405"/>
        <v>0</v>
      </c>
      <c r="AU221" s="358">
        <f t="shared" ca="1" si="405"/>
        <v>0</v>
      </c>
      <c r="AV221" s="359">
        <f t="shared" ca="1" si="393"/>
        <v>0</v>
      </c>
      <c r="AW221" s="360">
        <f t="shared" ca="1" si="381"/>
        <v>0</v>
      </c>
      <c r="AX221" s="364">
        <f t="shared" ca="1" si="406"/>
        <v>0</v>
      </c>
      <c r="AY221" s="358">
        <f t="shared" ca="1" si="406"/>
        <v>0</v>
      </c>
      <c r="AZ221" s="359">
        <f t="shared" ca="1" si="394"/>
        <v>0</v>
      </c>
      <c r="BA221" s="360">
        <f t="shared" ca="1" si="382"/>
        <v>0</v>
      </c>
      <c r="BB221" s="364">
        <f t="shared" ca="1" si="407"/>
        <v>0</v>
      </c>
      <c r="BC221" s="358">
        <f t="shared" ca="1" si="407"/>
        <v>0</v>
      </c>
      <c r="BD221" s="359">
        <f t="shared" ca="1" si="395"/>
        <v>0</v>
      </c>
      <c r="BE221" s="360">
        <f t="shared" ca="1" si="383"/>
        <v>0</v>
      </c>
      <c r="BF221" s="364">
        <f t="shared" ca="1" si="408"/>
        <v>0</v>
      </c>
      <c r="BG221" s="358">
        <f t="shared" ca="1" si="408"/>
        <v>0</v>
      </c>
      <c r="BH221" s="359">
        <f t="shared" ca="1" si="396"/>
        <v>0</v>
      </c>
      <c r="BI221" s="360">
        <f t="shared" ca="1" si="384"/>
        <v>0</v>
      </c>
      <c r="BJ221" s="364">
        <f t="shared" ca="1" si="409"/>
        <v>0</v>
      </c>
      <c r="BK221" s="358">
        <f t="shared" ca="1" si="409"/>
        <v>0</v>
      </c>
      <c r="BL221" s="359">
        <f t="shared" ca="1" si="397"/>
        <v>0</v>
      </c>
      <c r="BM221" s="360">
        <f t="shared" ca="1" si="385"/>
        <v>0</v>
      </c>
      <c r="BN221" s="360">
        <f t="shared" ca="1" si="385"/>
        <v>0</v>
      </c>
      <c r="BP221" s="246"/>
    </row>
    <row r="222" spans="1:68">
      <c r="A222" s="221" t="str">
        <f t="shared" ca="1" si="372"/>
        <v>WP007</v>
      </c>
      <c r="B222" s="221" t="str">
        <f t="shared" ca="1" si="373"/>
        <v>WP007</v>
      </c>
      <c r="C222" s="221">
        <v>6</v>
      </c>
      <c r="D222" s="221" t="s">
        <v>87</v>
      </c>
      <c r="J222" s="222" t="s">
        <v>75</v>
      </c>
      <c r="M222" s="221" t="s">
        <v>80</v>
      </c>
      <c r="N222" s="461"/>
      <c r="O222" s="250"/>
      <c r="P222" s="458" t="s">
        <v>88</v>
      </c>
      <c r="Q222" s="456"/>
      <c r="R222" s="364">
        <f t="shared" ca="1" si="398"/>
        <v>0</v>
      </c>
      <c r="S222" s="358">
        <f t="shared" ca="1" si="398"/>
        <v>0</v>
      </c>
      <c r="T222" s="359">
        <f t="shared" ca="1" si="386"/>
        <v>0</v>
      </c>
      <c r="U222" s="360">
        <f t="shared" ca="1" si="374"/>
        <v>0</v>
      </c>
      <c r="V222" s="364">
        <f t="shared" ca="1" si="399"/>
        <v>0</v>
      </c>
      <c r="W222" s="358">
        <f t="shared" ca="1" si="399"/>
        <v>0</v>
      </c>
      <c r="X222" s="359">
        <f t="shared" ca="1" si="387"/>
        <v>0</v>
      </c>
      <c r="Y222" s="360">
        <f t="shared" ca="1" si="375"/>
        <v>0</v>
      </c>
      <c r="Z222" s="364">
        <f t="shared" ca="1" si="400"/>
        <v>0</v>
      </c>
      <c r="AA222" s="358">
        <f t="shared" ca="1" si="400"/>
        <v>0</v>
      </c>
      <c r="AB222" s="359">
        <f t="shared" ca="1" si="388"/>
        <v>0</v>
      </c>
      <c r="AC222" s="360">
        <f t="shared" ca="1" si="376"/>
        <v>0</v>
      </c>
      <c r="AD222" s="364">
        <f t="shared" ca="1" si="401"/>
        <v>0</v>
      </c>
      <c r="AE222" s="358">
        <f t="shared" ca="1" si="401"/>
        <v>0</v>
      </c>
      <c r="AF222" s="359">
        <f t="shared" ca="1" si="389"/>
        <v>0</v>
      </c>
      <c r="AG222" s="360">
        <f t="shared" ca="1" si="377"/>
        <v>0</v>
      </c>
      <c r="AH222" s="364">
        <f t="shared" ca="1" si="402"/>
        <v>0</v>
      </c>
      <c r="AI222" s="358">
        <f t="shared" ca="1" si="402"/>
        <v>0</v>
      </c>
      <c r="AJ222" s="359">
        <f t="shared" ca="1" si="390"/>
        <v>0</v>
      </c>
      <c r="AK222" s="360">
        <f t="shared" ca="1" si="378"/>
        <v>0</v>
      </c>
      <c r="AL222" s="364">
        <f t="shared" ca="1" si="403"/>
        <v>0</v>
      </c>
      <c r="AM222" s="358">
        <f t="shared" ca="1" si="403"/>
        <v>0</v>
      </c>
      <c r="AN222" s="359">
        <f t="shared" ca="1" si="391"/>
        <v>0</v>
      </c>
      <c r="AO222" s="360">
        <f t="shared" ca="1" si="379"/>
        <v>0</v>
      </c>
      <c r="AP222" s="364">
        <f t="shared" ca="1" si="404"/>
        <v>0</v>
      </c>
      <c r="AQ222" s="358">
        <f t="shared" ca="1" si="404"/>
        <v>0</v>
      </c>
      <c r="AR222" s="359">
        <f t="shared" ca="1" si="392"/>
        <v>0</v>
      </c>
      <c r="AS222" s="360">
        <f t="shared" ca="1" si="380"/>
        <v>0</v>
      </c>
      <c r="AT222" s="364">
        <f t="shared" ca="1" si="405"/>
        <v>0</v>
      </c>
      <c r="AU222" s="358">
        <f t="shared" ca="1" si="405"/>
        <v>0</v>
      </c>
      <c r="AV222" s="359">
        <f t="shared" ca="1" si="393"/>
        <v>0</v>
      </c>
      <c r="AW222" s="360">
        <f t="shared" ca="1" si="381"/>
        <v>0</v>
      </c>
      <c r="AX222" s="364">
        <f t="shared" ca="1" si="406"/>
        <v>0</v>
      </c>
      <c r="AY222" s="358">
        <f t="shared" ca="1" si="406"/>
        <v>0</v>
      </c>
      <c r="AZ222" s="359">
        <f t="shared" ca="1" si="394"/>
        <v>0</v>
      </c>
      <c r="BA222" s="360">
        <f t="shared" ca="1" si="382"/>
        <v>0</v>
      </c>
      <c r="BB222" s="364">
        <f t="shared" ca="1" si="407"/>
        <v>0</v>
      </c>
      <c r="BC222" s="358">
        <f t="shared" ca="1" si="407"/>
        <v>0</v>
      </c>
      <c r="BD222" s="359">
        <f t="shared" ca="1" si="395"/>
        <v>0</v>
      </c>
      <c r="BE222" s="360">
        <f t="shared" ca="1" si="383"/>
        <v>0</v>
      </c>
      <c r="BF222" s="364">
        <f t="shared" ca="1" si="408"/>
        <v>0</v>
      </c>
      <c r="BG222" s="358">
        <f t="shared" ca="1" si="408"/>
        <v>0</v>
      </c>
      <c r="BH222" s="359">
        <f t="shared" ca="1" si="396"/>
        <v>0</v>
      </c>
      <c r="BI222" s="360">
        <f t="shared" ca="1" si="384"/>
        <v>0</v>
      </c>
      <c r="BJ222" s="364">
        <f t="shared" ca="1" si="409"/>
        <v>0</v>
      </c>
      <c r="BK222" s="358">
        <f t="shared" ca="1" si="409"/>
        <v>0</v>
      </c>
      <c r="BL222" s="359">
        <f t="shared" ca="1" si="397"/>
        <v>0</v>
      </c>
      <c r="BM222" s="360">
        <f t="shared" ca="1" si="385"/>
        <v>0</v>
      </c>
      <c r="BN222" s="360">
        <f t="shared" ca="1" si="385"/>
        <v>0</v>
      </c>
      <c r="BP222" s="246"/>
    </row>
    <row r="223" spans="1:68">
      <c r="A223" s="221" t="str">
        <f t="shared" ca="1" si="372"/>
        <v>WP007</v>
      </c>
      <c r="B223" s="221" t="str">
        <f t="shared" ca="1" si="373"/>
        <v>WP007</v>
      </c>
      <c r="C223" s="221">
        <v>6</v>
      </c>
      <c r="D223" s="221" t="s">
        <v>89</v>
      </c>
      <c r="J223" s="222" t="s">
        <v>75</v>
      </c>
      <c r="M223" s="221" t="s">
        <v>80</v>
      </c>
      <c r="N223" s="461"/>
      <c r="O223" s="250"/>
      <c r="P223" s="458" t="s">
        <v>90</v>
      </c>
      <c r="Q223" s="456"/>
      <c r="R223" s="364">
        <f t="shared" ca="1" si="398"/>
        <v>0</v>
      </c>
      <c r="S223" s="358">
        <f t="shared" ca="1" si="398"/>
        <v>0</v>
      </c>
      <c r="T223" s="359">
        <f t="shared" ca="1" si="386"/>
        <v>0</v>
      </c>
      <c r="U223" s="360">
        <f t="shared" ca="1" si="374"/>
        <v>0</v>
      </c>
      <c r="V223" s="364">
        <f t="shared" ca="1" si="399"/>
        <v>0</v>
      </c>
      <c r="W223" s="358">
        <f t="shared" ca="1" si="399"/>
        <v>0</v>
      </c>
      <c r="X223" s="359">
        <f t="shared" ca="1" si="387"/>
        <v>0</v>
      </c>
      <c r="Y223" s="360">
        <f t="shared" ca="1" si="375"/>
        <v>0</v>
      </c>
      <c r="Z223" s="364">
        <f t="shared" ca="1" si="400"/>
        <v>0</v>
      </c>
      <c r="AA223" s="358">
        <f t="shared" ca="1" si="400"/>
        <v>0</v>
      </c>
      <c r="AB223" s="359">
        <f t="shared" ca="1" si="388"/>
        <v>0</v>
      </c>
      <c r="AC223" s="360">
        <f t="shared" ca="1" si="376"/>
        <v>0</v>
      </c>
      <c r="AD223" s="364">
        <f t="shared" ca="1" si="401"/>
        <v>0</v>
      </c>
      <c r="AE223" s="358">
        <f t="shared" ca="1" si="401"/>
        <v>0</v>
      </c>
      <c r="AF223" s="359">
        <f t="shared" ca="1" si="389"/>
        <v>0</v>
      </c>
      <c r="AG223" s="360">
        <f t="shared" ca="1" si="377"/>
        <v>0</v>
      </c>
      <c r="AH223" s="364">
        <f t="shared" ca="1" si="402"/>
        <v>0</v>
      </c>
      <c r="AI223" s="358">
        <f t="shared" ca="1" si="402"/>
        <v>0</v>
      </c>
      <c r="AJ223" s="359">
        <f t="shared" ca="1" si="390"/>
        <v>0</v>
      </c>
      <c r="AK223" s="360">
        <f t="shared" ca="1" si="378"/>
        <v>0</v>
      </c>
      <c r="AL223" s="364">
        <f t="shared" ca="1" si="403"/>
        <v>0</v>
      </c>
      <c r="AM223" s="358">
        <f t="shared" ca="1" si="403"/>
        <v>0</v>
      </c>
      <c r="AN223" s="359">
        <f t="shared" ca="1" si="391"/>
        <v>0</v>
      </c>
      <c r="AO223" s="360">
        <f t="shared" ca="1" si="379"/>
        <v>0</v>
      </c>
      <c r="AP223" s="364">
        <f t="shared" ca="1" si="404"/>
        <v>0</v>
      </c>
      <c r="AQ223" s="358">
        <f t="shared" ca="1" si="404"/>
        <v>0</v>
      </c>
      <c r="AR223" s="359">
        <f t="shared" ca="1" si="392"/>
        <v>0</v>
      </c>
      <c r="AS223" s="360">
        <f t="shared" ca="1" si="380"/>
        <v>0</v>
      </c>
      <c r="AT223" s="364">
        <f t="shared" ca="1" si="405"/>
        <v>0</v>
      </c>
      <c r="AU223" s="358">
        <f t="shared" ca="1" si="405"/>
        <v>0</v>
      </c>
      <c r="AV223" s="359">
        <f t="shared" ca="1" si="393"/>
        <v>0</v>
      </c>
      <c r="AW223" s="360">
        <f t="shared" ca="1" si="381"/>
        <v>0</v>
      </c>
      <c r="AX223" s="364">
        <f t="shared" ca="1" si="406"/>
        <v>0</v>
      </c>
      <c r="AY223" s="358">
        <f t="shared" ca="1" si="406"/>
        <v>0</v>
      </c>
      <c r="AZ223" s="359">
        <f t="shared" ca="1" si="394"/>
        <v>0</v>
      </c>
      <c r="BA223" s="360">
        <f t="shared" ca="1" si="382"/>
        <v>0</v>
      </c>
      <c r="BB223" s="364">
        <f t="shared" ca="1" si="407"/>
        <v>0</v>
      </c>
      <c r="BC223" s="358">
        <f t="shared" ca="1" si="407"/>
        <v>0</v>
      </c>
      <c r="BD223" s="359">
        <f t="shared" ca="1" si="395"/>
        <v>0</v>
      </c>
      <c r="BE223" s="360">
        <f t="shared" ca="1" si="383"/>
        <v>0</v>
      </c>
      <c r="BF223" s="364">
        <f t="shared" ca="1" si="408"/>
        <v>0</v>
      </c>
      <c r="BG223" s="358">
        <f t="shared" ca="1" si="408"/>
        <v>0</v>
      </c>
      <c r="BH223" s="359">
        <f t="shared" ca="1" si="396"/>
        <v>0</v>
      </c>
      <c r="BI223" s="360">
        <f t="shared" ca="1" si="384"/>
        <v>0</v>
      </c>
      <c r="BJ223" s="364">
        <f t="shared" ca="1" si="409"/>
        <v>0</v>
      </c>
      <c r="BK223" s="358">
        <f t="shared" ca="1" si="409"/>
        <v>0</v>
      </c>
      <c r="BL223" s="359">
        <f t="shared" ca="1" si="397"/>
        <v>0</v>
      </c>
      <c r="BM223" s="360">
        <f t="shared" ca="1" si="385"/>
        <v>0</v>
      </c>
      <c r="BN223" s="360">
        <f t="shared" ca="1" si="385"/>
        <v>0</v>
      </c>
      <c r="BP223" s="246"/>
    </row>
    <row r="224" spans="1:68">
      <c r="A224" s="221" t="str">
        <f t="shared" ca="1" si="372"/>
        <v>WP007</v>
      </c>
      <c r="B224" s="221" t="str">
        <f t="shared" ca="1" si="373"/>
        <v>WP007</v>
      </c>
      <c r="C224" s="221">
        <v>6</v>
      </c>
      <c r="D224" s="221" t="s">
        <v>91</v>
      </c>
      <c r="J224" s="222" t="s">
        <v>75</v>
      </c>
      <c r="M224" s="221" t="s">
        <v>80</v>
      </c>
      <c r="N224" s="461"/>
      <c r="O224" s="250"/>
      <c r="P224" s="458" t="s">
        <v>92</v>
      </c>
      <c r="Q224" s="456"/>
      <c r="R224" s="364">
        <f t="shared" ca="1" si="398"/>
        <v>0</v>
      </c>
      <c r="S224" s="358">
        <f t="shared" ca="1" si="398"/>
        <v>0</v>
      </c>
      <c r="T224" s="359">
        <f t="shared" ca="1" si="386"/>
        <v>0</v>
      </c>
      <c r="U224" s="360">
        <f t="shared" ca="1" si="374"/>
        <v>0</v>
      </c>
      <c r="V224" s="364">
        <f t="shared" ca="1" si="399"/>
        <v>0</v>
      </c>
      <c r="W224" s="358">
        <f t="shared" ca="1" si="399"/>
        <v>0</v>
      </c>
      <c r="X224" s="359">
        <f t="shared" ca="1" si="387"/>
        <v>0</v>
      </c>
      <c r="Y224" s="360">
        <f t="shared" ca="1" si="375"/>
        <v>0</v>
      </c>
      <c r="Z224" s="364">
        <f t="shared" ca="1" si="400"/>
        <v>0</v>
      </c>
      <c r="AA224" s="358">
        <f t="shared" ca="1" si="400"/>
        <v>0</v>
      </c>
      <c r="AB224" s="359">
        <f t="shared" ca="1" si="388"/>
        <v>0</v>
      </c>
      <c r="AC224" s="360">
        <f t="shared" ca="1" si="376"/>
        <v>0</v>
      </c>
      <c r="AD224" s="364">
        <f t="shared" ca="1" si="401"/>
        <v>0</v>
      </c>
      <c r="AE224" s="358">
        <f t="shared" ca="1" si="401"/>
        <v>0</v>
      </c>
      <c r="AF224" s="359">
        <f t="shared" ca="1" si="389"/>
        <v>0</v>
      </c>
      <c r="AG224" s="360">
        <f t="shared" ca="1" si="377"/>
        <v>0</v>
      </c>
      <c r="AH224" s="364">
        <f t="shared" ca="1" si="402"/>
        <v>0</v>
      </c>
      <c r="AI224" s="358">
        <f t="shared" ca="1" si="402"/>
        <v>0</v>
      </c>
      <c r="AJ224" s="359">
        <f t="shared" ca="1" si="390"/>
        <v>0</v>
      </c>
      <c r="AK224" s="360">
        <f t="shared" ca="1" si="378"/>
        <v>0</v>
      </c>
      <c r="AL224" s="364">
        <f t="shared" ca="1" si="403"/>
        <v>0</v>
      </c>
      <c r="AM224" s="358">
        <f t="shared" ca="1" si="403"/>
        <v>0</v>
      </c>
      <c r="AN224" s="359">
        <f t="shared" ca="1" si="391"/>
        <v>0</v>
      </c>
      <c r="AO224" s="360">
        <f t="shared" ca="1" si="379"/>
        <v>0</v>
      </c>
      <c r="AP224" s="364">
        <f t="shared" ca="1" si="404"/>
        <v>0</v>
      </c>
      <c r="AQ224" s="358">
        <f t="shared" ca="1" si="404"/>
        <v>0</v>
      </c>
      <c r="AR224" s="359">
        <f t="shared" ca="1" si="392"/>
        <v>0</v>
      </c>
      <c r="AS224" s="360">
        <f t="shared" ca="1" si="380"/>
        <v>0</v>
      </c>
      <c r="AT224" s="364">
        <f t="shared" ca="1" si="405"/>
        <v>0</v>
      </c>
      <c r="AU224" s="358">
        <f t="shared" ca="1" si="405"/>
        <v>0</v>
      </c>
      <c r="AV224" s="359">
        <f t="shared" ca="1" si="393"/>
        <v>0</v>
      </c>
      <c r="AW224" s="360">
        <f t="shared" ca="1" si="381"/>
        <v>0</v>
      </c>
      <c r="AX224" s="364">
        <f t="shared" ca="1" si="406"/>
        <v>0</v>
      </c>
      <c r="AY224" s="358">
        <f t="shared" ca="1" si="406"/>
        <v>0</v>
      </c>
      <c r="AZ224" s="359">
        <f t="shared" ca="1" si="394"/>
        <v>0</v>
      </c>
      <c r="BA224" s="360">
        <f t="shared" ca="1" si="382"/>
        <v>0</v>
      </c>
      <c r="BB224" s="364">
        <f t="shared" ca="1" si="407"/>
        <v>0</v>
      </c>
      <c r="BC224" s="358">
        <f t="shared" ca="1" si="407"/>
        <v>0</v>
      </c>
      <c r="BD224" s="359">
        <f t="shared" ca="1" si="395"/>
        <v>0</v>
      </c>
      <c r="BE224" s="360">
        <f t="shared" ca="1" si="383"/>
        <v>0</v>
      </c>
      <c r="BF224" s="364">
        <f t="shared" ca="1" si="408"/>
        <v>0</v>
      </c>
      <c r="BG224" s="358">
        <f t="shared" ca="1" si="408"/>
        <v>0</v>
      </c>
      <c r="BH224" s="359">
        <f t="shared" ca="1" si="396"/>
        <v>0</v>
      </c>
      <c r="BI224" s="360">
        <f t="shared" ca="1" si="384"/>
        <v>0</v>
      </c>
      <c r="BJ224" s="364">
        <f t="shared" ca="1" si="409"/>
        <v>0</v>
      </c>
      <c r="BK224" s="358">
        <f t="shared" ca="1" si="409"/>
        <v>0</v>
      </c>
      <c r="BL224" s="359">
        <f t="shared" ca="1" si="397"/>
        <v>0</v>
      </c>
      <c r="BM224" s="360">
        <f t="shared" ca="1" si="385"/>
        <v>0</v>
      </c>
      <c r="BN224" s="360">
        <f t="shared" ca="1" si="385"/>
        <v>0</v>
      </c>
    </row>
    <row r="225" spans="1:66">
      <c r="A225" s="221" t="str">
        <f t="shared" ca="1" si="372"/>
        <v>WP007</v>
      </c>
      <c r="B225" s="221" t="str">
        <f t="shared" ca="1" si="373"/>
        <v>WP007</v>
      </c>
      <c r="C225" s="221">
        <v>4</v>
      </c>
      <c r="D225" s="221" t="s">
        <v>93</v>
      </c>
      <c r="H225" s="221" t="s">
        <v>74</v>
      </c>
      <c r="I225" s="221" t="s">
        <v>94</v>
      </c>
      <c r="M225" s="221" t="s">
        <v>80</v>
      </c>
      <c r="N225" s="461"/>
      <c r="O225" s="452" t="s">
        <v>65</v>
      </c>
      <c r="P225" s="453"/>
      <c r="Q225" s="453"/>
      <c r="R225" s="365">
        <f t="shared" ca="1" si="398"/>
        <v>0</v>
      </c>
      <c r="S225" s="354">
        <f t="shared" ca="1" si="398"/>
        <v>0</v>
      </c>
      <c r="T225" s="355">
        <f t="shared" ca="1" si="386"/>
        <v>0</v>
      </c>
      <c r="U225" s="356">
        <f t="shared" ca="1" si="374"/>
        <v>0</v>
      </c>
      <c r="V225" s="365">
        <f t="shared" ca="1" si="399"/>
        <v>0</v>
      </c>
      <c r="W225" s="354">
        <f t="shared" ca="1" si="399"/>
        <v>0</v>
      </c>
      <c r="X225" s="355">
        <f t="shared" ca="1" si="387"/>
        <v>0</v>
      </c>
      <c r="Y225" s="356">
        <f t="shared" ca="1" si="375"/>
        <v>0</v>
      </c>
      <c r="Z225" s="365">
        <f t="shared" ca="1" si="400"/>
        <v>0</v>
      </c>
      <c r="AA225" s="354">
        <f t="shared" ca="1" si="400"/>
        <v>0</v>
      </c>
      <c r="AB225" s="355">
        <f t="shared" ca="1" si="388"/>
        <v>0</v>
      </c>
      <c r="AC225" s="356">
        <f t="shared" ca="1" si="376"/>
        <v>0</v>
      </c>
      <c r="AD225" s="365">
        <f t="shared" ca="1" si="401"/>
        <v>0</v>
      </c>
      <c r="AE225" s="354">
        <f t="shared" ca="1" si="401"/>
        <v>0</v>
      </c>
      <c r="AF225" s="355">
        <f t="shared" ca="1" si="389"/>
        <v>0</v>
      </c>
      <c r="AG225" s="356">
        <f t="shared" ca="1" si="377"/>
        <v>0</v>
      </c>
      <c r="AH225" s="365">
        <f t="shared" ca="1" si="402"/>
        <v>0</v>
      </c>
      <c r="AI225" s="354">
        <f t="shared" ca="1" si="402"/>
        <v>0</v>
      </c>
      <c r="AJ225" s="355">
        <f t="shared" ca="1" si="390"/>
        <v>0</v>
      </c>
      <c r="AK225" s="356">
        <f t="shared" ca="1" si="378"/>
        <v>0</v>
      </c>
      <c r="AL225" s="365">
        <f t="shared" ca="1" si="403"/>
        <v>0</v>
      </c>
      <c r="AM225" s="354">
        <f t="shared" ca="1" si="403"/>
        <v>0</v>
      </c>
      <c r="AN225" s="355">
        <f t="shared" ca="1" si="391"/>
        <v>0</v>
      </c>
      <c r="AO225" s="356">
        <f t="shared" ca="1" si="379"/>
        <v>0</v>
      </c>
      <c r="AP225" s="365">
        <f t="shared" ca="1" si="404"/>
        <v>0</v>
      </c>
      <c r="AQ225" s="354">
        <f t="shared" ca="1" si="404"/>
        <v>0</v>
      </c>
      <c r="AR225" s="355">
        <f t="shared" ca="1" si="392"/>
        <v>0</v>
      </c>
      <c r="AS225" s="356">
        <f t="shared" ca="1" si="380"/>
        <v>0</v>
      </c>
      <c r="AT225" s="365">
        <f t="shared" ca="1" si="405"/>
        <v>0</v>
      </c>
      <c r="AU225" s="354">
        <f t="shared" ca="1" si="405"/>
        <v>0</v>
      </c>
      <c r="AV225" s="355">
        <f t="shared" ca="1" si="393"/>
        <v>0</v>
      </c>
      <c r="AW225" s="356">
        <f t="shared" ca="1" si="381"/>
        <v>0</v>
      </c>
      <c r="AX225" s="365">
        <f t="shared" ca="1" si="406"/>
        <v>0</v>
      </c>
      <c r="AY225" s="354">
        <f t="shared" ca="1" si="406"/>
        <v>0</v>
      </c>
      <c r="AZ225" s="355">
        <f t="shared" ca="1" si="394"/>
        <v>0</v>
      </c>
      <c r="BA225" s="356">
        <f t="shared" ca="1" si="382"/>
        <v>0</v>
      </c>
      <c r="BB225" s="365">
        <f t="shared" ca="1" si="407"/>
        <v>0</v>
      </c>
      <c r="BC225" s="354">
        <f t="shared" ca="1" si="407"/>
        <v>0</v>
      </c>
      <c r="BD225" s="355">
        <f t="shared" ca="1" si="395"/>
        <v>0</v>
      </c>
      <c r="BE225" s="356">
        <f t="shared" ca="1" si="383"/>
        <v>0</v>
      </c>
      <c r="BF225" s="365">
        <f t="shared" ca="1" si="408"/>
        <v>0</v>
      </c>
      <c r="BG225" s="354">
        <f t="shared" ca="1" si="408"/>
        <v>0</v>
      </c>
      <c r="BH225" s="355">
        <f t="shared" ca="1" si="396"/>
        <v>0</v>
      </c>
      <c r="BI225" s="356">
        <f t="shared" ca="1" si="384"/>
        <v>0</v>
      </c>
      <c r="BJ225" s="365">
        <f t="shared" ca="1" si="409"/>
        <v>0</v>
      </c>
      <c r="BK225" s="354">
        <f t="shared" ca="1" si="409"/>
        <v>0</v>
      </c>
      <c r="BL225" s="355">
        <f t="shared" ca="1" si="397"/>
        <v>0</v>
      </c>
      <c r="BM225" s="356">
        <f t="shared" ca="1" si="385"/>
        <v>0</v>
      </c>
      <c r="BN225" s="356">
        <f t="shared" ca="1" si="385"/>
        <v>0</v>
      </c>
    </row>
    <row r="226" spans="1:66">
      <c r="A226" s="221" t="str">
        <f t="shared" ca="1" si="372"/>
        <v>WP007</v>
      </c>
      <c r="B226" s="221" t="str">
        <f t="shared" ca="1" si="373"/>
        <v>WP007</v>
      </c>
      <c r="C226" s="221">
        <v>4</v>
      </c>
      <c r="D226" s="221" t="s">
        <v>95</v>
      </c>
      <c r="H226" s="221" t="s">
        <v>74</v>
      </c>
      <c r="I226" s="221" t="s">
        <v>96</v>
      </c>
      <c r="M226" s="221" t="s">
        <v>46</v>
      </c>
      <c r="N226" s="461"/>
      <c r="O226" s="452" t="s">
        <v>97</v>
      </c>
      <c r="P226" s="453"/>
      <c r="Q226" s="453"/>
      <c r="R226" s="353"/>
      <c r="S226" s="354"/>
      <c r="T226" s="355">
        <f t="shared" ca="1" si="386"/>
        <v>0</v>
      </c>
      <c r="U226" s="356">
        <f t="shared" ca="1" si="374"/>
        <v>0</v>
      </c>
      <c r="V226" s="353"/>
      <c r="W226" s="354"/>
      <c r="X226" s="355">
        <f t="shared" ca="1" si="387"/>
        <v>0</v>
      </c>
      <c r="Y226" s="356">
        <f t="shared" ca="1" si="375"/>
        <v>0</v>
      </c>
      <c r="Z226" s="353"/>
      <c r="AA226" s="354"/>
      <c r="AB226" s="355">
        <f t="shared" ca="1" si="388"/>
        <v>0</v>
      </c>
      <c r="AC226" s="356">
        <f t="shared" ca="1" si="376"/>
        <v>0</v>
      </c>
      <c r="AD226" s="353"/>
      <c r="AE226" s="354"/>
      <c r="AF226" s="355">
        <f t="shared" ca="1" si="389"/>
        <v>0</v>
      </c>
      <c r="AG226" s="356">
        <f t="shared" ca="1" si="377"/>
        <v>0</v>
      </c>
      <c r="AH226" s="353"/>
      <c r="AI226" s="354"/>
      <c r="AJ226" s="355">
        <f t="shared" ca="1" si="390"/>
        <v>0</v>
      </c>
      <c r="AK226" s="356">
        <f t="shared" ca="1" si="378"/>
        <v>0</v>
      </c>
      <c r="AL226" s="353"/>
      <c r="AM226" s="354"/>
      <c r="AN226" s="355">
        <f t="shared" ca="1" si="391"/>
        <v>0</v>
      </c>
      <c r="AO226" s="356">
        <f t="shared" ca="1" si="379"/>
        <v>0</v>
      </c>
      <c r="AP226" s="353"/>
      <c r="AQ226" s="354"/>
      <c r="AR226" s="355">
        <f t="shared" ca="1" si="392"/>
        <v>0</v>
      </c>
      <c r="AS226" s="356">
        <f t="shared" ca="1" si="380"/>
        <v>0</v>
      </c>
      <c r="AT226" s="353"/>
      <c r="AU226" s="354"/>
      <c r="AV226" s="355">
        <f t="shared" ca="1" si="393"/>
        <v>0</v>
      </c>
      <c r="AW226" s="356">
        <f t="shared" ca="1" si="381"/>
        <v>0</v>
      </c>
      <c r="AX226" s="353"/>
      <c r="AY226" s="354"/>
      <c r="AZ226" s="355">
        <f t="shared" ca="1" si="394"/>
        <v>0</v>
      </c>
      <c r="BA226" s="356">
        <f t="shared" ca="1" si="382"/>
        <v>0</v>
      </c>
      <c r="BB226" s="353"/>
      <c r="BC226" s="354"/>
      <c r="BD226" s="355">
        <f t="shared" ca="1" si="395"/>
        <v>0</v>
      </c>
      <c r="BE226" s="356">
        <f t="shared" ca="1" si="383"/>
        <v>0</v>
      </c>
      <c r="BF226" s="353"/>
      <c r="BG226" s="354"/>
      <c r="BH226" s="355">
        <f t="shared" ca="1" si="396"/>
        <v>0</v>
      </c>
      <c r="BI226" s="356">
        <f t="shared" ca="1" si="384"/>
        <v>0</v>
      </c>
      <c r="BJ226" s="353"/>
      <c r="BK226" s="354"/>
      <c r="BL226" s="355">
        <f t="shared" ca="1" si="397"/>
        <v>0</v>
      </c>
      <c r="BM226" s="356">
        <f t="shared" ca="1" si="385"/>
        <v>0</v>
      </c>
      <c r="BN226" s="356">
        <f t="shared" ca="1" si="385"/>
        <v>0</v>
      </c>
    </row>
    <row r="227" spans="1:66">
      <c r="A227" s="221" t="str">
        <f t="shared" ca="1" si="372"/>
        <v>WP007</v>
      </c>
      <c r="B227" s="221" t="str">
        <f t="shared" ca="1" si="373"/>
        <v>WP007</v>
      </c>
      <c r="C227" s="221">
        <v>6</v>
      </c>
      <c r="D227" s="221" t="s">
        <v>98</v>
      </c>
      <c r="J227" s="222" t="s">
        <v>96</v>
      </c>
      <c r="K227" s="221" t="s">
        <v>99</v>
      </c>
      <c r="M227" s="221" t="s">
        <v>46</v>
      </c>
      <c r="N227" s="461"/>
      <c r="O227" s="251"/>
      <c r="P227" s="456" t="s">
        <v>100</v>
      </c>
      <c r="Q227" s="456"/>
      <c r="R227" s="357"/>
      <c r="S227" s="358"/>
      <c r="T227" s="359">
        <f t="shared" ca="1" si="386"/>
        <v>0</v>
      </c>
      <c r="U227" s="360">
        <f t="shared" ca="1" si="374"/>
        <v>0</v>
      </c>
      <c r="V227" s="357"/>
      <c r="W227" s="358"/>
      <c r="X227" s="359">
        <f t="shared" ca="1" si="387"/>
        <v>0</v>
      </c>
      <c r="Y227" s="360">
        <f t="shared" ca="1" si="375"/>
        <v>0</v>
      </c>
      <c r="Z227" s="357"/>
      <c r="AA227" s="358"/>
      <c r="AB227" s="359">
        <f t="shared" ca="1" si="388"/>
        <v>0</v>
      </c>
      <c r="AC227" s="360">
        <f t="shared" ca="1" si="376"/>
        <v>0</v>
      </c>
      <c r="AD227" s="357"/>
      <c r="AE227" s="358"/>
      <c r="AF227" s="359">
        <f t="shared" ca="1" si="389"/>
        <v>0</v>
      </c>
      <c r="AG227" s="360">
        <f t="shared" ca="1" si="377"/>
        <v>0</v>
      </c>
      <c r="AH227" s="357"/>
      <c r="AI227" s="358"/>
      <c r="AJ227" s="359">
        <f t="shared" ca="1" si="390"/>
        <v>0</v>
      </c>
      <c r="AK227" s="360">
        <f t="shared" ca="1" si="378"/>
        <v>0</v>
      </c>
      <c r="AL227" s="357"/>
      <c r="AM227" s="358"/>
      <c r="AN227" s="359">
        <f t="shared" ca="1" si="391"/>
        <v>0</v>
      </c>
      <c r="AO227" s="360">
        <f t="shared" ca="1" si="379"/>
        <v>0</v>
      </c>
      <c r="AP227" s="357"/>
      <c r="AQ227" s="358"/>
      <c r="AR227" s="359">
        <f t="shared" ca="1" si="392"/>
        <v>0</v>
      </c>
      <c r="AS227" s="360">
        <f t="shared" ca="1" si="380"/>
        <v>0</v>
      </c>
      <c r="AT227" s="357"/>
      <c r="AU227" s="358"/>
      <c r="AV227" s="359">
        <f t="shared" ca="1" si="393"/>
        <v>0</v>
      </c>
      <c r="AW227" s="360">
        <f t="shared" ca="1" si="381"/>
        <v>0</v>
      </c>
      <c r="AX227" s="357"/>
      <c r="AY227" s="358"/>
      <c r="AZ227" s="359">
        <f t="shared" ca="1" si="394"/>
        <v>0</v>
      </c>
      <c r="BA227" s="360">
        <f t="shared" ca="1" si="382"/>
        <v>0</v>
      </c>
      <c r="BB227" s="357"/>
      <c r="BC227" s="358"/>
      <c r="BD227" s="359">
        <f t="shared" ca="1" si="395"/>
        <v>0</v>
      </c>
      <c r="BE227" s="360">
        <f t="shared" ca="1" si="383"/>
        <v>0</v>
      </c>
      <c r="BF227" s="357"/>
      <c r="BG227" s="358"/>
      <c r="BH227" s="359">
        <f t="shared" ca="1" si="396"/>
        <v>0</v>
      </c>
      <c r="BI227" s="360">
        <f t="shared" ca="1" si="384"/>
        <v>0</v>
      </c>
      <c r="BJ227" s="357"/>
      <c r="BK227" s="358"/>
      <c r="BL227" s="359">
        <f t="shared" ca="1" si="397"/>
        <v>0</v>
      </c>
      <c r="BM227" s="360">
        <f t="shared" ca="1" si="385"/>
        <v>0</v>
      </c>
      <c r="BN227" s="360">
        <f t="shared" ca="1" si="385"/>
        <v>0</v>
      </c>
    </row>
    <row r="228" spans="1:66">
      <c r="A228" s="221" t="str">
        <f t="shared" ca="1" si="372"/>
        <v>WP007</v>
      </c>
      <c r="B228" s="221" t="str">
        <f t="shared" ca="1" si="373"/>
        <v>WP007</v>
      </c>
      <c r="C228" s="221">
        <v>7</v>
      </c>
      <c r="D228" s="221" t="s">
        <v>101</v>
      </c>
      <c r="L228" s="221" t="s">
        <v>99</v>
      </c>
      <c r="M228" s="221" t="s">
        <v>80</v>
      </c>
      <c r="N228" s="461"/>
      <c r="O228" s="252"/>
      <c r="P228" s="253"/>
      <c r="Q228" s="254" t="s">
        <v>102</v>
      </c>
      <c r="R228" s="361">
        <f t="shared" ref="R228:S231" ca="1" si="410">INDIRECT("'"&amp; MID(OFFSET(R228,ROW(R$3)-ROW(R228),IF(OFFSET(R228,ROW(R$2)-ROW(R228),2)="T",0,IF(OFFSET(R228,ROW(R$2)-ROW(R228),1)="T",-1,-2))),1,6) &amp; "'!" &amp; ADDRESS(ROW(R228),MATCH(INDIRECT(ADDRESS(2,COLUMN(R228)+IF(OFFSET(R228,ROW(R$2)-ROW(R228),2)="T",1,IF(OFFSET(R228,ROW(R$2)-ROW(R228),1)="T",0,-1))),TRUE),INDIRECT("'"&amp; MID(OFFSET(R228,ROW(R$3)-ROW(R228),IF(OFFSET(R228,ROW(R$2)-ROW(R228),2)="T",0,IF(OFFSET(R228,ROW(R$2)-ROW(R228),1)="T",-1,-2))),1,6) &amp; "'!2:2",TRUE),0)-IF(OFFSET(R228,ROW(R$2)-ROW(R228),2)="T",1,IF(OFFSET(R228,ROW(R$2)-ROW(R228),1)="T",0,-1))),TRUE)</f>
        <v>0</v>
      </c>
      <c r="S228" s="362">
        <f t="shared" ca="1" si="410"/>
        <v>0</v>
      </c>
      <c r="T228" s="363">
        <f t="shared" ca="1" si="386"/>
        <v>0</v>
      </c>
      <c r="U228" s="360">
        <f t="shared" ca="1" si="374"/>
        <v>0</v>
      </c>
      <c r="V228" s="361">
        <f t="shared" ref="V228:W231" ca="1" si="411">INDIRECT("'"&amp; MID(OFFSET(V228,ROW(V$3)-ROW(V228),IF(OFFSET(V228,ROW(V$2)-ROW(V228),2)="T",0,IF(OFFSET(V228,ROW(V$2)-ROW(V228),1)="T",-1,-2))),1,6) &amp; "'!" &amp; ADDRESS(ROW(V228),MATCH(INDIRECT(ADDRESS(2,COLUMN(V228)+IF(OFFSET(V228,ROW(V$2)-ROW(V228),2)="T",1,IF(OFFSET(V228,ROW(V$2)-ROW(V228),1)="T",0,-1))),TRUE),INDIRECT("'"&amp; MID(OFFSET(V228,ROW(V$3)-ROW(V228),IF(OFFSET(V228,ROW(V$2)-ROW(V228),2)="T",0,IF(OFFSET(V228,ROW(V$2)-ROW(V228),1)="T",-1,-2))),1,6) &amp; "'!2:2",TRUE),0)-IF(OFFSET(V228,ROW(V$2)-ROW(V228),2)="T",1,IF(OFFSET(V228,ROW(V$2)-ROW(V228),1)="T",0,-1))),TRUE)</f>
        <v>0</v>
      </c>
      <c r="W228" s="362">
        <f t="shared" ca="1" si="411"/>
        <v>0</v>
      </c>
      <c r="X228" s="363">
        <f t="shared" ca="1" si="387"/>
        <v>0</v>
      </c>
      <c r="Y228" s="360">
        <f t="shared" ca="1" si="375"/>
        <v>0</v>
      </c>
      <c r="Z228" s="361">
        <f t="shared" ref="Z228:AA231" ca="1" si="412">INDIRECT("'"&amp; MID(OFFSET(Z228,ROW(Z$3)-ROW(Z228),IF(OFFSET(Z228,ROW(Z$2)-ROW(Z228),2)="T",0,IF(OFFSET(Z228,ROW(Z$2)-ROW(Z228),1)="T",-1,-2))),1,6) &amp; "'!" &amp; ADDRESS(ROW(Z228),MATCH(INDIRECT(ADDRESS(2,COLUMN(Z228)+IF(OFFSET(Z228,ROW(Z$2)-ROW(Z228),2)="T",1,IF(OFFSET(Z228,ROW(Z$2)-ROW(Z228),1)="T",0,-1))),TRUE),INDIRECT("'"&amp; MID(OFFSET(Z228,ROW(Z$3)-ROW(Z228),IF(OFFSET(Z228,ROW(Z$2)-ROW(Z228),2)="T",0,IF(OFFSET(Z228,ROW(Z$2)-ROW(Z228),1)="T",-1,-2))),1,6) &amp; "'!2:2",TRUE),0)-IF(OFFSET(Z228,ROW(Z$2)-ROW(Z228),2)="T",1,IF(OFFSET(Z228,ROW(Z$2)-ROW(Z228),1)="T",0,-1))),TRUE)</f>
        <v>0</v>
      </c>
      <c r="AA228" s="362">
        <f t="shared" ca="1" si="412"/>
        <v>0</v>
      </c>
      <c r="AB228" s="363">
        <f t="shared" ca="1" si="388"/>
        <v>0</v>
      </c>
      <c r="AC228" s="360">
        <f t="shared" ca="1" si="376"/>
        <v>0</v>
      </c>
      <c r="AD228" s="361">
        <f t="shared" ref="AD228:AE231" ca="1" si="413">INDIRECT("'"&amp; MID(OFFSET(AD228,ROW(AD$3)-ROW(AD228),IF(OFFSET(AD228,ROW(AD$2)-ROW(AD228),2)="T",0,IF(OFFSET(AD228,ROW(AD$2)-ROW(AD228),1)="T",-1,-2))),1,6) &amp; "'!" &amp; ADDRESS(ROW(AD228),MATCH(INDIRECT(ADDRESS(2,COLUMN(AD228)+IF(OFFSET(AD228,ROW(AD$2)-ROW(AD228),2)="T",1,IF(OFFSET(AD228,ROW(AD$2)-ROW(AD228),1)="T",0,-1))),TRUE),INDIRECT("'"&amp; MID(OFFSET(AD228,ROW(AD$3)-ROW(AD228),IF(OFFSET(AD228,ROW(AD$2)-ROW(AD228),2)="T",0,IF(OFFSET(AD228,ROW(AD$2)-ROW(AD228),1)="T",-1,-2))),1,6) &amp; "'!2:2",TRUE),0)-IF(OFFSET(AD228,ROW(AD$2)-ROW(AD228),2)="T",1,IF(OFFSET(AD228,ROW(AD$2)-ROW(AD228),1)="T",0,-1))),TRUE)</f>
        <v>0</v>
      </c>
      <c r="AE228" s="362">
        <f t="shared" ca="1" si="413"/>
        <v>0</v>
      </c>
      <c r="AF228" s="363">
        <f t="shared" ca="1" si="389"/>
        <v>0</v>
      </c>
      <c r="AG228" s="360">
        <f t="shared" ca="1" si="377"/>
        <v>0</v>
      </c>
      <c r="AH228" s="361">
        <f t="shared" ref="AH228:AI231" ca="1" si="414">INDIRECT("'"&amp; MID(OFFSET(AH228,ROW(AH$3)-ROW(AH228),IF(OFFSET(AH228,ROW(AH$2)-ROW(AH228),2)="T",0,IF(OFFSET(AH228,ROW(AH$2)-ROW(AH228),1)="T",-1,-2))),1,6) &amp; "'!" &amp; ADDRESS(ROW(AH228),MATCH(INDIRECT(ADDRESS(2,COLUMN(AH228)+IF(OFFSET(AH228,ROW(AH$2)-ROW(AH228),2)="T",1,IF(OFFSET(AH228,ROW(AH$2)-ROW(AH228),1)="T",0,-1))),TRUE),INDIRECT("'"&amp; MID(OFFSET(AH228,ROW(AH$3)-ROW(AH228),IF(OFFSET(AH228,ROW(AH$2)-ROW(AH228),2)="T",0,IF(OFFSET(AH228,ROW(AH$2)-ROW(AH228),1)="T",-1,-2))),1,6) &amp; "'!2:2",TRUE),0)-IF(OFFSET(AH228,ROW(AH$2)-ROW(AH228),2)="T",1,IF(OFFSET(AH228,ROW(AH$2)-ROW(AH228),1)="T",0,-1))),TRUE)</f>
        <v>0</v>
      </c>
      <c r="AI228" s="362">
        <f t="shared" ca="1" si="414"/>
        <v>0</v>
      </c>
      <c r="AJ228" s="363">
        <f t="shared" ca="1" si="390"/>
        <v>0</v>
      </c>
      <c r="AK228" s="360">
        <f t="shared" ca="1" si="378"/>
        <v>0</v>
      </c>
      <c r="AL228" s="361">
        <f t="shared" ref="AL228:AM231" ca="1" si="415">INDIRECT("'"&amp; MID(OFFSET(AL228,ROW(AL$3)-ROW(AL228),IF(OFFSET(AL228,ROW(AL$2)-ROW(AL228),2)="T",0,IF(OFFSET(AL228,ROW(AL$2)-ROW(AL228),1)="T",-1,-2))),1,6) &amp; "'!" &amp; ADDRESS(ROW(AL228),MATCH(INDIRECT(ADDRESS(2,COLUMN(AL228)+IF(OFFSET(AL228,ROW(AL$2)-ROW(AL228),2)="T",1,IF(OFFSET(AL228,ROW(AL$2)-ROW(AL228),1)="T",0,-1))),TRUE),INDIRECT("'"&amp; MID(OFFSET(AL228,ROW(AL$3)-ROW(AL228),IF(OFFSET(AL228,ROW(AL$2)-ROW(AL228),2)="T",0,IF(OFFSET(AL228,ROW(AL$2)-ROW(AL228),1)="T",-1,-2))),1,6) &amp; "'!2:2",TRUE),0)-IF(OFFSET(AL228,ROW(AL$2)-ROW(AL228),2)="T",1,IF(OFFSET(AL228,ROW(AL$2)-ROW(AL228),1)="T",0,-1))),TRUE)</f>
        <v>0</v>
      </c>
      <c r="AM228" s="362">
        <f t="shared" ca="1" si="415"/>
        <v>0</v>
      </c>
      <c r="AN228" s="363">
        <f t="shared" ca="1" si="391"/>
        <v>0</v>
      </c>
      <c r="AO228" s="360">
        <f t="shared" ca="1" si="379"/>
        <v>0</v>
      </c>
      <c r="AP228" s="361">
        <f t="shared" ref="AP228:AQ231" ca="1" si="416">INDIRECT("'"&amp; MID(OFFSET(AP228,ROW(AP$3)-ROW(AP228),IF(OFFSET(AP228,ROW(AP$2)-ROW(AP228),2)="T",0,IF(OFFSET(AP228,ROW(AP$2)-ROW(AP228),1)="T",-1,-2))),1,6) &amp; "'!" &amp; ADDRESS(ROW(AP228),MATCH(INDIRECT(ADDRESS(2,COLUMN(AP228)+IF(OFFSET(AP228,ROW(AP$2)-ROW(AP228),2)="T",1,IF(OFFSET(AP228,ROW(AP$2)-ROW(AP228),1)="T",0,-1))),TRUE),INDIRECT("'"&amp; MID(OFFSET(AP228,ROW(AP$3)-ROW(AP228),IF(OFFSET(AP228,ROW(AP$2)-ROW(AP228),2)="T",0,IF(OFFSET(AP228,ROW(AP$2)-ROW(AP228),1)="T",-1,-2))),1,6) &amp; "'!2:2",TRUE),0)-IF(OFFSET(AP228,ROW(AP$2)-ROW(AP228),2)="T",1,IF(OFFSET(AP228,ROW(AP$2)-ROW(AP228),1)="T",0,-1))),TRUE)</f>
        <v>0</v>
      </c>
      <c r="AQ228" s="362">
        <f t="shared" ca="1" si="416"/>
        <v>0</v>
      </c>
      <c r="AR228" s="363">
        <f t="shared" ca="1" si="392"/>
        <v>0</v>
      </c>
      <c r="AS228" s="360">
        <f t="shared" ca="1" si="380"/>
        <v>0</v>
      </c>
      <c r="AT228" s="361">
        <f t="shared" ref="AT228:AU231" ca="1" si="417">INDIRECT("'"&amp; MID(OFFSET(AT228,ROW(AT$3)-ROW(AT228),IF(OFFSET(AT228,ROW(AT$2)-ROW(AT228),2)="T",0,IF(OFFSET(AT228,ROW(AT$2)-ROW(AT228),1)="T",-1,-2))),1,6) &amp; "'!" &amp; ADDRESS(ROW(AT228),MATCH(INDIRECT(ADDRESS(2,COLUMN(AT228)+IF(OFFSET(AT228,ROW(AT$2)-ROW(AT228),2)="T",1,IF(OFFSET(AT228,ROW(AT$2)-ROW(AT228),1)="T",0,-1))),TRUE),INDIRECT("'"&amp; MID(OFFSET(AT228,ROW(AT$3)-ROW(AT228),IF(OFFSET(AT228,ROW(AT$2)-ROW(AT228),2)="T",0,IF(OFFSET(AT228,ROW(AT$2)-ROW(AT228),1)="T",-1,-2))),1,6) &amp; "'!2:2",TRUE),0)-IF(OFFSET(AT228,ROW(AT$2)-ROW(AT228),2)="T",1,IF(OFFSET(AT228,ROW(AT$2)-ROW(AT228),1)="T",0,-1))),TRUE)</f>
        <v>0</v>
      </c>
      <c r="AU228" s="362">
        <f t="shared" ca="1" si="417"/>
        <v>0</v>
      </c>
      <c r="AV228" s="363">
        <f t="shared" ca="1" si="393"/>
        <v>0</v>
      </c>
      <c r="AW228" s="360">
        <f t="shared" ca="1" si="381"/>
        <v>0</v>
      </c>
      <c r="AX228" s="361">
        <f t="shared" ref="AX228:AY231" ca="1" si="418">INDIRECT("'"&amp; MID(OFFSET(AX228,ROW(AX$3)-ROW(AX228),IF(OFFSET(AX228,ROW(AX$2)-ROW(AX228),2)="T",0,IF(OFFSET(AX228,ROW(AX$2)-ROW(AX228),1)="T",-1,-2))),1,6) &amp; "'!" &amp; ADDRESS(ROW(AX228),MATCH(INDIRECT(ADDRESS(2,COLUMN(AX228)+IF(OFFSET(AX228,ROW(AX$2)-ROW(AX228),2)="T",1,IF(OFFSET(AX228,ROW(AX$2)-ROW(AX228),1)="T",0,-1))),TRUE),INDIRECT("'"&amp; MID(OFFSET(AX228,ROW(AX$3)-ROW(AX228),IF(OFFSET(AX228,ROW(AX$2)-ROW(AX228),2)="T",0,IF(OFFSET(AX228,ROW(AX$2)-ROW(AX228),1)="T",-1,-2))),1,6) &amp; "'!2:2",TRUE),0)-IF(OFFSET(AX228,ROW(AX$2)-ROW(AX228),2)="T",1,IF(OFFSET(AX228,ROW(AX$2)-ROW(AX228),1)="T",0,-1))),TRUE)</f>
        <v>0</v>
      </c>
      <c r="AY228" s="362">
        <f t="shared" ca="1" si="418"/>
        <v>0</v>
      </c>
      <c r="AZ228" s="363">
        <f t="shared" ca="1" si="394"/>
        <v>0</v>
      </c>
      <c r="BA228" s="360">
        <f t="shared" ca="1" si="382"/>
        <v>0</v>
      </c>
      <c r="BB228" s="361">
        <f t="shared" ref="BB228:BC231" ca="1" si="419">INDIRECT("'"&amp; MID(OFFSET(BB228,ROW(BB$3)-ROW(BB228),IF(OFFSET(BB228,ROW(BB$2)-ROW(BB228),2)="T",0,IF(OFFSET(BB228,ROW(BB$2)-ROW(BB228),1)="T",-1,-2))),1,6) &amp; "'!" &amp; ADDRESS(ROW(BB228),MATCH(INDIRECT(ADDRESS(2,COLUMN(BB228)+IF(OFFSET(BB228,ROW(BB$2)-ROW(BB228),2)="T",1,IF(OFFSET(BB228,ROW(BB$2)-ROW(BB228),1)="T",0,-1))),TRUE),INDIRECT("'"&amp; MID(OFFSET(BB228,ROW(BB$3)-ROW(BB228),IF(OFFSET(BB228,ROW(BB$2)-ROW(BB228),2)="T",0,IF(OFFSET(BB228,ROW(BB$2)-ROW(BB228),1)="T",-1,-2))),1,6) &amp; "'!2:2",TRUE),0)-IF(OFFSET(BB228,ROW(BB$2)-ROW(BB228),2)="T",1,IF(OFFSET(BB228,ROW(BB$2)-ROW(BB228),1)="T",0,-1))),TRUE)</f>
        <v>0</v>
      </c>
      <c r="BC228" s="362">
        <f t="shared" ca="1" si="419"/>
        <v>0</v>
      </c>
      <c r="BD228" s="363">
        <f t="shared" ca="1" si="395"/>
        <v>0</v>
      </c>
      <c r="BE228" s="360">
        <f t="shared" ca="1" si="383"/>
        <v>0</v>
      </c>
      <c r="BF228" s="361">
        <f t="shared" ref="BF228:BG231" ca="1" si="420">INDIRECT("'"&amp; MID(OFFSET(BF228,ROW(BF$3)-ROW(BF228),IF(OFFSET(BF228,ROW(BF$2)-ROW(BF228),2)="T",0,IF(OFFSET(BF228,ROW(BF$2)-ROW(BF228),1)="T",-1,-2))),1,6) &amp; "'!" &amp; ADDRESS(ROW(BF228),MATCH(INDIRECT(ADDRESS(2,COLUMN(BF228)+IF(OFFSET(BF228,ROW(BF$2)-ROW(BF228),2)="T",1,IF(OFFSET(BF228,ROW(BF$2)-ROW(BF228),1)="T",0,-1))),TRUE),INDIRECT("'"&amp; MID(OFFSET(BF228,ROW(BF$3)-ROW(BF228),IF(OFFSET(BF228,ROW(BF$2)-ROW(BF228),2)="T",0,IF(OFFSET(BF228,ROW(BF$2)-ROW(BF228),1)="T",-1,-2))),1,6) &amp; "'!2:2",TRUE),0)-IF(OFFSET(BF228,ROW(BF$2)-ROW(BF228),2)="T",1,IF(OFFSET(BF228,ROW(BF$2)-ROW(BF228),1)="T",0,-1))),TRUE)</f>
        <v>0</v>
      </c>
      <c r="BG228" s="362">
        <f t="shared" ca="1" si="420"/>
        <v>0</v>
      </c>
      <c r="BH228" s="363">
        <f t="shared" ca="1" si="396"/>
        <v>0</v>
      </c>
      <c r="BI228" s="360">
        <f t="shared" ca="1" si="384"/>
        <v>0</v>
      </c>
      <c r="BJ228" s="361">
        <f t="shared" ref="BJ228:BK231" ca="1" si="421">INDIRECT("'"&amp; MID(OFFSET(BJ228,ROW(BJ$3)-ROW(BJ228),IF(OFFSET(BJ228,ROW(BJ$2)-ROW(BJ228),2)="T",0,IF(OFFSET(BJ228,ROW(BJ$2)-ROW(BJ228),1)="T",-1,-2))),1,6) &amp; "'!" &amp; ADDRESS(ROW(BJ228),MATCH(INDIRECT(ADDRESS(2,COLUMN(BJ228)+IF(OFFSET(BJ228,ROW(BJ$2)-ROW(BJ228),2)="T",1,IF(OFFSET(BJ228,ROW(BJ$2)-ROW(BJ228),1)="T",0,-1))),TRUE),INDIRECT("'"&amp; MID(OFFSET(BJ228,ROW(BJ$3)-ROW(BJ228),IF(OFFSET(BJ228,ROW(BJ$2)-ROW(BJ228),2)="T",0,IF(OFFSET(BJ228,ROW(BJ$2)-ROW(BJ228),1)="T",-1,-2))),1,6) &amp; "'!2:2",TRUE),0)-IF(OFFSET(BJ228,ROW(BJ$2)-ROW(BJ228),2)="T",1,IF(OFFSET(BJ228,ROW(BJ$2)-ROW(BJ228),1)="T",0,-1))),TRUE)</f>
        <v>0</v>
      </c>
      <c r="BK228" s="362">
        <f t="shared" ca="1" si="421"/>
        <v>0</v>
      </c>
      <c r="BL228" s="363">
        <f t="shared" ca="1" si="397"/>
        <v>0</v>
      </c>
      <c r="BM228" s="360">
        <f t="shared" ca="1" si="385"/>
        <v>0</v>
      </c>
      <c r="BN228" s="360">
        <f t="shared" ca="1" si="385"/>
        <v>0</v>
      </c>
    </row>
    <row r="229" spans="1:66">
      <c r="A229" s="221" t="str">
        <f t="shared" ca="1" si="372"/>
        <v>WP007</v>
      </c>
      <c r="B229" s="221" t="str">
        <f t="shared" ca="1" si="373"/>
        <v>WP007</v>
      </c>
      <c r="C229" s="221">
        <v>7</v>
      </c>
      <c r="D229" s="221" t="s">
        <v>103</v>
      </c>
      <c r="L229" s="221" t="s">
        <v>99</v>
      </c>
      <c r="M229" s="221" t="s">
        <v>80</v>
      </c>
      <c r="N229" s="461"/>
      <c r="O229" s="252"/>
      <c r="P229" s="253"/>
      <c r="Q229" s="254" t="s">
        <v>104</v>
      </c>
      <c r="R229" s="361">
        <f t="shared" ca="1" si="410"/>
        <v>0</v>
      </c>
      <c r="S229" s="362">
        <f t="shared" ca="1" si="410"/>
        <v>0</v>
      </c>
      <c r="T229" s="363">
        <f t="shared" ca="1" si="386"/>
        <v>0</v>
      </c>
      <c r="U229" s="360">
        <f t="shared" ca="1" si="374"/>
        <v>0</v>
      </c>
      <c r="V229" s="361">
        <f t="shared" ca="1" si="411"/>
        <v>0</v>
      </c>
      <c r="W229" s="362">
        <f t="shared" ca="1" si="411"/>
        <v>0</v>
      </c>
      <c r="X229" s="363">
        <f t="shared" ca="1" si="387"/>
        <v>0</v>
      </c>
      <c r="Y229" s="360">
        <f t="shared" ca="1" si="375"/>
        <v>0</v>
      </c>
      <c r="Z229" s="361">
        <f t="shared" ca="1" si="412"/>
        <v>0</v>
      </c>
      <c r="AA229" s="362">
        <f t="shared" ca="1" si="412"/>
        <v>0</v>
      </c>
      <c r="AB229" s="363">
        <f t="shared" ca="1" si="388"/>
        <v>0</v>
      </c>
      <c r="AC229" s="360">
        <f t="shared" ca="1" si="376"/>
        <v>0</v>
      </c>
      <c r="AD229" s="361">
        <f t="shared" ca="1" si="413"/>
        <v>0</v>
      </c>
      <c r="AE229" s="362">
        <f t="shared" ca="1" si="413"/>
        <v>0</v>
      </c>
      <c r="AF229" s="363">
        <f t="shared" ca="1" si="389"/>
        <v>0</v>
      </c>
      <c r="AG229" s="360">
        <f t="shared" ca="1" si="377"/>
        <v>0</v>
      </c>
      <c r="AH229" s="361">
        <f t="shared" ca="1" si="414"/>
        <v>0</v>
      </c>
      <c r="AI229" s="362">
        <f t="shared" ca="1" si="414"/>
        <v>0</v>
      </c>
      <c r="AJ229" s="363">
        <f t="shared" ca="1" si="390"/>
        <v>0</v>
      </c>
      <c r="AK229" s="360">
        <f t="shared" ca="1" si="378"/>
        <v>0</v>
      </c>
      <c r="AL229" s="361">
        <f t="shared" ca="1" si="415"/>
        <v>0</v>
      </c>
      <c r="AM229" s="362">
        <f t="shared" ca="1" si="415"/>
        <v>0</v>
      </c>
      <c r="AN229" s="363">
        <f t="shared" ca="1" si="391"/>
        <v>0</v>
      </c>
      <c r="AO229" s="360">
        <f t="shared" ca="1" si="379"/>
        <v>0</v>
      </c>
      <c r="AP229" s="361">
        <f t="shared" ca="1" si="416"/>
        <v>0</v>
      </c>
      <c r="AQ229" s="362">
        <f t="shared" ca="1" si="416"/>
        <v>0</v>
      </c>
      <c r="AR229" s="363">
        <f t="shared" ca="1" si="392"/>
        <v>0</v>
      </c>
      <c r="AS229" s="360">
        <f t="shared" ca="1" si="380"/>
        <v>0</v>
      </c>
      <c r="AT229" s="361">
        <f t="shared" ca="1" si="417"/>
        <v>0</v>
      </c>
      <c r="AU229" s="362">
        <f t="shared" ca="1" si="417"/>
        <v>0</v>
      </c>
      <c r="AV229" s="363">
        <f t="shared" ca="1" si="393"/>
        <v>0</v>
      </c>
      <c r="AW229" s="360">
        <f t="shared" ca="1" si="381"/>
        <v>0</v>
      </c>
      <c r="AX229" s="361">
        <f t="shared" ca="1" si="418"/>
        <v>0</v>
      </c>
      <c r="AY229" s="362">
        <f t="shared" ca="1" si="418"/>
        <v>0</v>
      </c>
      <c r="AZ229" s="363">
        <f t="shared" ca="1" si="394"/>
        <v>0</v>
      </c>
      <c r="BA229" s="360">
        <f t="shared" ca="1" si="382"/>
        <v>0</v>
      </c>
      <c r="BB229" s="361">
        <f t="shared" ca="1" si="419"/>
        <v>0</v>
      </c>
      <c r="BC229" s="362">
        <f t="shared" ca="1" si="419"/>
        <v>0</v>
      </c>
      <c r="BD229" s="363">
        <f t="shared" ca="1" si="395"/>
        <v>0</v>
      </c>
      <c r="BE229" s="360">
        <f t="shared" ca="1" si="383"/>
        <v>0</v>
      </c>
      <c r="BF229" s="361">
        <f t="shared" ca="1" si="420"/>
        <v>0</v>
      </c>
      <c r="BG229" s="362">
        <f t="shared" ca="1" si="420"/>
        <v>0</v>
      </c>
      <c r="BH229" s="363">
        <f t="shared" ca="1" si="396"/>
        <v>0</v>
      </c>
      <c r="BI229" s="360">
        <f t="shared" ca="1" si="384"/>
        <v>0</v>
      </c>
      <c r="BJ229" s="361">
        <f t="shared" ca="1" si="421"/>
        <v>0</v>
      </c>
      <c r="BK229" s="362">
        <f t="shared" ca="1" si="421"/>
        <v>0</v>
      </c>
      <c r="BL229" s="363">
        <f t="shared" ca="1" si="397"/>
        <v>0</v>
      </c>
      <c r="BM229" s="360">
        <f t="shared" ca="1" si="385"/>
        <v>0</v>
      </c>
      <c r="BN229" s="360">
        <f t="shared" ca="1" si="385"/>
        <v>0</v>
      </c>
    </row>
    <row r="230" spans="1:66">
      <c r="A230" s="221" t="str">
        <f t="shared" ca="1" si="372"/>
        <v>WP007</v>
      </c>
      <c r="B230" s="221" t="str">
        <f t="shared" ca="1" si="373"/>
        <v>WP007</v>
      </c>
      <c r="C230" s="221">
        <v>7</v>
      </c>
      <c r="D230" s="221" t="s">
        <v>105</v>
      </c>
      <c r="L230" s="221" t="s">
        <v>99</v>
      </c>
      <c r="M230" s="221" t="s">
        <v>80</v>
      </c>
      <c r="N230" s="461"/>
      <c r="O230" s="252"/>
      <c r="P230" s="253"/>
      <c r="Q230" s="254" t="s">
        <v>106</v>
      </c>
      <c r="R230" s="361">
        <f t="shared" ca="1" si="410"/>
        <v>0</v>
      </c>
      <c r="S230" s="362">
        <f t="shared" ca="1" si="410"/>
        <v>0</v>
      </c>
      <c r="T230" s="363">
        <f t="shared" ca="1" si="386"/>
        <v>0</v>
      </c>
      <c r="U230" s="360">
        <f t="shared" ca="1" si="374"/>
        <v>0</v>
      </c>
      <c r="V230" s="361">
        <f t="shared" ca="1" si="411"/>
        <v>0</v>
      </c>
      <c r="W230" s="362">
        <f t="shared" ca="1" si="411"/>
        <v>0</v>
      </c>
      <c r="X230" s="363">
        <f t="shared" ca="1" si="387"/>
        <v>0</v>
      </c>
      <c r="Y230" s="360">
        <f t="shared" ca="1" si="375"/>
        <v>0</v>
      </c>
      <c r="Z230" s="361">
        <f t="shared" ca="1" si="412"/>
        <v>0</v>
      </c>
      <c r="AA230" s="362">
        <f t="shared" ca="1" si="412"/>
        <v>0</v>
      </c>
      <c r="AB230" s="363">
        <f t="shared" ca="1" si="388"/>
        <v>0</v>
      </c>
      <c r="AC230" s="360">
        <f t="shared" ca="1" si="376"/>
        <v>0</v>
      </c>
      <c r="AD230" s="361">
        <f t="shared" ca="1" si="413"/>
        <v>0</v>
      </c>
      <c r="AE230" s="362">
        <f t="shared" ca="1" si="413"/>
        <v>0</v>
      </c>
      <c r="AF230" s="363">
        <f t="shared" ca="1" si="389"/>
        <v>0</v>
      </c>
      <c r="AG230" s="360">
        <f t="shared" ca="1" si="377"/>
        <v>0</v>
      </c>
      <c r="AH230" s="361">
        <f t="shared" ca="1" si="414"/>
        <v>0</v>
      </c>
      <c r="AI230" s="362">
        <f t="shared" ca="1" si="414"/>
        <v>0</v>
      </c>
      <c r="AJ230" s="363">
        <f t="shared" ca="1" si="390"/>
        <v>0</v>
      </c>
      <c r="AK230" s="360">
        <f t="shared" ca="1" si="378"/>
        <v>0</v>
      </c>
      <c r="AL230" s="361">
        <f t="shared" ca="1" si="415"/>
        <v>0</v>
      </c>
      <c r="AM230" s="362">
        <f t="shared" ca="1" si="415"/>
        <v>0</v>
      </c>
      <c r="AN230" s="363">
        <f t="shared" ca="1" si="391"/>
        <v>0</v>
      </c>
      <c r="AO230" s="360">
        <f t="shared" ca="1" si="379"/>
        <v>0</v>
      </c>
      <c r="AP230" s="361">
        <f t="shared" ca="1" si="416"/>
        <v>0</v>
      </c>
      <c r="AQ230" s="362">
        <f t="shared" ca="1" si="416"/>
        <v>0</v>
      </c>
      <c r="AR230" s="363">
        <f t="shared" ca="1" si="392"/>
        <v>0</v>
      </c>
      <c r="AS230" s="360">
        <f t="shared" ca="1" si="380"/>
        <v>0</v>
      </c>
      <c r="AT230" s="361">
        <f t="shared" ca="1" si="417"/>
        <v>0</v>
      </c>
      <c r="AU230" s="362">
        <f t="shared" ca="1" si="417"/>
        <v>0</v>
      </c>
      <c r="AV230" s="363">
        <f t="shared" ca="1" si="393"/>
        <v>0</v>
      </c>
      <c r="AW230" s="360">
        <f t="shared" ca="1" si="381"/>
        <v>0</v>
      </c>
      <c r="AX230" s="361">
        <f t="shared" ca="1" si="418"/>
        <v>0</v>
      </c>
      <c r="AY230" s="362">
        <f t="shared" ca="1" si="418"/>
        <v>0</v>
      </c>
      <c r="AZ230" s="363">
        <f t="shared" ca="1" si="394"/>
        <v>0</v>
      </c>
      <c r="BA230" s="360">
        <f t="shared" ca="1" si="382"/>
        <v>0</v>
      </c>
      <c r="BB230" s="361">
        <f t="shared" ca="1" si="419"/>
        <v>0</v>
      </c>
      <c r="BC230" s="362">
        <f t="shared" ca="1" si="419"/>
        <v>0</v>
      </c>
      <c r="BD230" s="363">
        <f t="shared" ca="1" si="395"/>
        <v>0</v>
      </c>
      <c r="BE230" s="360">
        <f t="shared" ca="1" si="383"/>
        <v>0</v>
      </c>
      <c r="BF230" s="361">
        <f t="shared" ca="1" si="420"/>
        <v>0</v>
      </c>
      <c r="BG230" s="362">
        <f t="shared" ca="1" si="420"/>
        <v>0</v>
      </c>
      <c r="BH230" s="363">
        <f t="shared" ca="1" si="396"/>
        <v>0</v>
      </c>
      <c r="BI230" s="360">
        <f t="shared" ca="1" si="384"/>
        <v>0</v>
      </c>
      <c r="BJ230" s="361">
        <f t="shared" ca="1" si="421"/>
        <v>0</v>
      </c>
      <c r="BK230" s="362">
        <f t="shared" ca="1" si="421"/>
        <v>0</v>
      </c>
      <c r="BL230" s="363">
        <f t="shared" ca="1" si="397"/>
        <v>0</v>
      </c>
      <c r="BM230" s="360">
        <f t="shared" ca="1" si="385"/>
        <v>0</v>
      </c>
      <c r="BN230" s="360">
        <f t="shared" ca="1" si="385"/>
        <v>0</v>
      </c>
    </row>
    <row r="231" spans="1:66">
      <c r="A231" s="221" t="str">
        <f t="shared" ca="1" si="372"/>
        <v>WP007</v>
      </c>
      <c r="B231" s="221" t="str">
        <f t="shared" ca="1" si="373"/>
        <v>WP007</v>
      </c>
      <c r="C231" s="221">
        <v>5</v>
      </c>
      <c r="D231" s="221" t="s">
        <v>107</v>
      </c>
      <c r="J231" s="222" t="s">
        <v>96</v>
      </c>
      <c r="M231" s="221" t="s">
        <v>80</v>
      </c>
      <c r="N231" s="461"/>
      <c r="O231" s="255"/>
      <c r="P231" s="456" t="s">
        <v>108</v>
      </c>
      <c r="Q231" s="456"/>
      <c r="R231" s="364">
        <f t="shared" ca="1" si="410"/>
        <v>0</v>
      </c>
      <c r="S231" s="358">
        <f t="shared" ca="1" si="410"/>
        <v>0</v>
      </c>
      <c r="T231" s="359">
        <f t="shared" ca="1" si="386"/>
        <v>0</v>
      </c>
      <c r="U231" s="360">
        <f t="shared" ca="1" si="374"/>
        <v>0</v>
      </c>
      <c r="V231" s="364">
        <f t="shared" ca="1" si="411"/>
        <v>0</v>
      </c>
      <c r="W231" s="358">
        <f t="shared" ca="1" si="411"/>
        <v>0</v>
      </c>
      <c r="X231" s="359">
        <f t="shared" ca="1" si="387"/>
        <v>0</v>
      </c>
      <c r="Y231" s="360">
        <f t="shared" ca="1" si="375"/>
        <v>0</v>
      </c>
      <c r="Z231" s="364">
        <f t="shared" ca="1" si="412"/>
        <v>0</v>
      </c>
      <c r="AA231" s="358">
        <f t="shared" ca="1" si="412"/>
        <v>0</v>
      </c>
      <c r="AB231" s="359">
        <f t="shared" ca="1" si="388"/>
        <v>0</v>
      </c>
      <c r="AC231" s="360">
        <f t="shared" ca="1" si="376"/>
        <v>0</v>
      </c>
      <c r="AD231" s="364">
        <f t="shared" ca="1" si="413"/>
        <v>0</v>
      </c>
      <c r="AE231" s="358">
        <f t="shared" ca="1" si="413"/>
        <v>0</v>
      </c>
      <c r="AF231" s="359">
        <f t="shared" ca="1" si="389"/>
        <v>0</v>
      </c>
      <c r="AG231" s="360">
        <f t="shared" ca="1" si="377"/>
        <v>0</v>
      </c>
      <c r="AH231" s="364">
        <f t="shared" ca="1" si="414"/>
        <v>0</v>
      </c>
      <c r="AI231" s="358">
        <f t="shared" ca="1" si="414"/>
        <v>0</v>
      </c>
      <c r="AJ231" s="359">
        <f t="shared" ca="1" si="390"/>
        <v>0</v>
      </c>
      <c r="AK231" s="360">
        <f t="shared" ca="1" si="378"/>
        <v>0</v>
      </c>
      <c r="AL231" s="364">
        <f t="shared" ca="1" si="415"/>
        <v>0</v>
      </c>
      <c r="AM231" s="358">
        <f t="shared" ca="1" si="415"/>
        <v>0</v>
      </c>
      <c r="AN231" s="359">
        <f t="shared" ca="1" si="391"/>
        <v>0</v>
      </c>
      <c r="AO231" s="360">
        <f t="shared" ca="1" si="379"/>
        <v>0</v>
      </c>
      <c r="AP231" s="364">
        <f t="shared" ca="1" si="416"/>
        <v>0</v>
      </c>
      <c r="AQ231" s="358">
        <f t="shared" ca="1" si="416"/>
        <v>0</v>
      </c>
      <c r="AR231" s="359">
        <f t="shared" ca="1" si="392"/>
        <v>0</v>
      </c>
      <c r="AS231" s="360">
        <f t="shared" ca="1" si="380"/>
        <v>0</v>
      </c>
      <c r="AT231" s="364">
        <f t="shared" ca="1" si="417"/>
        <v>0</v>
      </c>
      <c r="AU231" s="358">
        <f t="shared" ca="1" si="417"/>
        <v>0</v>
      </c>
      <c r="AV231" s="359">
        <f t="shared" ca="1" si="393"/>
        <v>0</v>
      </c>
      <c r="AW231" s="360">
        <f t="shared" ca="1" si="381"/>
        <v>0</v>
      </c>
      <c r="AX231" s="364">
        <f t="shared" ca="1" si="418"/>
        <v>0</v>
      </c>
      <c r="AY231" s="358">
        <f t="shared" ca="1" si="418"/>
        <v>0</v>
      </c>
      <c r="AZ231" s="359">
        <f t="shared" ca="1" si="394"/>
        <v>0</v>
      </c>
      <c r="BA231" s="360">
        <f t="shared" ca="1" si="382"/>
        <v>0</v>
      </c>
      <c r="BB231" s="364">
        <f t="shared" ca="1" si="419"/>
        <v>0</v>
      </c>
      <c r="BC231" s="358">
        <f t="shared" ca="1" si="419"/>
        <v>0</v>
      </c>
      <c r="BD231" s="359">
        <f t="shared" ca="1" si="395"/>
        <v>0</v>
      </c>
      <c r="BE231" s="360">
        <f t="shared" ca="1" si="383"/>
        <v>0</v>
      </c>
      <c r="BF231" s="364">
        <f t="shared" ca="1" si="420"/>
        <v>0</v>
      </c>
      <c r="BG231" s="358">
        <f t="shared" ca="1" si="420"/>
        <v>0</v>
      </c>
      <c r="BH231" s="359">
        <f t="shared" ca="1" si="396"/>
        <v>0</v>
      </c>
      <c r="BI231" s="360">
        <f t="shared" ca="1" si="384"/>
        <v>0</v>
      </c>
      <c r="BJ231" s="364">
        <f t="shared" ca="1" si="421"/>
        <v>0</v>
      </c>
      <c r="BK231" s="358">
        <f t="shared" ca="1" si="421"/>
        <v>0</v>
      </c>
      <c r="BL231" s="359">
        <f t="shared" ca="1" si="397"/>
        <v>0</v>
      </c>
      <c r="BM231" s="360">
        <f t="shared" ca="1" si="385"/>
        <v>0</v>
      </c>
      <c r="BN231" s="360">
        <f t="shared" ca="1" si="385"/>
        <v>0</v>
      </c>
    </row>
    <row r="232" spans="1:66">
      <c r="A232" s="221" t="str">
        <f t="shared" ca="1" si="372"/>
        <v>WP007</v>
      </c>
      <c r="B232" s="221" t="str">
        <f t="shared" ca="1" si="373"/>
        <v>WP007</v>
      </c>
      <c r="C232" s="221">
        <v>6</v>
      </c>
      <c r="D232" s="221" t="s">
        <v>109</v>
      </c>
      <c r="J232" s="222" t="s">
        <v>96</v>
      </c>
      <c r="K232" s="221" t="s">
        <v>110</v>
      </c>
      <c r="M232" s="221" t="s">
        <v>46</v>
      </c>
      <c r="N232" s="461"/>
      <c r="O232" s="255"/>
      <c r="P232" s="456" t="s">
        <v>111</v>
      </c>
      <c r="Q232" s="456"/>
      <c r="R232" s="364"/>
      <c r="S232" s="358"/>
      <c r="T232" s="359">
        <f t="shared" ca="1" si="386"/>
        <v>0</v>
      </c>
      <c r="U232" s="360">
        <f t="shared" ca="1" si="374"/>
        <v>0</v>
      </c>
      <c r="V232" s="364"/>
      <c r="W232" s="358"/>
      <c r="X232" s="359">
        <f t="shared" ca="1" si="387"/>
        <v>0</v>
      </c>
      <c r="Y232" s="360">
        <f t="shared" ca="1" si="375"/>
        <v>0</v>
      </c>
      <c r="Z232" s="364"/>
      <c r="AA232" s="358"/>
      <c r="AB232" s="359">
        <f t="shared" ca="1" si="388"/>
        <v>0</v>
      </c>
      <c r="AC232" s="360">
        <f t="shared" ca="1" si="376"/>
        <v>0</v>
      </c>
      <c r="AD232" s="364"/>
      <c r="AE232" s="358"/>
      <c r="AF232" s="359">
        <f t="shared" ca="1" si="389"/>
        <v>0</v>
      </c>
      <c r="AG232" s="360">
        <f t="shared" ca="1" si="377"/>
        <v>0</v>
      </c>
      <c r="AH232" s="364"/>
      <c r="AI232" s="358"/>
      <c r="AJ232" s="359">
        <f t="shared" ca="1" si="390"/>
        <v>0</v>
      </c>
      <c r="AK232" s="360">
        <f t="shared" ca="1" si="378"/>
        <v>0</v>
      </c>
      <c r="AL232" s="364"/>
      <c r="AM232" s="358"/>
      <c r="AN232" s="359">
        <f t="shared" ca="1" si="391"/>
        <v>0</v>
      </c>
      <c r="AO232" s="360">
        <f t="shared" ca="1" si="379"/>
        <v>0</v>
      </c>
      <c r="AP232" s="364"/>
      <c r="AQ232" s="358"/>
      <c r="AR232" s="359">
        <f t="shared" ca="1" si="392"/>
        <v>0</v>
      </c>
      <c r="AS232" s="360">
        <f t="shared" ca="1" si="380"/>
        <v>0</v>
      </c>
      <c r="AT232" s="364"/>
      <c r="AU232" s="358"/>
      <c r="AV232" s="359">
        <f t="shared" ca="1" si="393"/>
        <v>0</v>
      </c>
      <c r="AW232" s="360">
        <f t="shared" ca="1" si="381"/>
        <v>0</v>
      </c>
      <c r="AX232" s="364"/>
      <c r="AY232" s="358"/>
      <c r="AZ232" s="359">
        <f t="shared" ca="1" si="394"/>
        <v>0</v>
      </c>
      <c r="BA232" s="360">
        <f t="shared" ca="1" si="382"/>
        <v>0</v>
      </c>
      <c r="BB232" s="364"/>
      <c r="BC232" s="358"/>
      <c r="BD232" s="359">
        <f t="shared" ca="1" si="395"/>
        <v>0</v>
      </c>
      <c r="BE232" s="360">
        <f t="shared" ca="1" si="383"/>
        <v>0</v>
      </c>
      <c r="BF232" s="364"/>
      <c r="BG232" s="358"/>
      <c r="BH232" s="359">
        <f t="shared" ca="1" si="396"/>
        <v>0</v>
      </c>
      <c r="BI232" s="360">
        <f t="shared" ca="1" si="384"/>
        <v>0</v>
      </c>
      <c r="BJ232" s="364"/>
      <c r="BK232" s="358"/>
      <c r="BL232" s="359">
        <f t="shared" ca="1" si="397"/>
        <v>0</v>
      </c>
      <c r="BM232" s="360">
        <f t="shared" ca="1" si="385"/>
        <v>0</v>
      </c>
      <c r="BN232" s="360">
        <f t="shared" ca="1" si="385"/>
        <v>0</v>
      </c>
    </row>
    <row r="233" spans="1:66">
      <c r="A233" s="221" t="str">
        <f t="shared" ca="1" si="372"/>
        <v>WP007</v>
      </c>
      <c r="B233" s="221" t="str">
        <f t="shared" ca="1" si="373"/>
        <v>WP007</v>
      </c>
      <c r="C233" s="221">
        <v>7</v>
      </c>
      <c r="D233" s="221" t="s">
        <v>112</v>
      </c>
      <c r="L233" s="221" t="s">
        <v>110</v>
      </c>
      <c r="M233" s="221" t="s">
        <v>80</v>
      </c>
      <c r="N233" s="461"/>
      <c r="O233" s="255"/>
      <c r="P233" s="389"/>
      <c r="Q233" s="254" t="s">
        <v>113</v>
      </c>
      <c r="R233" s="361">
        <f t="shared" ref="R233:S238" ca="1" si="422">INDIRECT("'"&amp; MID(OFFSET(R233,ROW(R$3)-ROW(R233),IF(OFFSET(R233,ROW(R$2)-ROW(R233),2)="T",0,IF(OFFSET(R233,ROW(R$2)-ROW(R233),1)="T",-1,-2))),1,6) &amp; "'!" &amp; ADDRESS(ROW(R233),MATCH(INDIRECT(ADDRESS(2,COLUMN(R233)+IF(OFFSET(R233,ROW(R$2)-ROW(R233),2)="T",1,IF(OFFSET(R233,ROW(R$2)-ROW(R233),1)="T",0,-1))),TRUE),INDIRECT("'"&amp; MID(OFFSET(R233,ROW(R$3)-ROW(R233),IF(OFFSET(R233,ROW(R$2)-ROW(R233),2)="T",0,IF(OFFSET(R233,ROW(R$2)-ROW(R233),1)="T",-1,-2))),1,6) &amp; "'!2:2",TRUE),0)-IF(OFFSET(R233,ROW(R$2)-ROW(R233),2)="T",1,IF(OFFSET(R233,ROW(R$2)-ROW(R233),1)="T",0,-1))),TRUE)</f>
        <v>0</v>
      </c>
      <c r="S233" s="362">
        <f t="shared" ca="1" si="422"/>
        <v>0</v>
      </c>
      <c r="T233" s="363">
        <f t="shared" ca="1" si="386"/>
        <v>0</v>
      </c>
      <c r="U233" s="360">
        <f t="shared" ca="1" si="374"/>
        <v>0</v>
      </c>
      <c r="V233" s="361">
        <f t="shared" ref="V233:W238" ca="1" si="423">INDIRECT("'"&amp; MID(OFFSET(V233,ROW(V$3)-ROW(V233),IF(OFFSET(V233,ROW(V$2)-ROW(V233),2)="T",0,IF(OFFSET(V233,ROW(V$2)-ROW(V233),1)="T",-1,-2))),1,6) &amp; "'!" &amp; ADDRESS(ROW(V233),MATCH(INDIRECT(ADDRESS(2,COLUMN(V233)+IF(OFFSET(V233,ROW(V$2)-ROW(V233),2)="T",1,IF(OFFSET(V233,ROW(V$2)-ROW(V233),1)="T",0,-1))),TRUE),INDIRECT("'"&amp; MID(OFFSET(V233,ROW(V$3)-ROW(V233),IF(OFFSET(V233,ROW(V$2)-ROW(V233),2)="T",0,IF(OFFSET(V233,ROW(V$2)-ROW(V233),1)="T",-1,-2))),1,6) &amp; "'!2:2",TRUE),0)-IF(OFFSET(V233,ROW(V$2)-ROW(V233),2)="T",1,IF(OFFSET(V233,ROW(V$2)-ROW(V233),1)="T",0,-1))),TRUE)</f>
        <v>0</v>
      </c>
      <c r="W233" s="362">
        <f t="shared" ca="1" si="423"/>
        <v>0</v>
      </c>
      <c r="X233" s="363">
        <f t="shared" ca="1" si="387"/>
        <v>0</v>
      </c>
      <c r="Y233" s="360">
        <f t="shared" ca="1" si="375"/>
        <v>0</v>
      </c>
      <c r="Z233" s="361">
        <f t="shared" ref="Z233:AA238" ca="1" si="424">INDIRECT("'"&amp; MID(OFFSET(Z233,ROW(Z$3)-ROW(Z233),IF(OFFSET(Z233,ROW(Z$2)-ROW(Z233),2)="T",0,IF(OFFSET(Z233,ROW(Z$2)-ROW(Z233),1)="T",-1,-2))),1,6) &amp; "'!" &amp; ADDRESS(ROW(Z233),MATCH(INDIRECT(ADDRESS(2,COLUMN(Z233)+IF(OFFSET(Z233,ROW(Z$2)-ROW(Z233),2)="T",1,IF(OFFSET(Z233,ROW(Z$2)-ROW(Z233),1)="T",0,-1))),TRUE),INDIRECT("'"&amp; MID(OFFSET(Z233,ROW(Z$3)-ROW(Z233),IF(OFFSET(Z233,ROW(Z$2)-ROW(Z233),2)="T",0,IF(OFFSET(Z233,ROW(Z$2)-ROW(Z233),1)="T",-1,-2))),1,6) &amp; "'!2:2",TRUE),0)-IF(OFFSET(Z233,ROW(Z$2)-ROW(Z233),2)="T",1,IF(OFFSET(Z233,ROW(Z$2)-ROW(Z233),1)="T",0,-1))),TRUE)</f>
        <v>0</v>
      </c>
      <c r="AA233" s="362">
        <f t="shared" ca="1" si="424"/>
        <v>0</v>
      </c>
      <c r="AB233" s="363">
        <f t="shared" ca="1" si="388"/>
        <v>0</v>
      </c>
      <c r="AC233" s="360">
        <f t="shared" ca="1" si="376"/>
        <v>0</v>
      </c>
      <c r="AD233" s="361">
        <f t="shared" ref="AD233:AE238" ca="1" si="425">INDIRECT("'"&amp; MID(OFFSET(AD233,ROW(AD$3)-ROW(AD233),IF(OFFSET(AD233,ROW(AD$2)-ROW(AD233),2)="T",0,IF(OFFSET(AD233,ROW(AD$2)-ROW(AD233),1)="T",-1,-2))),1,6) &amp; "'!" &amp; ADDRESS(ROW(AD233),MATCH(INDIRECT(ADDRESS(2,COLUMN(AD233)+IF(OFFSET(AD233,ROW(AD$2)-ROW(AD233),2)="T",1,IF(OFFSET(AD233,ROW(AD$2)-ROW(AD233),1)="T",0,-1))),TRUE),INDIRECT("'"&amp; MID(OFFSET(AD233,ROW(AD$3)-ROW(AD233),IF(OFFSET(AD233,ROW(AD$2)-ROW(AD233),2)="T",0,IF(OFFSET(AD233,ROW(AD$2)-ROW(AD233),1)="T",-1,-2))),1,6) &amp; "'!2:2",TRUE),0)-IF(OFFSET(AD233,ROW(AD$2)-ROW(AD233),2)="T",1,IF(OFFSET(AD233,ROW(AD$2)-ROW(AD233),1)="T",0,-1))),TRUE)</f>
        <v>0</v>
      </c>
      <c r="AE233" s="362">
        <f t="shared" ca="1" si="425"/>
        <v>0</v>
      </c>
      <c r="AF233" s="363">
        <f t="shared" ca="1" si="389"/>
        <v>0</v>
      </c>
      <c r="AG233" s="360">
        <f t="shared" ca="1" si="377"/>
        <v>0</v>
      </c>
      <c r="AH233" s="361">
        <f t="shared" ref="AH233:AI238" ca="1" si="426">INDIRECT("'"&amp; MID(OFFSET(AH233,ROW(AH$3)-ROW(AH233),IF(OFFSET(AH233,ROW(AH$2)-ROW(AH233),2)="T",0,IF(OFFSET(AH233,ROW(AH$2)-ROW(AH233),1)="T",-1,-2))),1,6) &amp; "'!" &amp; ADDRESS(ROW(AH233),MATCH(INDIRECT(ADDRESS(2,COLUMN(AH233)+IF(OFFSET(AH233,ROW(AH$2)-ROW(AH233),2)="T",1,IF(OFFSET(AH233,ROW(AH$2)-ROW(AH233),1)="T",0,-1))),TRUE),INDIRECT("'"&amp; MID(OFFSET(AH233,ROW(AH$3)-ROW(AH233),IF(OFFSET(AH233,ROW(AH$2)-ROW(AH233),2)="T",0,IF(OFFSET(AH233,ROW(AH$2)-ROW(AH233),1)="T",-1,-2))),1,6) &amp; "'!2:2",TRUE),0)-IF(OFFSET(AH233,ROW(AH$2)-ROW(AH233),2)="T",1,IF(OFFSET(AH233,ROW(AH$2)-ROW(AH233),1)="T",0,-1))),TRUE)</f>
        <v>0</v>
      </c>
      <c r="AI233" s="362">
        <f t="shared" ca="1" si="426"/>
        <v>0</v>
      </c>
      <c r="AJ233" s="363">
        <f t="shared" ca="1" si="390"/>
        <v>0</v>
      </c>
      <c r="AK233" s="360">
        <f t="shared" ca="1" si="378"/>
        <v>0</v>
      </c>
      <c r="AL233" s="361">
        <f t="shared" ref="AL233:AM238" ca="1" si="427">INDIRECT("'"&amp; MID(OFFSET(AL233,ROW(AL$3)-ROW(AL233),IF(OFFSET(AL233,ROW(AL$2)-ROW(AL233),2)="T",0,IF(OFFSET(AL233,ROW(AL$2)-ROW(AL233),1)="T",-1,-2))),1,6) &amp; "'!" &amp; ADDRESS(ROW(AL233),MATCH(INDIRECT(ADDRESS(2,COLUMN(AL233)+IF(OFFSET(AL233,ROW(AL$2)-ROW(AL233),2)="T",1,IF(OFFSET(AL233,ROW(AL$2)-ROW(AL233),1)="T",0,-1))),TRUE),INDIRECT("'"&amp; MID(OFFSET(AL233,ROW(AL$3)-ROW(AL233),IF(OFFSET(AL233,ROW(AL$2)-ROW(AL233),2)="T",0,IF(OFFSET(AL233,ROW(AL$2)-ROW(AL233),1)="T",-1,-2))),1,6) &amp; "'!2:2",TRUE),0)-IF(OFFSET(AL233,ROW(AL$2)-ROW(AL233),2)="T",1,IF(OFFSET(AL233,ROW(AL$2)-ROW(AL233),1)="T",0,-1))),TRUE)</f>
        <v>0</v>
      </c>
      <c r="AM233" s="362">
        <f t="shared" ca="1" si="427"/>
        <v>0</v>
      </c>
      <c r="AN233" s="363">
        <f t="shared" ca="1" si="391"/>
        <v>0</v>
      </c>
      <c r="AO233" s="360">
        <f t="shared" ca="1" si="379"/>
        <v>0</v>
      </c>
      <c r="AP233" s="361">
        <f t="shared" ref="AP233:AQ238" ca="1" si="428">INDIRECT("'"&amp; MID(OFFSET(AP233,ROW(AP$3)-ROW(AP233),IF(OFFSET(AP233,ROW(AP$2)-ROW(AP233),2)="T",0,IF(OFFSET(AP233,ROW(AP$2)-ROW(AP233),1)="T",-1,-2))),1,6) &amp; "'!" &amp; ADDRESS(ROW(AP233),MATCH(INDIRECT(ADDRESS(2,COLUMN(AP233)+IF(OFFSET(AP233,ROW(AP$2)-ROW(AP233),2)="T",1,IF(OFFSET(AP233,ROW(AP$2)-ROW(AP233),1)="T",0,-1))),TRUE),INDIRECT("'"&amp; MID(OFFSET(AP233,ROW(AP$3)-ROW(AP233),IF(OFFSET(AP233,ROW(AP$2)-ROW(AP233),2)="T",0,IF(OFFSET(AP233,ROW(AP$2)-ROW(AP233),1)="T",-1,-2))),1,6) &amp; "'!2:2",TRUE),0)-IF(OFFSET(AP233,ROW(AP$2)-ROW(AP233),2)="T",1,IF(OFFSET(AP233,ROW(AP$2)-ROW(AP233),1)="T",0,-1))),TRUE)</f>
        <v>0</v>
      </c>
      <c r="AQ233" s="362">
        <f t="shared" ca="1" si="428"/>
        <v>0</v>
      </c>
      <c r="AR233" s="363">
        <f t="shared" ca="1" si="392"/>
        <v>0</v>
      </c>
      <c r="AS233" s="360">
        <f t="shared" ca="1" si="380"/>
        <v>0</v>
      </c>
      <c r="AT233" s="361">
        <f t="shared" ref="AT233:AU238" ca="1" si="429">INDIRECT("'"&amp; MID(OFFSET(AT233,ROW(AT$3)-ROW(AT233),IF(OFFSET(AT233,ROW(AT$2)-ROW(AT233),2)="T",0,IF(OFFSET(AT233,ROW(AT$2)-ROW(AT233),1)="T",-1,-2))),1,6) &amp; "'!" &amp; ADDRESS(ROW(AT233),MATCH(INDIRECT(ADDRESS(2,COLUMN(AT233)+IF(OFFSET(AT233,ROW(AT$2)-ROW(AT233),2)="T",1,IF(OFFSET(AT233,ROW(AT$2)-ROW(AT233),1)="T",0,-1))),TRUE),INDIRECT("'"&amp; MID(OFFSET(AT233,ROW(AT$3)-ROW(AT233),IF(OFFSET(AT233,ROW(AT$2)-ROW(AT233),2)="T",0,IF(OFFSET(AT233,ROW(AT$2)-ROW(AT233),1)="T",-1,-2))),1,6) &amp; "'!2:2",TRUE),0)-IF(OFFSET(AT233,ROW(AT$2)-ROW(AT233),2)="T",1,IF(OFFSET(AT233,ROW(AT$2)-ROW(AT233),1)="T",0,-1))),TRUE)</f>
        <v>0</v>
      </c>
      <c r="AU233" s="362">
        <f t="shared" ca="1" si="429"/>
        <v>0</v>
      </c>
      <c r="AV233" s="363">
        <f t="shared" ca="1" si="393"/>
        <v>0</v>
      </c>
      <c r="AW233" s="360">
        <f t="shared" ca="1" si="381"/>
        <v>0</v>
      </c>
      <c r="AX233" s="361">
        <f t="shared" ref="AX233:AY238" ca="1" si="430">INDIRECT("'"&amp; MID(OFFSET(AX233,ROW(AX$3)-ROW(AX233),IF(OFFSET(AX233,ROW(AX$2)-ROW(AX233),2)="T",0,IF(OFFSET(AX233,ROW(AX$2)-ROW(AX233),1)="T",-1,-2))),1,6) &amp; "'!" &amp; ADDRESS(ROW(AX233),MATCH(INDIRECT(ADDRESS(2,COLUMN(AX233)+IF(OFFSET(AX233,ROW(AX$2)-ROW(AX233),2)="T",1,IF(OFFSET(AX233,ROW(AX$2)-ROW(AX233),1)="T",0,-1))),TRUE),INDIRECT("'"&amp; MID(OFFSET(AX233,ROW(AX$3)-ROW(AX233),IF(OFFSET(AX233,ROW(AX$2)-ROW(AX233),2)="T",0,IF(OFFSET(AX233,ROW(AX$2)-ROW(AX233),1)="T",-1,-2))),1,6) &amp; "'!2:2",TRUE),0)-IF(OFFSET(AX233,ROW(AX$2)-ROW(AX233),2)="T",1,IF(OFFSET(AX233,ROW(AX$2)-ROW(AX233),1)="T",0,-1))),TRUE)</f>
        <v>0</v>
      </c>
      <c r="AY233" s="362">
        <f t="shared" ca="1" si="430"/>
        <v>0</v>
      </c>
      <c r="AZ233" s="363">
        <f t="shared" ca="1" si="394"/>
        <v>0</v>
      </c>
      <c r="BA233" s="360">
        <f t="shared" ca="1" si="382"/>
        <v>0</v>
      </c>
      <c r="BB233" s="361">
        <f t="shared" ref="BB233:BC238" ca="1" si="431">INDIRECT("'"&amp; MID(OFFSET(BB233,ROW(BB$3)-ROW(BB233),IF(OFFSET(BB233,ROW(BB$2)-ROW(BB233),2)="T",0,IF(OFFSET(BB233,ROW(BB$2)-ROW(BB233),1)="T",-1,-2))),1,6) &amp; "'!" &amp; ADDRESS(ROW(BB233),MATCH(INDIRECT(ADDRESS(2,COLUMN(BB233)+IF(OFFSET(BB233,ROW(BB$2)-ROW(BB233),2)="T",1,IF(OFFSET(BB233,ROW(BB$2)-ROW(BB233),1)="T",0,-1))),TRUE),INDIRECT("'"&amp; MID(OFFSET(BB233,ROW(BB$3)-ROW(BB233),IF(OFFSET(BB233,ROW(BB$2)-ROW(BB233),2)="T",0,IF(OFFSET(BB233,ROW(BB$2)-ROW(BB233),1)="T",-1,-2))),1,6) &amp; "'!2:2",TRUE),0)-IF(OFFSET(BB233,ROW(BB$2)-ROW(BB233),2)="T",1,IF(OFFSET(BB233,ROW(BB$2)-ROW(BB233),1)="T",0,-1))),TRUE)</f>
        <v>0</v>
      </c>
      <c r="BC233" s="362">
        <f t="shared" ca="1" si="431"/>
        <v>0</v>
      </c>
      <c r="BD233" s="363">
        <f t="shared" ca="1" si="395"/>
        <v>0</v>
      </c>
      <c r="BE233" s="360">
        <f t="shared" ca="1" si="383"/>
        <v>0</v>
      </c>
      <c r="BF233" s="361">
        <f t="shared" ref="BF233:BG238" ca="1" si="432">INDIRECT("'"&amp; MID(OFFSET(BF233,ROW(BF$3)-ROW(BF233),IF(OFFSET(BF233,ROW(BF$2)-ROW(BF233),2)="T",0,IF(OFFSET(BF233,ROW(BF$2)-ROW(BF233),1)="T",-1,-2))),1,6) &amp; "'!" &amp; ADDRESS(ROW(BF233),MATCH(INDIRECT(ADDRESS(2,COLUMN(BF233)+IF(OFFSET(BF233,ROW(BF$2)-ROW(BF233),2)="T",1,IF(OFFSET(BF233,ROW(BF$2)-ROW(BF233),1)="T",0,-1))),TRUE),INDIRECT("'"&amp; MID(OFFSET(BF233,ROW(BF$3)-ROW(BF233),IF(OFFSET(BF233,ROW(BF$2)-ROW(BF233),2)="T",0,IF(OFFSET(BF233,ROW(BF$2)-ROW(BF233),1)="T",-1,-2))),1,6) &amp; "'!2:2",TRUE),0)-IF(OFFSET(BF233,ROW(BF$2)-ROW(BF233),2)="T",1,IF(OFFSET(BF233,ROW(BF$2)-ROW(BF233),1)="T",0,-1))),TRUE)</f>
        <v>0</v>
      </c>
      <c r="BG233" s="362">
        <f t="shared" ca="1" si="432"/>
        <v>0</v>
      </c>
      <c r="BH233" s="363">
        <f t="shared" ca="1" si="396"/>
        <v>0</v>
      </c>
      <c r="BI233" s="360">
        <f t="shared" ca="1" si="384"/>
        <v>0</v>
      </c>
      <c r="BJ233" s="361">
        <f t="shared" ref="BJ233:BK238" ca="1" si="433">INDIRECT("'"&amp; MID(OFFSET(BJ233,ROW(BJ$3)-ROW(BJ233),IF(OFFSET(BJ233,ROW(BJ$2)-ROW(BJ233),2)="T",0,IF(OFFSET(BJ233,ROW(BJ$2)-ROW(BJ233),1)="T",-1,-2))),1,6) &amp; "'!" &amp; ADDRESS(ROW(BJ233),MATCH(INDIRECT(ADDRESS(2,COLUMN(BJ233)+IF(OFFSET(BJ233,ROW(BJ$2)-ROW(BJ233),2)="T",1,IF(OFFSET(BJ233,ROW(BJ$2)-ROW(BJ233),1)="T",0,-1))),TRUE),INDIRECT("'"&amp; MID(OFFSET(BJ233,ROW(BJ$3)-ROW(BJ233),IF(OFFSET(BJ233,ROW(BJ$2)-ROW(BJ233),2)="T",0,IF(OFFSET(BJ233,ROW(BJ$2)-ROW(BJ233),1)="T",-1,-2))),1,6) &amp; "'!2:2",TRUE),0)-IF(OFFSET(BJ233,ROW(BJ$2)-ROW(BJ233),2)="T",1,IF(OFFSET(BJ233,ROW(BJ$2)-ROW(BJ233),1)="T",0,-1))),TRUE)</f>
        <v>0</v>
      </c>
      <c r="BK233" s="362">
        <f t="shared" ca="1" si="433"/>
        <v>0</v>
      </c>
      <c r="BL233" s="363">
        <f t="shared" ca="1" si="397"/>
        <v>0</v>
      </c>
      <c r="BM233" s="360">
        <f t="shared" ca="1" si="385"/>
        <v>0</v>
      </c>
      <c r="BN233" s="360">
        <f t="shared" ca="1" si="385"/>
        <v>0</v>
      </c>
    </row>
    <row r="234" spans="1:66">
      <c r="A234" s="221" t="str">
        <f t="shared" ca="1" si="372"/>
        <v>WP007</v>
      </c>
      <c r="B234" s="221" t="str">
        <f t="shared" ca="1" si="373"/>
        <v>WP007</v>
      </c>
      <c r="C234" s="221">
        <v>7</v>
      </c>
      <c r="D234" s="221" t="s">
        <v>114</v>
      </c>
      <c r="L234" s="221" t="s">
        <v>110</v>
      </c>
      <c r="M234" s="221" t="s">
        <v>80</v>
      </c>
      <c r="N234" s="461"/>
      <c r="O234" s="255"/>
      <c r="P234" s="389"/>
      <c r="Q234" s="254" t="s">
        <v>115</v>
      </c>
      <c r="R234" s="361">
        <f t="shared" ca="1" si="422"/>
        <v>0</v>
      </c>
      <c r="S234" s="362">
        <f t="shared" ca="1" si="422"/>
        <v>0</v>
      </c>
      <c r="T234" s="363">
        <f t="shared" ca="1" si="386"/>
        <v>0</v>
      </c>
      <c r="U234" s="360">
        <f t="shared" ca="1" si="374"/>
        <v>0</v>
      </c>
      <c r="V234" s="361">
        <f t="shared" ca="1" si="423"/>
        <v>0</v>
      </c>
      <c r="W234" s="362">
        <f t="shared" ca="1" si="423"/>
        <v>0</v>
      </c>
      <c r="X234" s="363">
        <f t="shared" ca="1" si="387"/>
        <v>0</v>
      </c>
      <c r="Y234" s="360">
        <f t="shared" ca="1" si="375"/>
        <v>0</v>
      </c>
      <c r="Z234" s="361">
        <f t="shared" ca="1" si="424"/>
        <v>0</v>
      </c>
      <c r="AA234" s="362">
        <f t="shared" ca="1" si="424"/>
        <v>0</v>
      </c>
      <c r="AB234" s="363">
        <f t="shared" ca="1" si="388"/>
        <v>0</v>
      </c>
      <c r="AC234" s="360">
        <f t="shared" ca="1" si="376"/>
        <v>0</v>
      </c>
      <c r="AD234" s="361">
        <f t="shared" ca="1" si="425"/>
        <v>0</v>
      </c>
      <c r="AE234" s="362">
        <f t="shared" ca="1" si="425"/>
        <v>0</v>
      </c>
      <c r="AF234" s="363">
        <f t="shared" ca="1" si="389"/>
        <v>0</v>
      </c>
      <c r="AG234" s="360">
        <f t="shared" ca="1" si="377"/>
        <v>0</v>
      </c>
      <c r="AH234" s="361">
        <f t="shared" ca="1" si="426"/>
        <v>0</v>
      </c>
      <c r="AI234" s="362">
        <f t="shared" ca="1" si="426"/>
        <v>0</v>
      </c>
      <c r="AJ234" s="363">
        <f t="shared" ca="1" si="390"/>
        <v>0</v>
      </c>
      <c r="AK234" s="360">
        <f t="shared" ca="1" si="378"/>
        <v>0</v>
      </c>
      <c r="AL234" s="361">
        <f t="shared" ca="1" si="427"/>
        <v>0</v>
      </c>
      <c r="AM234" s="362">
        <f t="shared" ca="1" si="427"/>
        <v>0</v>
      </c>
      <c r="AN234" s="363">
        <f t="shared" ca="1" si="391"/>
        <v>0</v>
      </c>
      <c r="AO234" s="360">
        <f t="shared" ca="1" si="379"/>
        <v>0</v>
      </c>
      <c r="AP234" s="361">
        <f t="shared" ca="1" si="428"/>
        <v>0</v>
      </c>
      <c r="AQ234" s="362">
        <f t="shared" ca="1" si="428"/>
        <v>0</v>
      </c>
      <c r="AR234" s="363">
        <f t="shared" ca="1" si="392"/>
        <v>0</v>
      </c>
      <c r="AS234" s="360">
        <f t="shared" ca="1" si="380"/>
        <v>0</v>
      </c>
      <c r="AT234" s="361">
        <f t="shared" ca="1" si="429"/>
        <v>0</v>
      </c>
      <c r="AU234" s="362">
        <f t="shared" ca="1" si="429"/>
        <v>0</v>
      </c>
      <c r="AV234" s="363">
        <f t="shared" ca="1" si="393"/>
        <v>0</v>
      </c>
      <c r="AW234" s="360">
        <f t="shared" ca="1" si="381"/>
        <v>0</v>
      </c>
      <c r="AX234" s="361">
        <f t="shared" ca="1" si="430"/>
        <v>0</v>
      </c>
      <c r="AY234" s="362">
        <f t="shared" ca="1" si="430"/>
        <v>0</v>
      </c>
      <c r="AZ234" s="363">
        <f t="shared" ca="1" si="394"/>
        <v>0</v>
      </c>
      <c r="BA234" s="360">
        <f t="shared" ca="1" si="382"/>
        <v>0</v>
      </c>
      <c r="BB234" s="361">
        <f t="shared" ca="1" si="431"/>
        <v>0</v>
      </c>
      <c r="BC234" s="362">
        <f t="shared" ca="1" si="431"/>
        <v>0</v>
      </c>
      <c r="BD234" s="363">
        <f t="shared" ca="1" si="395"/>
        <v>0</v>
      </c>
      <c r="BE234" s="360">
        <f t="shared" ca="1" si="383"/>
        <v>0</v>
      </c>
      <c r="BF234" s="361">
        <f t="shared" ca="1" si="432"/>
        <v>0</v>
      </c>
      <c r="BG234" s="362">
        <f t="shared" ca="1" si="432"/>
        <v>0</v>
      </c>
      <c r="BH234" s="363">
        <f t="shared" ca="1" si="396"/>
        <v>0</v>
      </c>
      <c r="BI234" s="360">
        <f t="shared" ca="1" si="384"/>
        <v>0</v>
      </c>
      <c r="BJ234" s="361">
        <f t="shared" ca="1" si="433"/>
        <v>0</v>
      </c>
      <c r="BK234" s="362">
        <f t="shared" ca="1" si="433"/>
        <v>0</v>
      </c>
      <c r="BL234" s="363">
        <f t="shared" ca="1" si="397"/>
        <v>0</v>
      </c>
      <c r="BM234" s="360">
        <f t="shared" ca="1" si="385"/>
        <v>0</v>
      </c>
      <c r="BN234" s="360">
        <f t="shared" ca="1" si="385"/>
        <v>0</v>
      </c>
    </row>
    <row r="235" spans="1:66">
      <c r="A235" s="221" t="str">
        <f t="shared" ca="1" si="372"/>
        <v>WP007</v>
      </c>
      <c r="B235" s="221" t="str">
        <f t="shared" ca="1" si="373"/>
        <v>WP007</v>
      </c>
      <c r="C235" s="221">
        <v>7</v>
      </c>
      <c r="D235" s="221" t="s">
        <v>116</v>
      </c>
      <c r="L235" s="221" t="s">
        <v>110</v>
      </c>
      <c r="M235" s="221" t="s">
        <v>80</v>
      </c>
      <c r="N235" s="461"/>
      <c r="O235" s="255"/>
      <c r="P235" s="389"/>
      <c r="Q235" s="254" t="s">
        <v>117</v>
      </c>
      <c r="R235" s="361">
        <f t="shared" ca="1" si="422"/>
        <v>0</v>
      </c>
      <c r="S235" s="362">
        <f t="shared" ca="1" si="422"/>
        <v>0</v>
      </c>
      <c r="T235" s="363">
        <f t="shared" ca="1" si="386"/>
        <v>0</v>
      </c>
      <c r="U235" s="360">
        <f t="shared" ca="1" si="374"/>
        <v>0</v>
      </c>
      <c r="V235" s="361">
        <f t="shared" ca="1" si="423"/>
        <v>0</v>
      </c>
      <c r="W235" s="362">
        <f t="shared" ca="1" si="423"/>
        <v>0</v>
      </c>
      <c r="X235" s="363">
        <f t="shared" ca="1" si="387"/>
        <v>0</v>
      </c>
      <c r="Y235" s="360">
        <f t="shared" ca="1" si="375"/>
        <v>0</v>
      </c>
      <c r="Z235" s="361">
        <f t="shared" ca="1" si="424"/>
        <v>0</v>
      </c>
      <c r="AA235" s="362">
        <f t="shared" ca="1" si="424"/>
        <v>0</v>
      </c>
      <c r="AB235" s="363">
        <f t="shared" ca="1" si="388"/>
        <v>0</v>
      </c>
      <c r="AC235" s="360">
        <f t="shared" ca="1" si="376"/>
        <v>0</v>
      </c>
      <c r="AD235" s="361">
        <f t="shared" ca="1" si="425"/>
        <v>0</v>
      </c>
      <c r="AE235" s="362">
        <f t="shared" ca="1" si="425"/>
        <v>0</v>
      </c>
      <c r="AF235" s="363">
        <f t="shared" ca="1" si="389"/>
        <v>0</v>
      </c>
      <c r="AG235" s="360">
        <f t="shared" ca="1" si="377"/>
        <v>0</v>
      </c>
      <c r="AH235" s="361">
        <f t="shared" ca="1" si="426"/>
        <v>0</v>
      </c>
      <c r="AI235" s="362">
        <f t="shared" ca="1" si="426"/>
        <v>0</v>
      </c>
      <c r="AJ235" s="363">
        <f t="shared" ca="1" si="390"/>
        <v>0</v>
      </c>
      <c r="AK235" s="360">
        <f t="shared" ca="1" si="378"/>
        <v>0</v>
      </c>
      <c r="AL235" s="361">
        <f t="shared" ca="1" si="427"/>
        <v>0</v>
      </c>
      <c r="AM235" s="362">
        <f t="shared" ca="1" si="427"/>
        <v>0</v>
      </c>
      <c r="AN235" s="363">
        <f t="shared" ca="1" si="391"/>
        <v>0</v>
      </c>
      <c r="AO235" s="360">
        <f t="shared" ca="1" si="379"/>
        <v>0</v>
      </c>
      <c r="AP235" s="361">
        <f t="shared" ca="1" si="428"/>
        <v>0</v>
      </c>
      <c r="AQ235" s="362">
        <f t="shared" ca="1" si="428"/>
        <v>0</v>
      </c>
      <c r="AR235" s="363">
        <f t="shared" ca="1" si="392"/>
        <v>0</v>
      </c>
      <c r="AS235" s="360">
        <f t="shared" ca="1" si="380"/>
        <v>0</v>
      </c>
      <c r="AT235" s="361">
        <f t="shared" ca="1" si="429"/>
        <v>0</v>
      </c>
      <c r="AU235" s="362">
        <f t="shared" ca="1" si="429"/>
        <v>0</v>
      </c>
      <c r="AV235" s="363">
        <f t="shared" ca="1" si="393"/>
        <v>0</v>
      </c>
      <c r="AW235" s="360">
        <f t="shared" ca="1" si="381"/>
        <v>0</v>
      </c>
      <c r="AX235" s="361">
        <f t="shared" ca="1" si="430"/>
        <v>0</v>
      </c>
      <c r="AY235" s="362">
        <f t="shared" ca="1" si="430"/>
        <v>0</v>
      </c>
      <c r="AZ235" s="363">
        <f t="shared" ca="1" si="394"/>
        <v>0</v>
      </c>
      <c r="BA235" s="360">
        <f t="shared" ca="1" si="382"/>
        <v>0</v>
      </c>
      <c r="BB235" s="361">
        <f t="shared" ca="1" si="431"/>
        <v>0</v>
      </c>
      <c r="BC235" s="362">
        <f t="shared" ca="1" si="431"/>
        <v>0</v>
      </c>
      <c r="BD235" s="363">
        <f t="shared" ca="1" si="395"/>
        <v>0</v>
      </c>
      <c r="BE235" s="360">
        <f t="shared" ca="1" si="383"/>
        <v>0</v>
      </c>
      <c r="BF235" s="361">
        <f t="shared" ca="1" si="432"/>
        <v>0</v>
      </c>
      <c r="BG235" s="362">
        <f t="shared" ca="1" si="432"/>
        <v>0</v>
      </c>
      <c r="BH235" s="363">
        <f t="shared" ca="1" si="396"/>
        <v>0</v>
      </c>
      <c r="BI235" s="360">
        <f t="shared" ca="1" si="384"/>
        <v>0</v>
      </c>
      <c r="BJ235" s="361">
        <f t="shared" ca="1" si="433"/>
        <v>0</v>
      </c>
      <c r="BK235" s="362">
        <f t="shared" ca="1" si="433"/>
        <v>0</v>
      </c>
      <c r="BL235" s="363">
        <f t="shared" ca="1" si="397"/>
        <v>0</v>
      </c>
      <c r="BM235" s="360">
        <f t="shared" ca="1" si="385"/>
        <v>0</v>
      </c>
      <c r="BN235" s="360">
        <f t="shared" ca="1" si="385"/>
        <v>0</v>
      </c>
    </row>
    <row r="236" spans="1:66">
      <c r="A236" s="221" t="str">
        <f t="shared" ca="1" si="372"/>
        <v>WP007</v>
      </c>
      <c r="B236" s="221" t="str">
        <f t="shared" ca="1" si="373"/>
        <v>WP007</v>
      </c>
      <c r="C236" s="221">
        <v>7</v>
      </c>
      <c r="D236" s="221" t="s">
        <v>118</v>
      </c>
      <c r="L236" s="221" t="s">
        <v>110</v>
      </c>
      <c r="M236" s="221" t="s">
        <v>80</v>
      </c>
      <c r="N236" s="461"/>
      <c r="O236" s="255"/>
      <c r="P236" s="389"/>
      <c r="Q236" s="254" t="s">
        <v>119</v>
      </c>
      <c r="R236" s="361">
        <f t="shared" ca="1" si="422"/>
        <v>0</v>
      </c>
      <c r="S236" s="362">
        <f t="shared" ca="1" si="422"/>
        <v>0</v>
      </c>
      <c r="T236" s="363">
        <f t="shared" ca="1" si="386"/>
        <v>0</v>
      </c>
      <c r="U236" s="360">
        <f t="shared" ca="1" si="374"/>
        <v>0</v>
      </c>
      <c r="V236" s="361">
        <f t="shared" ca="1" si="423"/>
        <v>0</v>
      </c>
      <c r="W236" s="362">
        <f t="shared" ca="1" si="423"/>
        <v>0</v>
      </c>
      <c r="X236" s="363">
        <f t="shared" ca="1" si="387"/>
        <v>0</v>
      </c>
      <c r="Y236" s="360">
        <f t="shared" ca="1" si="375"/>
        <v>0</v>
      </c>
      <c r="Z236" s="361">
        <f t="shared" ca="1" si="424"/>
        <v>0</v>
      </c>
      <c r="AA236" s="362">
        <f t="shared" ca="1" si="424"/>
        <v>0</v>
      </c>
      <c r="AB236" s="363">
        <f t="shared" ca="1" si="388"/>
        <v>0</v>
      </c>
      <c r="AC236" s="360">
        <f t="shared" ca="1" si="376"/>
        <v>0</v>
      </c>
      <c r="AD236" s="361">
        <f t="shared" ca="1" si="425"/>
        <v>0</v>
      </c>
      <c r="AE236" s="362">
        <f t="shared" ca="1" si="425"/>
        <v>0</v>
      </c>
      <c r="AF236" s="363">
        <f t="shared" ca="1" si="389"/>
        <v>0</v>
      </c>
      <c r="AG236" s="360">
        <f t="shared" ca="1" si="377"/>
        <v>0</v>
      </c>
      <c r="AH236" s="361">
        <f t="shared" ca="1" si="426"/>
        <v>0</v>
      </c>
      <c r="AI236" s="362">
        <f t="shared" ca="1" si="426"/>
        <v>0</v>
      </c>
      <c r="AJ236" s="363">
        <f t="shared" ca="1" si="390"/>
        <v>0</v>
      </c>
      <c r="AK236" s="360">
        <f t="shared" ca="1" si="378"/>
        <v>0</v>
      </c>
      <c r="AL236" s="361">
        <f t="shared" ca="1" si="427"/>
        <v>0</v>
      </c>
      <c r="AM236" s="362">
        <f t="shared" ca="1" si="427"/>
        <v>0</v>
      </c>
      <c r="AN236" s="363">
        <f t="shared" ca="1" si="391"/>
        <v>0</v>
      </c>
      <c r="AO236" s="360">
        <f t="shared" ca="1" si="379"/>
        <v>0</v>
      </c>
      <c r="AP236" s="361">
        <f t="shared" ca="1" si="428"/>
        <v>0</v>
      </c>
      <c r="AQ236" s="362">
        <f t="shared" ca="1" si="428"/>
        <v>0</v>
      </c>
      <c r="AR236" s="363">
        <f t="shared" ca="1" si="392"/>
        <v>0</v>
      </c>
      <c r="AS236" s="360">
        <f t="shared" ca="1" si="380"/>
        <v>0</v>
      </c>
      <c r="AT236" s="361">
        <f t="shared" ca="1" si="429"/>
        <v>0</v>
      </c>
      <c r="AU236" s="362">
        <f t="shared" ca="1" si="429"/>
        <v>0</v>
      </c>
      <c r="AV236" s="363">
        <f t="shared" ca="1" si="393"/>
        <v>0</v>
      </c>
      <c r="AW236" s="360">
        <f t="shared" ca="1" si="381"/>
        <v>0</v>
      </c>
      <c r="AX236" s="361">
        <f t="shared" ca="1" si="430"/>
        <v>0</v>
      </c>
      <c r="AY236" s="362">
        <f t="shared" ca="1" si="430"/>
        <v>0</v>
      </c>
      <c r="AZ236" s="363">
        <f t="shared" ca="1" si="394"/>
        <v>0</v>
      </c>
      <c r="BA236" s="360">
        <f t="shared" ca="1" si="382"/>
        <v>0</v>
      </c>
      <c r="BB236" s="361">
        <f t="shared" ca="1" si="431"/>
        <v>0</v>
      </c>
      <c r="BC236" s="362">
        <f t="shared" ca="1" si="431"/>
        <v>0</v>
      </c>
      <c r="BD236" s="363">
        <f t="shared" ca="1" si="395"/>
        <v>0</v>
      </c>
      <c r="BE236" s="360">
        <f t="shared" ca="1" si="383"/>
        <v>0</v>
      </c>
      <c r="BF236" s="361">
        <f t="shared" ca="1" si="432"/>
        <v>0</v>
      </c>
      <c r="BG236" s="362">
        <f t="shared" ca="1" si="432"/>
        <v>0</v>
      </c>
      <c r="BH236" s="363">
        <f t="shared" ca="1" si="396"/>
        <v>0</v>
      </c>
      <c r="BI236" s="360">
        <f t="shared" ca="1" si="384"/>
        <v>0</v>
      </c>
      <c r="BJ236" s="361">
        <f t="shared" ca="1" si="433"/>
        <v>0</v>
      </c>
      <c r="BK236" s="362">
        <f t="shared" ca="1" si="433"/>
        <v>0</v>
      </c>
      <c r="BL236" s="363">
        <f t="shared" ca="1" si="397"/>
        <v>0</v>
      </c>
      <c r="BM236" s="360">
        <f t="shared" ca="1" si="385"/>
        <v>0</v>
      </c>
      <c r="BN236" s="360">
        <f t="shared" ca="1" si="385"/>
        <v>0</v>
      </c>
    </row>
    <row r="237" spans="1:66">
      <c r="A237" s="221" t="str">
        <f t="shared" ca="1" si="372"/>
        <v>WP007</v>
      </c>
      <c r="B237" s="221" t="str">
        <f t="shared" ca="1" si="373"/>
        <v>WP007</v>
      </c>
      <c r="C237" s="221">
        <v>7</v>
      </c>
      <c r="D237" s="221" t="s">
        <v>120</v>
      </c>
      <c r="L237" s="221" t="s">
        <v>110</v>
      </c>
      <c r="M237" s="221" t="s">
        <v>80</v>
      </c>
      <c r="N237" s="461"/>
      <c r="O237" s="255"/>
      <c r="P237" s="389"/>
      <c r="Q237" s="254" t="s">
        <v>121</v>
      </c>
      <c r="R237" s="361">
        <f t="shared" ca="1" si="422"/>
        <v>0</v>
      </c>
      <c r="S237" s="362">
        <f t="shared" ca="1" si="422"/>
        <v>0</v>
      </c>
      <c r="T237" s="363">
        <f t="shared" ca="1" si="386"/>
        <v>0</v>
      </c>
      <c r="U237" s="360">
        <f t="shared" ca="1" si="374"/>
        <v>0</v>
      </c>
      <c r="V237" s="361">
        <f t="shared" ca="1" si="423"/>
        <v>0</v>
      </c>
      <c r="W237" s="362">
        <f t="shared" ca="1" si="423"/>
        <v>0</v>
      </c>
      <c r="X237" s="363">
        <f t="shared" ca="1" si="387"/>
        <v>0</v>
      </c>
      <c r="Y237" s="360">
        <f t="shared" ca="1" si="375"/>
        <v>0</v>
      </c>
      <c r="Z237" s="361">
        <f t="shared" ca="1" si="424"/>
        <v>0</v>
      </c>
      <c r="AA237" s="362">
        <f t="shared" ca="1" si="424"/>
        <v>0</v>
      </c>
      <c r="AB237" s="363">
        <f t="shared" ca="1" si="388"/>
        <v>0</v>
      </c>
      <c r="AC237" s="360">
        <f t="shared" ca="1" si="376"/>
        <v>0</v>
      </c>
      <c r="AD237" s="361">
        <f t="shared" ca="1" si="425"/>
        <v>0</v>
      </c>
      <c r="AE237" s="362">
        <f t="shared" ca="1" si="425"/>
        <v>0</v>
      </c>
      <c r="AF237" s="363">
        <f t="shared" ca="1" si="389"/>
        <v>0</v>
      </c>
      <c r="AG237" s="360">
        <f t="shared" ca="1" si="377"/>
        <v>0</v>
      </c>
      <c r="AH237" s="361">
        <f t="shared" ca="1" si="426"/>
        <v>0</v>
      </c>
      <c r="AI237" s="362">
        <f t="shared" ca="1" si="426"/>
        <v>0</v>
      </c>
      <c r="AJ237" s="363">
        <f t="shared" ca="1" si="390"/>
        <v>0</v>
      </c>
      <c r="AK237" s="360">
        <f t="shared" ca="1" si="378"/>
        <v>0</v>
      </c>
      <c r="AL237" s="361">
        <f t="shared" ca="1" si="427"/>
        <v>0</v>
      </c>
      <c r="AM237" s="362">
        <f t="shared" ca="1" si="427"/>
        <v>0</v>
      </c>
      <c r="AN237" s="363">
        <f t="shared" ca="1" si="391"/>
        <v>0</v>
      </c>
      <c r="AO237" s="360">
        <f t="shared" ca="1" si="379"/>
        <v>0</v>
      </c>
      <c r="AP237" s="361">
        <f t="shared" ca="1" si="428"/>
        <v>0</v>
      </c>
      <c r="AQ237" s="362">
        <f t="shared" ca="1" si="428"/>
        <v>0</v>
      </c>
      <c r="AR237" s="363">
        <f t="shared" ca="1" si="392"/>
        <v>0</v>
      </c>
      <c r="AS237" s="360">
        <f t="shared" ca="1" si="380"/>
        <v>0</v>
      </c>
      <c r="AT237" s="361">
        <f t="shared" ca="1" si="429"/>
        <v>0</v>
      </c>
      <c r="AU237" s="362">
        <f t="shared" ca="1" si="429"/>
        <v>0</v>
      </c>
      <c r="AV237" s="363">
        <f t="shared" ca="1" si="393"/>
        <v>0</v>
      </c>
      <c r="AW237" s="360">
        <f t="shared" ca="1" si="381"/>
        <v>0</v>
      </c>
      <c r="AX237" s="361">
        <f t="shared" ca="1" si="430"/>
        <v>0</v>
      </c>
      <c r="AY237" s="362">
        <f t="shared" ca="1" si="430"/>
        <v>0</v>
      </c>
      <c r="AZ237" s="363">
        <f t="shared" ca="1" si="394"/>
        <v>0</v>
      </c>
      <c r="BA237" s="360">
        <f t="shared" ca="1" si="382"/>
        <v>0</v>
      </c>
      <c r="BB237" s="361">
        <f t="shared" ca="1" si="431"/>
        <v>0</v>
      </c>
      <c r="BC237" s="362">
        <f t="shared" ca="1" si="431"/>
        <v>0</v>
      </c>
      <c r="BD237" s="363">
        <f t="shared" ca="1" si="395"/>
        <v>0</v>
      </c>
      <c r="BE237" s="360">
        <f t="shared" ca="1" si="383"/>
        <v>0</v>
      </c>
      <c r="BF237" s="361">
        <f t="shared" ca="1" si="432"/>
        <v>0</v>
      </c>
      <c r="BG237" s="362">
        <f t="shared" ca="1" si="432"/>
        <v>0</v>
      </c>
      <c r="BH237" s="363">
        <f t="shared" ca="1" si="396"/>
        <v>0</v>
      </c>
      <c r="BI237" s="360">
        <f t="shared" ca="1" si="384"/>
        <v>0</v>
      </c>
      <c r="BJ237" s="361">
        <f t="shared" ca="1" si="433"/>
        <v>0</v>
      </c>
      <c r="BK237" s="362">
        <f t="shared" ca="1" si="433"/>
        <v>0</v>
      </c>
      <c r="BL237" s="363">
        <f t="shared" ca="1" si="397"/>
        <v>0</v>
      </c>
      <c r="BM237" s="360">
        <f t="shared" ca="1" si="385"/>
        <v>0</v>
      </c>
      <c r="BN237" s="360">
        <f t="shared" ca="1" si="385"/>
        <v>0</v>
      </c>
    </row>
    <row r="238" spans="1:66">
      <c r="A238" s="221" t="str">
        <f t="shared" ca="1" si="372"/>
        <v>WP007</v>
      </c>
      <c r="B238" s="221" t="str">
        <f t="shared" ca="1" si="373"/>
        <v>WP007</v>
      </c>
      <c r="C238" s="221">
        <v>7</v>
      </c>
      <c r="D238" s="221" t="s">
        <v>122</v>
      </c>
      <c r="L238" s="221" t="s">
        <v>110</v>
      </c>
      <c r="M238" s="221" t="s">
        <v>80</v>
      </c>
      <c r="N238" s="461"/>
      <c r="O238" s="256"/>
      <c r="P238" s="389"/>
      <c r="Q238" s="254" t="s">
        <v>123</v>
      </c>
      <c r="R238" s="361">
        <f t="shared" ca="1" si="422"/>
        <v>0</v>
      </c>
      <c r="S238" s="362">
        <f t="shared" ca="1" si="422"/>
        <v>0</v>
      </c>
      <c r="T238" s="363">
        <f t="shared" ca="1" si="386"/>
        <v>0</v>
      </c>
      <c r="U238" s="360">
        <f t="shared" ca="1" si="374"/>
        <v>0</v>
      </c>
      <c r="V238" s="361">
        <f t="shared" ca="1" si="423"/>
        <v>0</v>
      </c>
      <c r="W238" s="362">
        <f t="shared" ca="1" si="423"/>
        <v>0</v>
      </c>
      <c r="X238" s="363">
        <f t="shared" ca="1" si="387"/>
        <v>0</v>
      </c>
      <c r="Y238" s="360">
        <f t="shared" ca="1" si="375"/>
        <v>0</v>
      </c>
      <c r="Z238" s="361">
        <f t="shared" ca="1" si="424"/>
        <v>0</v>
      </c>
      <c r="AA238" s="362">
        <f t="shared" ca="1" si="424"/>
        <v>0</v>
      </c>
      <c r="AB238" s="363">
        <f t="shared" ca="1" si="388"/>
        <v>0</v>
      </c>
      <c r="AC238" s="360">
        <f t="shared" ca="1" si="376"/>
        <v>0</v>
      </c>
      <c r="AD238" s="361">
        <f t="shared" ca="1" si="425"/>
        <v>0</v>
      </c>
      <c r="AE238" s="362">
        <f t="shared" ca="1" si="425"/>
        <v>0</v>
      </c>
      <c r="AF238" s="363">
        <f t="shared" ca="1" si="389"/>
        <v>0</v>
      </c>
      <c r="AG238" s="360">
        <f t="shared" ca="1" si="377"/>
        <v>0</v>
      </c>
      <c r="AH238" s="361">
        <f t="shared" ca="1" si="426"/>
        <v>0</v>
      </c>
      <c r="AI238" s="362">
        <f t="shared" ca="1" si="426"/>
        <v>0</v>
      </c>
      <c r="AJ238" s="363">
        <f t="shared" ca="1" si="390"/>
        <v>0</v>
      </c>
      <c r="AK238" s="360">
        <f t="shared" ca="1" si="378"/>
        <v>0</v>
      </c>
      <c r="AL238" s="361">
        <f t="shared" ca="1" si="427"/>
        <v>0</v>
      </c>
      <c r="AM238" s="362">
        <f t="shared" ca="1" si="427"/>
        <v>0</v>
      </c>
      <c r="AN238" s="363">
        <f t="shared" ca="1" si="391"/>
        <v>0</v>
      </c>
      <c r="AO238" s="360">
        <f t="shared" ca="1" si="379"/>
        <v>0</v>
      </c>
      <c r="AP238" s="361">
        <f t="shared" ca="1" si="428"/>
        <v>0</v>
      </c>
      <c r="AQ238" s="362">
        <f t="shared" ca="1" si="428"/>
        <v>0</v>
      </c>
      <c r="AR238" s="363">
        <f t="shared" ca="1" si="392"/>
        <v>0</v>
      </c>
      <c r="AS238" s="360">
        <f t="shared" ca="1" si="380"/>
        <v>0</v>
      </c>
      <c r="AT238" s="361">
        <f t="shared" ca="1" si="429"/>
        <v>0</v>
      </c>
      <c r="AU238" s="362">
        <f t="shared" ca="1" si="429"/>
        <v>0</v>
      </c>
      <c r="AV238" s="363">
        <f t="shared" ca="1" si="393"/>
        <v>0</v>
      </c>
      <c r="AW238" s="360">
        <f t="shared" ca="1" si="381"/>
        <v>0</v>
      </c>
      <c r="AX238" s="361">
        <f t="shared" ca="1" si="430"/>
        <v>0</v>
      </c>
      <c r="AY238" s="362">
        <f t="shared" ca="1" si="430"/>
        <v>0</v>
      </c>
      <c r="AZ238" s="363">
        <f t="shared" ca="1" si="394"/>
        <v>0</v>
      </c>
      <c r="BA238" s="360">
        <f t="shared" ca="1" si="382"/>
        <v>0</v>
      </c>
      <c r="BB238" s="361">
        <f t="shared" ca="1" si="431"/>
        <v>0</v>
      </c>
      <c r="BC238" s="362">
        <f t="shared" ca="1" si="431"/>
        <v>0</v>
      </c>
      <c r="BD238" s="363">
        <f t="shared" ca="1" si="395"/>
        <v>0</v>
      </c>
      <c r="BE238" s="360">
        <f t="shared" ca="1" si="383"/>
        <v>0</v>
      </c>
      <c r="BF238" s="361">
        <f t="shared" ca="1" si="432"/>
        <v>0</v>
      </c>
      <c r="BG238" s="362">
        <f t="shared" ca="1" si="432"/>
        <v>0</v>
      </c>
      <c r="BH238" s="363">
        <f t="shared" ca="1" si="396"/>
        <v>0</v>
      </c>
      <c r="BI238" s="360">
        <f t="shared" ca="1" si="384"/>
        <v>0</v>
      </c>
      <c r="BJ238" s="361">
        <f t="shared" ca="1" si="433"/>
        <v>0</v>
      </c>
      <c r="BK238" s="362">
        <f t="shared" ca="1" si="433"/>
        <v>0</v>
      </c>
      <c r="BL238" s="363">
        <f t="shared" ca="1" si="397"/>
        <v>0</v>
      </c>
      <c r="BM238" s="360">
        <f t="shared" ca="1" si="385"/>
        <v>0</v>
      </c>
      <c r="BN238" s="360">
        <f t="shared" ca="1" si="385"/>
        <v>0</v>
      </c>
    </row>
    <row r="239" spans="1:66">
      <c r="A239" s="221" t="str">
        <f t="shared" ca="1" si="372"/>
        <v>WP007</v>
      </c>
      <c r="B239" s="221" t="str">
        <f t="shared" ca="1" si="373"/>
        <v>WP007</v>
      </c>
      <c r="C239" s="221">
        <v>4</v>
      </c>
      <c r="D239" s="221" t="s">
        <v>124</v>
      </c>
      <c r="H239" s="221" t="s">
        <v>74</v>
      </c>
      <c r="I239" s="221" t="s">
        <v>125</v>
      </c>
      <c r="M239" s="221" t="s">
        <v>46</v>
      </c>
      <c r="N239" s="461"/>
      <c r="O239" s="452" t="s">
        <v>126</v>
      </c>
      <c r="P239" s="453"/>
      <c r="Q239" s="453"/>
      <c r="R239" s="353"/>
      <c r="S239" s="354"/>
      <c r="T239" s="355">
        <f t="shared" ca="1" si="386"/>
        <v>0</v>
      </c>
      <c r="U239" s="356">
        <f t="shared" ca="1" si="374"/>
        <v>0</v>
      </c>
      <c r="V239" s="353"/>
      <c r="W239" s="354"/>
      <c r="X239" s="355">
        <f t="shared" ca="1" si="387"/>
        <v>0</v>
      </c>
      <c r="Y239" s="356">
        <f t="shared" ca="1" si="375"/>
        <v>0</v>
      </c>
      <c r="Z239" s="353"/>
      <c r="AA239" s="354"/>
      <c r="AB239" s="355">
        <f t="shared" ca="1" si="388"/>
        <v>0</v>
      </c>
      <c r="AC239" s="356">
        <f t="shared" ca="1" si="376"/>
        <v>0</v>
      </c>
      <c r="AD239" s="353"/>
      <c r="AE239" s="354"/>
      <c r="AF239" s="355">
        <f t="shared" ca="1" si="389"/>
        <v>0</v>
      </c>
      <c r="AG239" s="356">
        <f t="shared" ca="1" si="377"/>
        <v>0</v>
      </c>
      <c r="AH239" s="353"/>
      <c r="AI239" s="354"/>
      <c r="AJ239" s="355">
        <f t="shared" ca="1" si="390"/>
        <v>0</v>
      </c>
      <c r="AK239" s="356">
        <f t="shared" ca="1" si="378"/>
        <v>0</v>
      </c>
      <c r="AL239" s="353"/>
      <c r="AM239" s="354"/>
      <c r="AN239" s="355">
        <f t="shared" ca="1" si="391"/>
        <v>0</v>
      </c>
      <c r="AO239" s="356">
        <f t="shared" ca="1" si="379"/>
        <v>0</v>
      </c>
      <c r="AP239" s="353"/>
      <c r="AQ239" s="354"/>
      <c r="AR239" s="355">
        <f t="shared" ca="1" si="392"/>
        <v>0</v>
      </c>
      <c r="AS239" s="356">
        <f t="shared" ca="1" si="380"/>
        <v>0</v>
      </c>
      <c r="AT239" s="353"/>
      <c r="AU239" s="354"/>
      <c r="AV239" s="355">
        <f t="shared" ca="1" si="393"/>
        <v>0</v>
      </c>
      <c r="AW239" s="356">
        <f t="shared" ca="1" si="381"/>
        <v>0</v>
      </c>
      <c r="AX239" s="353"/>
      <c r="AY239" s="354"/>
      <c r="AZ239" s="355">
        <f t="shared" ca="1" si="394"/>
        <v>0</v>
      </c>
      <c r="BA239" s="356">
        <f t="shared" ca="1" si="382"/>
        <v>0</v>
      </c>
      <c r="BB239" s="353"/>
      <c r="BC239" s="354"/>
      <c r="BD239" s="355">
        <f t="shared" ca="1" si="395"/>
        <v>0</v>
      </c>
      <c r="BE239" s="356">
        <f t="shared" ca="1" si="383"/>
        <v>0</v>
      </c>
      <c r="BF239" s="353"/>
      <c r="BG239" s="354"/>
      <c r="BH239" s="355">
        <f t="shared" ca="1" si="396"/>
        <v>0</v>
      </c>
      <c r="BI239" s="356">
        <f t="shared" ca="1" si="384"/>
        <v>0</v>
      </c>
      <c r="BJ239" s="353"/>
      <c r="BK239" s="354"/>
      <c r="BL239" s="355">
        <f t="shared" ca="1" si="397"/>
        <v>0</v>
      </c>
      <c r="BM239" s="356">
        <f t="shared" ca="1" si="385"/>
        <v>0</v>
      </c>
      <c r="BN239" s="356">
        <f t="shared" ca="1" si="385"/>
        <v>0</v>
      </c>
    </row>
    <row r="240" spans="1:66">
      <c r="A240" s="221" t="str">
        <f t="shared" ca="1" si="372"/>
        <v>WP007</v>
      </c>
      <c r="B240" s="221" t="str">
        <f t="shared" ca="1" si="373"/>
        <v>WP007</v>
      </c>
      <c r="C240" s="221">
        <v>5</v>
      </c>
      <c r="D240" s="221" t="s">
        <v>127</v>
      </c>
      <c r="J240" s="222" t="s">
        <v>125</v>
      </c>
      <c r="M240" s="221" t="s">
        <v>80</v>
      </c>
      <c r="N240" s="461"/>
      <c r="O240" s="257"/>
      <c r="P240" s="457" t="s">
        <v>128</v>
      </c>
      <c r="Q240" s="458"/>
      <c r="R240" s="361">
        <f ca="1">INDIRECT("'"&amp; MID(OFFSET(R240,ROW(R$3)-ROW(R240),IF(OFFSET(R240,ROW(R$2)-ROW(R240),2)="T",0,IF(OFFSET(R240,ROW(R$2)-ROW(R240),1)="T",-1,-2))),1,6) &amp; "'!" &amp; ADDRESS(ROW(R240),MATCH(INDIRECT(ADDRESS(2,COLUMN(R240)+IF(OFFSET(R240,ROW(R$2)-ROW(R240),2)="T",1,IF(OFFSET(R240,ROW(R$2)-ROW(R240),1)="T",0,-1))),TRUE),INDIRECT("'"&amp; MID(OFFSET(R240,ROW(R$3)-ROW(R240),IF(OFFSET(R240,ROW(R$2)-ROW(R240),2)="T",0,IF(OFFSET(R240,ROW(R$2)-ROW(R240),1)="T",-1,-2))),1,6) &amp; "'!2:2",TRUE),0)-IF(OFFSET(R240,ROW(R$2)-ROW(R240),2)="T",1,IF(OFFSET(R240,ROW(R$2)-ROW(R240),1)="T",0,-1))),TRUE)</f>
        <v>0</v>
      </c>
      <c r="S240" s="362">
        <f ca="1">INDIRECT("'"&amp; MID(OFFSET(S240,ROW(S$3)-ROW(S240),IF(OFFSET(S240,ROW(S$2)-ROW(S240),2)="T",0,IF(OFFSET(S240,ROW(S$2)-ROW(S240),1)="T",-1,-2))),1,6) &amp; "'!" &amp; ADDRESS(ROW(S240),MATCH(INDIRECT(ADDRESS(2,COLUMN(S240)+IF(OFFSET(S240,ROW(S$2)-ROW(S240),2)="T",1,IF(OFFSET(S240,ROW(S$2)-ROW(S240),1)="T",0,-1))),TRUE),INDIRECT("'"&amp; MID(OFFSET(S240,ROW(S$3)-ROW(S240),IF(OFFSET(S240,ROW(S$2)-ROW(S240),2)="T",0,IF(OFFSET(S240,ROW(S$2)-ROW(S240),1)="T",-1,-2))),1,6) &amp; "'!2:2",TRUE),0)-IF(OFFSET(S240,ROW(S$2)-ROW(S240),2)="T",1,IF(OFFSET(S240,ROW(S$2)-ROW(S240),1)="T",0,-1))),TRUE)</f>
        <v>0</v>
      </c>
      <c r="T240" s="363">
        <f t="shared" ca="1" si="386"/>
        <v>0</v>
      </c>
      <c r="U240" s="360">
        <f t="shared" ca="1" si="374"/>
        <v>0</v>
      </c>
      <c r="V240" s="361">
        <f ca="1">INDIRECT("'"&amp; MID(OFFSET(V240,ROW(V$3)-ROW(V240),IF(OFFSET(V240,ROW(V$2)-ROW(V240),2)="T",0,IF(OFFSET(V240,ROW(V$2)-ROW(V240),1)="T",-1,-2))),1,6) &amp; "'!" &amp; ADDRESS(ROW(V240),MATCH(INDIRECT(ADDRESS(2,COLUMN(V240)+IF(OFFSET(V240,ROW(V$2)-ROW(V240),2)="T",1,IF(OFFSET(V240,ROW(V$2)-ROW(V240),1)="T",0,-1))),TRUE),INDIRECT("'"&amp; MID(OFFSET(V240,ROW(V$3)-ROW(V240),IF(OFFSET(V240,ROW(V$2)-ROW(V240),2)="T",0,IF(OFFSET(V240,ROW(V$2)-ROW(V240),1)="T",-1,-2))),1,6) &amp; "'!2:2",TRUE),0)-IF(OFFSET(V240,ROW(V$2)-ROW(V240),2)="T",1,IF(OFFSET(V240,ROW(V$2)-ROW(V240),1)="T",0,-1))),TRUE)</f>
        <v>0</v>
      </c>
      <c r="W240" s="362">
        <f ca="1">INDIRECT("'"&amp; MID(OFFSET(W240,ROW(W$3)-ROW(W240),IF(OFFSET(W240,ROW(W$2)-ROW(W240),2)="T",0,IF(OFFSET(W240,ROW(W$2)-ROW(W240),1)="T",-1,-2))),1,6) &amp; "'!" &amp; ADDRESS(ROW(W240),MATCH(INDIRECT(ADDRESS(2,COLUMN(W240)+IF(OFFSET(W240,ROW(W$2)-ROW(W240),2)="T",1,IF(OFFSET(W240,ROW(W$2)-ROW(W240),1)="T",0,-1))),TRUE),INDIRECT("'"&amp; MID(OFFSET(W240,ROW(W$3)-ROW(W240),IF(OFFSET(W240,ROW(W$2)-ROW(W240),2)="T",0,IF(OFFSET(W240,ROW(W$2)-ROW(W240),1)="T",-1,-2))),1,6) &amp; "'!2:2",TRUE),0)-IF(OFFSET(W240,ROW(W$2)-ROW(W240),2)="T",1,IF(OFFSET(W240,ROW(W$2)-ROW(W240),1)="T",0,-1))),TRUE)</f>
        <v>0</v>
      </c>
      <c r="X240" s="363">
        <f t="shared" ca="1" si="387"/>
        <v>0</v>
      </c>
      <c r="Y240" s="360">
        <f t="shared" ca="1" si="375"/>
        <v>0</v>
      </c>
      <c r="Z240" s="361">
        <f ca="1">INDIRECT("'"&amp; MID(OFFSET(Z240,ROW(Z$3)-ROW(Z240),IF(OFFSET(Z240,ROW(Z$2)-ROW(Z240),2)="T",0,IF(OFFSET(Z240,ROW(Z$2)-ROW(Z240),1)="T",-1,-2))),1,6) &amp; "'!" &amp; ADDRESS(ROW(Z240),MATCH(INDIRECT(ADDRESS(2,COLUMN(Z240)+IF(OFFSET(Z240,ROW(Z$2)-ROW(Z240),2)="T",1,IF(OFFSET(Z240,ROW(Z$2)-ROW(Z240),1)="T",0,-1))),TRUE),INDIRECT("'"&amp; MID(OFFSET(Z240,ROW(Z$3)-ROW(Z240),IF(OFFSET(Z240,ROW(Z$2)-ROW(Z240),2)="T",0,IF(OFFSET(Z240,ROW(Z$2)-ROW(Z240),1)="T",-1,-2))),1,6) &amp; "'!2:2",TRUE),0)-IF(OFFSET(Z240,ROW(Z$2)-ROW(Z240),2)="T",1,IF(OFFSET(Z240,ROW(Z$2)-ROW(Z240),1)="T",0,-1))),TRUE)</f>
        <v>0</v>
      </c>
      <c r="AA240" s="362">
        <f ca="1">INDIRECT("'"&amp; MID(OFFSET(AA240,ROW(AA$3)-ROW(AA240),IF(OFFSET(AA240,ROW(AA$2)-ROW(AA240),2)="T",0,IF(OFFSET(AA240,ROW(AA$2)-ROW(AA240),1)="T",-1,-2))),1,6) &amp; "'!" &amp; ADDRESS(ROW(AA240),MATCH(INDIRECT(ADDRESS(2,COLUMN(AA240)+IF(OFFSET(AA240,ROW(AA$2)-ROW(AA240),2)="T",1,IF(OFFSET(AA240,ROW(AA$2)-ROW(AA240),1)="T",0,-1))),TRUE),INDIRECT("'"&amp; MID(OFFSET(AA240,ROW(AA$3)-ROW(AA240),IF(OFFSET(AA240,ROW(AA$2)-ROW(AA240),2)="T",0,IF(OFFSET(AA240,ROW(AA$2)-ROW(AA240),1)="T",-1,-2))),1,6) &amp; "'!2:2",TRUE),0)-IF(OFFSET(AA240,ROW(AA$2)-ROW(AA240),2)="T",1,IF(OFFSET(AA240,ROW(AA$2)-ROW(AA240),1)="T",0,-1))),TRUE)</f>
        <v>0</v>
      </c>
      <c r="AB240" s="363">
        <f t="shared" ca="1" si="388"/>
        <v>0</v>
      </c>
      <c r="AC240" s="360">
        <f t="shared" ca="1" si="376"/>
        <v>0</v>
      </c>
      <c r="AD240" s="361">
        <f ca="1">INDIRECT("'"&amp; MID(OFFSET(AD240,ROW(AD$3)-ROW(AD240),IF(OFFSET(AD240,ROW(AD$2)-ROW(AD240),2)="T",0,IF(OFFSET(AD240,ROW(AD$2)-ROW(AD240),1)="T",-1,-2))),1,6) &amp; "'!" &amp; ADDRESS(ROW(AD240),MATCH(INDIRECT(ADDRESS(2,COLUMN(AD240)+IF(OFFSET(AD240,ROW(AD$2)-ROW(AD240),2)="T",1,IF(OFFSET(AD240,ROW(AD$2)-ROW(AD240),1)="T",0,-1))),TRUE),INDIRECT("'"&amp; MID(OFFSET(AD240,ROW(AD$3)-ROW(AD240),IF(OFFSET(AD240,ROW(AD$2)-ROW(AD240),2)="T",0,IF(OFFSET(AD240,ROW(AD$2)-ROW(AD240),1)="T",-1,-2))),1,6) &amp; "'!2:2",TRUE),0)-IF(OFFSET(AD240,ROW(AD$2)-ROW(AD240),2)="T",1,IF(OFFSET(AD240,ROW(AD$2)-ROW(AD240),1)="T",0,-1))),TRUE)</f>
        <v>0</v>
      </c>
      <c r="AE240" s="362">
        <f ca="1">INDIRECT("'"&amp; MID(OFFSET(AE240,ROW(AE$3)-ROW(AE240),IF(OFFSET(AE240,ROW(AE$2)-ROW(AE240),2)="T",0,IF(OFFSET(AE240,ROW(AE$2)-ROW(AE240),1)="T",-1,-2))),1,6) &amp; "'!" &amp; ADDRESS(ROW(AE240),MATCH(INDIRECT(ADDRESS(2,COLUMN(AE240)+IF(OFFSET(AE240,ROW(AE$2)-ROW(AE240),2)="T",1,IF(OFFSET(AE240,ROW(AE$2)-ROW(AE240),1)="T",0,-1))),TRUE),INDIRECT("'"&amp; MID(OFFSET(AE240,ROW(AE$3)-ROW(AE240),IF(OFFSET(AE240,ROW(AE$2)-ROW(AE240),2)="T",0,IF(OFFSET(AE240,ROW(AE$2)-ROW(AE240),1)="T",-1,-2))),1,6) &amp; "'!2:2",TRUE),0)-IF(OFFSET(AE240,ROW(AE$2)-ROW(AE240),2)="T",1,IF(OFFSET(AE240,ROW(AE$2)-ROW(AE240),1)="T",0,-1))),TRUE)</f>
        <v>0</v>
      </c>
      <c r="AF240" s="363">
        <f t="shared" ca="1" si="389"/>
        <v>0</v>
      </c>
      <c r="AG240" s="360">
        <f t="shared" ca="1" si="377"/>
        <v>0</v>
      </c>
      <c r="AH240" s="361">
        <f ca="1">INDIRECT("'"&amp; MID(OFFSET(AH240,ROW(AH$3)-ROW(AH240),IF(OFFSET(AH240,ROW(AH$2)-ROW(AH240),2)="T",0,IF(OFFSET(AH240,ROW(AH$2)-ROW(AH240),1)="T",-1,-2))),1,6) &amp; "'!" &amp; ADDRESS(ROW(AH240),MATCH(INDIRECT(ADDRESS(2,COLUMN(AH240)+IF(OFFSET(AH240,ROW(AH$2)-ROW(AH240),2)="T",1,IF(OFFSET(AH240,ROW(AH$2)-ROW(AH240),1)="T",0,-1))),TRUE),INDIRECT("'"&amp; MID(OFFSET(AH240,ROW(AH$3)-ROW(AH240),IF(OFFSET(AH240,ROW(AH$2)-ROW(AH240),2)="T",0,IF(OFFSET(AH240,ROW(AH$2)-ROW(AH240),1)="T",-1,-2))),1,6) &amp; "'!2:2",TRUE),0)-IF(OFFSET(AH240,ROW(AH$2)-ROW(AH240),2)="T",1,IF(OFFSET(AH240,ROW(AH$2)-ROW(AH240),1)="T",0,-1))),TRUE)</f>
        <v>0</v>
      </c>
      <c r="AI240" s="362">
        <f ca="1">INDIRECT("'"&amp; MID(OFFSET(AI240,ROW(AI$3)-ROW(AI240),IF(OFFSET(AI240,ROW(AI$2)-ROW(AI240),2)="T",0,IF(OFFSET(AI240,ROW(AI$2)-ROW(AI240),1)="T",-1,-2))),1,6) &amp; "'!" &amp; ADDRESS(ROW(AI240),MATCH(INDIRECT(ADDRESS(2,COLUMN(AI240)+IF(OFFSET(AI240,ROW(AI$2)-ROW(AI240),2)="T",1,IF(OFFSET(AI240,ROW(AI$2)-ROW(AI240),1)="T",0,-1))),TRUE),INDIRECT("'"&amp; MID(OFFSET(AI240,ROW(AI$3)-ROW(AI240),IF(OFFSET(AI240,ROW(AI$2)-ROW(AI240),2)="T",0,IF(OFFSET(AI240,ROW(AI$2)-ROW(AI240),1)="T",-1,-2))),1,6) &amp; "'!2:2",TRUE),0)-IF(OFFSET(AI240,ROW(AI$2)-ROW(AI240),2)="T",1,IF(OFFSET(AI240,ROW(AI$2)-ROW(AI240),1)="T",0,-1))),TRUE)</f>
        <v>0</v>
      </c>
      <c r="AJ240" s="363">
        <f t="shared" ca="1" si="390"/>
        <v>0</v>
      </c>
      <c r="AK240" s="360">
        <f t="shared" ca="1" si="378"/>
        <v>0</v>
      </c>
      <c r="AL240" s="361">
        <f ca="1">INDIRECT("'"&amp; MID(OFFSET(AL240,ROW(AL$3)-ROW(AL240),IF(OFFSET(AL240,ROW(AL$2)-ROW(AL240),2)="T",0,IF(OFFSET(AL240,ROW(AL$2)-ROW(AL240),1)="T",-1,-2))),1,6) &amp; "'!" &amp; ADDRESS(ROW(AL240),MATCH(INDIRECT(ADDRESS(2,COLUMN(AL240)+IF(OFFSET(AL240,ROW(AL$2)-ROW(AL240),2)="T",1,IF(OFFSET(AL240,ROW(AL$2)-ROW(AL240),1)="T",0,-1))),TRUE),INDIRECT("'"&amp; MID(OFFSET(AL240,ROW(AL$3)-ROW(AL240),IF(OFFSET(AL240,ROW(AL$2)-ROW(AL240),2)="T",0,IF(OFFSET(AL240,ROW(AL$2)-ROW(AL240),1)="T",-1,-2))),1,6) &amp; "'!2:2",TRUE),0)-IF(OFFSET(AL240,ROW(AL$2)-ROW(AL240),2)="T",1,IF(OFFSET(AL240,ROW(AL$2)-ROW(AL240),1)="T",0,-1))),TRUE)</f>
        <v>0</v>
      </c>
      <c r="AM240" s="362">
        <f ca="1">INDIRECT("'"&amp; MID(OFFSET(AM240,ROW(AM$3)-ROW(AM240),IF(OFFSET(AM240,ROW(AM$2)-ROW(AM240),2)="T",0,IF(OFFSET(AM240,ROW(AM$2)-ROW(AM240),1)="T",-1,-2))),1,6) &amp; "'!" &amp; ADDRESS(ROW(AM240),MATCH(INDIRECT(ADDRESS(2,COLUMN(AM240)+IF(OFFSET(AM240,ROW(AM$2)-ROW(AM240),2)="T",1,IF(OFFSET(AM240,ROW(AM$2)-ROW(AM240),1)="T",0,-1))),TRUE),INDIRECT("'"&amp; MID(OFFSET(AM240,ROW(AM$3)-ROW(AM240),IF(OFFSET(AM240,ROW(AM$2)-ROW(AM240),2)="T",0,IF(OFFSET(AM240,ROW(AM$2)-ROW(AM240),1)="T",-1,-2))),1,6) &amp; "'!2:2",TRUE),0)-IF(OFFSET(AM240,ROW(AM$2)-ROW(AM240),2)="T",1,IF(OFFSET(AM240,ROW(AM$2)-ROW(AM240),1)="T",0,-1))),TRUE)</f>
        <v>0</v>
      </c>
      <c r="AN240" s="363">
        <f t="shared" ca="1" si="391"/>
        <v>0</v>
      </c>
      <c r="AO240" s="360">
        <f t="shared" ca="1" si="379"/>
        <v>0</v>
      </c>
      <c r="AP240" s="361">
        <f ca="1">INDIRECT("'"&amp; MID(OFFSET(AP240,ROW(AP$3)-ROW(AP240),IF(OFFSET(AP240,ROW(AP$2)-ROW(AP240),2)="T",0,IF(OFFSET(AP240,ROW(AP$2)-ROW(AP240),1)="T",-1,-2))),1,6) &amp; "'!" &amp; ADDRESS(ROW(AP240),MATCH(INDIRECT(ADDRESS(2,COLUMN(AP240)+IF(OFFSET(AP240,ROW(AP$2)-ROW(AP240),2)="T",1,IF(OFFSET(AP240,ROW(AP$2)-ROW(AP240),1)="T",0,-1))),TRUE),INDIRECT("'"&amp; MID(OFFSET(AP240,ROW(AP$3)-ROW(AP240),IF(OFFSET(AP240,ROW(AP$2)-ROW(AP240),2)="T",0,IF(OFFSET(AP240,ROW(AP$2)-ROW(AP240),1)="T",-1,-2))),1,6) &amp; "'!2:2",TRUE),0)-IF(OFFSET(AP240,ROW(AP$2)-ROW(AP240),2)="T",1,IF(OFFSET(AP240,ROW(AP$2)-ROW(AP240),1)="T",0,-1))),TRUE)</f>
        <v>0</v>
      </c>
      <c r="AQ240" s="362">
        <f ca="1">INDIRECT("'"&amp; MID(OFFSET(AQ240,ROW(AQ$3)-ROW(AQ240),IF(OFFSET(AQ240,ROW(AQ$2)-ROW(AQ240),2)="T",0,IF(OFFSET(AQ240,ROW(AQ$2)-ROW(AQ240),1)="T",-1,-2))),1,6) &amp; "'!" &amp; ADDRESS(ROW(AQ240),MATCH(INDIRECT(ADDRESS(2,COLUMN(AQ240)+IF(OFFSET(AQ240,ROW(AQ$2)-ROW(AQ240),2)="T",1,IF(OFFSET(AQ240,ROW(AQ$2)-ROW(AQ240),1)="T",0,-1))),TRUE),INDIRECT("'"&amp; MID(OFFSET(AQ240,ROW(AQ$3)-ROW(AQ240),IF(OFFSET(AQ240,ROW(AQ$2)-ROW(AQ240),2)="T",0,IF(OFFSET(AQ240,ROW(AQ$2)-ROW(AQ240),1)="T",-1,-2))),1,6) &amp; "'!2:2",TRUE),0)-IF(OFFSET(AQ240,ROW(AQ$2)-ROW(AQ240),2)="T",1,IF(OFFSET(AQ240,ROW(AQ$2)-ROW(AQ240),1)="T",0,-1))),TRUE)</f>
        <v>0</v>
      </c>
      <c r="AR240" s="363">
        <f t="shared" ca="1" si="392"/>
        <v>0</v>
      </c>
      <c r="AS240" s="360">
        <f t="shared" ca="1" si="380"/>
        <v>0</v>
      </c>
      <c r="AT240" s="361">
        <f ca="1">INDIRECT("'"&amp; MID(OFFSET(AT240,ROW(AT$3)-ROW(AT240),IF(OFFSET(AT240,ROW(AT$2)-ROW(AT240),2)="T",0,IF(OFFSET(AT240,ROW(AT$2)-ROW(AT240),1)="T",-1,-2))),1,6) &amp; "'!" &amp; ADDRESS(ROW(AT240),MATCH(INDIRECT(ADDRESS(2,COLUMN(AT240)+IF(OFFSET(AT240,ROW(AT$2)-ROW(AT240),2)="T",1,IF(OFFSET(AT240,ROW(AT$2)-ROW(AT240),1)="T",0,-1))),TRUE),INDIRECT("'"&amp; MID(OFFSET(AT240,ROW(AT$3)-ROW(AT240),IF(OFFSET(AT240,ROW(AT$2)-ROW(AT240),2)="T",0,IF(OFFSET(AT240,ROW(AT$2)-ROW(AT240),1)="T",-1,-2))),1,6) &amp; "'!2:2",TRUE),0)-IF(OFFSET(AT240,ROW(AT$2)-ROW(AT240),2)="T",1,IF(OFFSET(AT240,ROW(AT$2)-ROW(AT240),1)="T",0,-1))),TRUE)</f>
        <v>0</v>
      </c>
      <c r="AU240" s="362">
        <f ca="1">INDIRECT("'"&amp; MID(OFFSET(AU240,ROW(AU$3)-ROW(AU240),IF(OFFSET(AU240,ROW(AU$2)-ROW(AU240),2)="T",0,IF(OFFSET(AU240,ROW(AU$2)-ROW(AU240),1)="T",-1,-2))),1,6) &amp; "'!" &amp; ADDRESS(ROW(AU240),MATCH(INDIRECT(ADDRESS(2,COLUMN(AU240)+IF(OFFSET(AU240,ROW(AU$2)-ROW(AU240),2)="T",1,IF(OFFSET(AU240,ROW(AU$2)-ROW(AU240),1)="T",0,-1))),TRUE),INDIRECT("'"&amp; MID(OFFSET(AU240,ROW(AU$3)-ROW(AU240),IF(OFFSET(AU240,ROW(AU$2)-ROW(AU240),2)="T",0,IF(OFFSET(AU240,ROW(AU$2)-ROW(AU240),1)="T",-1,-2))),1,6) &amp; "'!2:2",TRUE),0)-IF(OFFSET(AU240,ROW(AU$2)-ROW(AU240),2)="T",1,IF(OFFSET(AU240,ROW(AU$2)-ROW(AU240),1)="T",0,-1))),TRUE)</f>
        <v>0</v>
      </c>
      <c r="AV240" s="363">
        <f t="shared" ca="1" si="393"/>
        <v>0</v>
      </c>
      <c r="AW240" s="360">
        <f t="shared" ca="1" si="381"/>
        <v>0</v>
      </c>
      <c r="AX240" s="361">
        <f ca="1">INDIRECT("'"&amp; MID(OFFSET(AX240,ROW(AX$3)-ROW(AX240),IF(OFFSET(AX240,ROW(AX$2)-ROW(AX240),2)="T",0,IF(OFFSET(AX240,ROW(AX$2)-ROW(AX240),1)="T",-1,-2))),1,6) &amp; "'!" &amp; ADDRESS(ROW(AX240),MATCH(INDIRECT(ADDRESS(2,COLUMN(AX240)+IF(OFFSET(AX240,ROW(AX$2)-ROW(AX240),2)="T",1,IF(OFFSET(AX240,ROW(AX$2)-ROW(AX240),1)="T",0,-1))),TRUE),INDIRECT("'"&amp; MID(OFFSET(AX240,ROW(AX$3)-ROW(AX240),IF(OFFSET(AX240,ROW(AX$2)-ROW(AX240),2)="T",0,IF(OFFSET(AX240,ROW(AX$2)-ROW(AX240),1)="T",-1,-2))),1,6) &amp; "'!2:2",TRUE),0)-IF(OFFSET(AX240,ROW(AX$2)-ROW(AX240),2)="T",1,IF(OFFSET(AX240,ROW(AX$2)-ROW(AX240),1)="T",0,-1))),TRUE)</f>
        <v>0</v>
      </c>
      <c r="AY240" s="362">
        <f ca="1">INDIRECT("'"&amp; MID(OFFSET(AY240,ROW(AY$3)-ROW(AY240),IF(OFFSET(AY240,ROW(AY$2)-ROW(AY240),2)="T",0,IF(OFFSET(AY240,ROW(AY$2)-ROW(AY240),1)="T",-1,-2))),1,6) &amp; "'!" &amp; ADDRESS(ROW(AY240),MATCH(INDIRECT(ADDRESS(2,COLUMN(AY240)+IF(OFFSET(AY240,ROW(AY$2)-ROW(AY240),2)="T",1,IF(OFFSET(AY240,ROW(AY$2)-ROW(AY240),1)="T",0,-1))),TRUE),INDIRECT("'"&amp; MID(OFFSET(AY240,ROW(AY$3)-ROW(AY240),IF(OFFSET(AY240,ROW(AY$2)-ROW(AY240),2)="T",0,IF(OFFSET(AY240,ROW(AY$2)-ROW(AY240),1)="T",-1,-2))),1,6) &amp; "'!2:2",TRUE),0)-IF(OFFSET(AY240,ROW(AY$2)-ROW(AY240),2)="T",1,IF(OFFSET(AY240,ROW(AY$2)-ROW(AY240),1)="T",0,-1))),TRUE)</f>
        <v>0</v>
      </c>
      <c r="AZ240" s="363">
        <f t="shared" ca="1" si="394"/>
        <v>0</v>
      </c>
      <c r="BA240" s="360">
        <f t="shared" ca="1" si="382"/>
        <v>0</v>
      </c>
      <c r="BB240" s="361">
        <f ca="1">INDIRECT("'"&amp; MID(OFFSET(BB240,ROW(BB$3)-ROW(BB240),IF(OFFSET(BB240,ROW(BB$2)-ROW(BB240),2)="T",0,IF(OFFSET(BB240,ROW(BB$2)-ROW(BB240),1)="T",-1,-2))),1,6) &amp; "'!" &amp; ADDRESS(ROW(BB240),MATCH(INDIRECT(ADDRESS(2,COLUMN(BB240)+IF(OFFSET(BB240,ROW(BB$2)-ROW(BB240),2)="T",1,IF(OFFSET(BB240,ROW(BB$2)-ROW(BB240),1)="T",0,-1))),TRUE),INDIRECT("'"&amp; MID(OFFSET(BB240,ROW(BB$3)-ROW(BB240),IF(OFFSET(BB240,ROW(BB$2)-ROW(BB240),2)="T",0,IF(OFFSET(BB240,ROW(BB$2)-ROW(BB240),1)="T",-1,-2))),1,6) &amp; "'!2:2",TRUE),0)-IF(OFFSET(BB240,ROW(BB$2)-ROW(BB240),2)="T",1,IF(OFFSET(BB240,ROW(BB$2)-ROW(BB240),1)="T",0,-1))),TRUE)</f>
        <v>0</v>
      </c>
      <c r="BC240" s="362">
        <f ca="1">INDIRECT("'"&amp; MID(OFFSET(BC240,ROW(BC$3)-ROW(BC240),IF(OFFSET(BC240,ROW(BC$2)-ROW(BC240),2)="T",0,IF(OFFSET(BC240,ROW(BC$2)-ROW(BC240),1)="T",-1,-2))),1,6) &amp; "'!" &amp; ADDRESS(ROW(BC240),MATCH(INDIRECT(ADDRESS(2,COLUMN(BC240)+IF(OFFSET(BC240,ROW(BC$2)-ROW(BC240),2)="T",1,IF(OFFSET(BC240,ROW(BC$2)-ROW(BC240),1)="T",0,-1))),TRUE),INDIRECT("'"&amp; MID(OFFSET(BC240,ROW(BC$3)-ROW(BC240),IF(OFFSET(BC240,ROW(BC$2)-ROW(BC240),2)="T",0,IF(OFFSET(BC240,ROW(BC$2)-ROW(BC240),1)="T",-1,-2))),1,6) &amp; "'!2:2",TRUE),0)-IF(OFFSET(BC240,ROW(BC$2)-ROW(BC240),2)="T",1,IF(OFFSET(BC240,ROW(BC$2)-ROW(BC240),1)="T",0,-1))),TRUE)</f>
        <v>0</v>
      </c>
      <c r="BD240" s="363">
        <f t="shared" ca="1" si="395"/>
        <v>0</v>
      </c>
      <c r="BE240" s="360">
        <f t="shared" ca="1" si="383"/>
        <v>0</v>
      </c>
      <c r="BF240" s="361">
        <f ca="1">INDIRECT("'"&amp; MID(OFFSET(BF240,ROW(BF$3)-ROW(BF240),IF(OFFSET(BF240,ROW(BF$2)-ROW(BF240),2)="T",0,IF(OFFSET(BF240,ROW(BF$2)-ROW(BF240),1)="T",-1,-2))),1,6) &amp; "'!" &amp; ADDRESS(ROW(BF240),MATCH(INDIRECT(ADDRESS(2,COLUMN(BF240)+IF(OFFSET(BF240,ROW(BF$2)-ROW(BF240),2)="T",1,IF(OFFSET(BF240,ROW(BF$2)-ROW(BF240),1)="T",0,-1))),TRUE),INDIRECT("'"&amp; MID(OFFSET(BF240,ROW(BF$3)-ROW(BF240),IF(OFFSET(BF240,ROW(BF$2)-ROW(BF240),2)="T",0,IF(OFFSET(BF240,ROW(BF$2)-ROW(BF240),1)="T",-1,-2))),1,6) &amp; "'!2:2",TRUE),0)-IF(OFFSET(BF240,ROW(BF$2)-ROW(BF240),2)="T",1,IF(OFFSET(BF240,ROW(BF$2)-ROW(BF240),1)="T",0,-1))),TRUE)</f>
        <v>0</v>
      </c>
      <c r="BG240" s="362">
        <f ca="1">INDIRECT("'"&amp; MID(OFFSET(BG240,ROW(BG$3)-ROW(BG240),IF(OFFSET(BG240,ROW(BG$2)-ROW(BG240),2)="T",0,IF(OFFSET(BG240,ROW(BG$2)-ROW(BG240),1)="T",-1,-2))),1,6) &amp; "'!" &amp; ADDRESS(ROW(BG240),MATCH(INDIRECT(ADDRESS(2,COLUMN(BG240)+IF(OFFSET(BG240,ROW(BG$2)-ROW(BG240),2)="T",1,IF(OFFSET(BG240,ROW(BG$2)-ROW(BG240),1)="T",0,-1))),TRUE),INDIRECT("'"&amp; MID(OFFSET(BG240,ROW(BG$3)-ROW(BG240),IF(OFFSET(BG240,ROW(BG$2)-ROW(BG240),2)="T",0,IF(OFFSET(BG240,ROW(BG$2)-ROW(BG240),1)="T",-1,-2))),1,6) &amp; "'!2:2",TRUE),0)-IF(OFFSET(BG240,ROW(BG$2)-ROW(BG240),2)="T",1,IF(OFFSET(BG240,ROW(BG$2)-ROW(BG240),1)="T",0,-1))),TRUE)</f>
        <v>0</v>
      </c>
      <c r="BH240" s="363">
        <f t="shared" ca="1" si="396"/>
        <v>0</v>
      </c>
      <c r="BI240" s="360">
        <f t="shared" ca="1" si="384"/>
        <v>0</v>
      </c>
      <c r="BJ240" s="361">
        <f ca="1">INDIRECT("'"&amp; MID(OFFSET(BJ240,ROW(BJ$3)-ROW(BJ240),IF(OFFSET(BJ240,ROW(BJ$2)-ROW(BJ240),2)="T",0,IF(OFFSET(BJ240,ROW(BJ$2)-ROW(BJ240),1)="T",-1,-2))),1,6) &amp; "'!" &amp; ADDRESS(ROW(BJ240),MATCH(INDIRECT(ADDRESS(2,COLUMN(BJ240)+IF(OFFSET(BJ240,ROW(BJ$2)-ROW(BJ240),2)="T",1,IF(OFFSET(BJ240,ROW(BJ$2)-ROW(BJ240),1)="T",0,-1))),TRUE),INDIRECT("'"&amp; MID(OFFSET(BJ240,ROW(BJ$3)-ROW(BJ240),IF(OFFSET(BJ240,ROW(BJ$2)-ROW(BJ240),2)="T",0,IF(OFFSET(BJ240,ROW(BJ$2)-ROW(BJ240),1)="T",-1,-2))),1,6) &amp; "'!2:2",TRUE),0)-IF(OFFSET(BJ240,ROW(BJ$2)-ROW(BJ240),2)="T",1,IF(OFFSET(BJ240,ROW(BJ$2)-ROW(BJ240),1)="T",0,-1))),TRUE)</f>
        <v>0</v>
      </c>
      <c r="BK240" s="362">
        <f ca="1">INDIRECT("'"&amp; MID(OFFSET(BK240,ROW(BK$3)-ROW(BK240),IF(OFFSET(BK240,ROW(BK$2)-ROW(BK240),2)="T",0,IF(OFFSET(BK240,ROW(BK$2)-ROW(BK240),1)="T",-1,-2))),1,6) &amp; "'!" &amp; ADDRESS(ROW(BK240),MATCH(INDIRECT(ADDRESS(2,COLUMN(BK240)+IF(OFFSET(BK240,ROW(BK$2)-ROW(BK240),2)="T",1,IF(OFFSET(BK240,ROW(BK$2)-ROW(BK240),1)="T",0,-1))),TRUE),INDIRECT("'"&amp; MID(OFFSET(BK240,ROW(BK$3)-ROW(BK240),IF(OFFSET(BK240,ROW(BK$2)-ROW(BK240),2)="T",0,IF(OFFSET(BK240,ROW(BK$2)-ROW(BK240),1)="T",-1,-2))),1,6) &amp; "'!2:2",TRUE),0)-IF(OFFSET(BK240,ROW(BK$2)-ROW(BK240),2)="T",1,IF(OFFSET(BK240,ROW(BK$2)-ROW(BK240),1)="T",0,-1))),TRUE)</f>
        <v>0</v>
      </c>
      <c r="BL240" s="363">
        <f t="shared" ca="1" si="397"/>
        <v>0</v>
      </c>
      <c r="BM240" s="360">
        <f t="shared" ca="1" si="385"/>
        <v>0</v>
      </c>
      <c r="BN240" s="360">
        <f t="shared" ca="1" si="385"/>
        <v>0</v>
      </c>
    </row>
    <row r="241" spans="1:68">
      <c r="A241" s="221" t="str">
        <f t="shared" ca="1" si="372"/>
        <v>WP007</v>
      </c>
      <c r="B241" s="221" t="str">
        <f t="shared" ca="1" si="373"/>
        <v>WP007</v>
      </c>
      <c r="C241" s="221">
        <v>2</v>
      </c>
      <c r="D241" s="221" t="s">
        <v>129</v>
      </c>
      <c r="F241" s="221" t="s">
        <v>130</v>
      </c>
      <c r="G241" s="221" t="s">
        <v>74</v>
      </c>
      <c r="M241" s="221" t="s">
        <v>46</v>
      </c>
      <c r="N241" s="461"/>
      <c r="O241" s="450" t="s">
        <v>131</v>
      </c>
      <c r="P241" s="451"/>
      <c r="Q241" s="451"/>
      <c r="R241" s="366"/>
      <c r="S241" s="367"/>
      <c r="T241" s="368">
        <f t="shared" ca="1" si="386"/>
        <v>0</v>
      </c>
      <c r="U241" s="369">
        <f t="shared" ca="1" si="374"/>
        <v>0</v>
      </c>
      <c r="V241" s="366"/>
      <c r="W241" s="367"/>
      <c r="X241" s="368">
        <f t="shared" ca="1" si="387"/>
        <v>0</v>
      </c>
      <c r="Y241" s="369">
        <f t="shared" ca="1" si="375"/>
        <v>0</v>
      </c>
      <c r="Z241" s="366"/>
      <c r="AA241" s="367"/>
      <c r="AB241" s="368">
        <f t="shared" ca="1" si="388"/>
        <v>0</v>
      </c>
      <c r="AC241" s="369">
        <f t="shared" ca="1" si="376"/>
        <v>0</v>
      </c>
      <c r="AD241" s="366"/>
      <c r="AE241" s="367"/>
      <c r="AF241" s="368">
        <f t="shared" ca="1" si="389"/>
        <v>0</v>
      </c>
      <c r="AG241" s="369">
        <f t="shared" ca="1" si="377"/>
        <v>0</v>
      </c>
      <c r="AH241" s="366"/>
      <c r="AI241" s="367"/>
      <c r="AJ241" s="368">
        <f t="shared" ca="1" si="390"/>
        <v>0</v>
      </c>
      <c r="AK241" s="369">
        <f t="shared" ca="1" si="378"/>
        <v>0</v>
      </c>
      <c r="AL241" s="366"/>
      <c r="AM241" s="367"/>
      <c r="AN241" s="368">
        <f t="shared" ca="1" si="391"/>
        <v>0</v>
      </c>
      <c r="AO241" s="369">
        <f t="shared" ca="1" si="379"/>
        <v>0</v>
      </c>
      <c r="AP241" s="366"/>
      <c r="AQ241" s="367"/>
      <c r="AR241" s="368">
        <f t="shared" ca="1" si="392"/>
        <v>0</v>
      </c>
      <c r="AS241" s="369">
        <f t="shared" ca="1" si="380"/>
        <v>0</v>
      </c>
      <c r="AT241" s="366"/>
      <c r="AU241" s="367"/>
      <c r="AV241" s="368">
        <f t="shared" ca="1" si="393"/>
        <v>0</v>
      </c>
      <c r="AW241" s="369">
        <f t="shared" ca="1" si="381"/>
        <v>0</v>
      </c>
      <c r="AX241" s="366"/>
      <c r="AY241" s="367"/>
      <c r="AZ241" s="368">
        <f t="shared" ca="1" si="394"/>
        <v>0</v>
      </c>
      <c r="BA241" s="369">
        <f t="shared" ca="1" si="382"/>
        <v>0</v>
      </c>
      <c r="BB241" s="366"/>
      <c r="BC241" s="367"/>
      <c r="BD241" s="368">
        <f t="shared" ca="1" si="395"/>
        <v>0</v>
      </c>
      <c r="BE241" s="369">
        <f t="shared" ca="1" si="383"/>
        <v>0</v>
      </c>
      <c r="BF241" s="366"/>
      <c r="BG241" s="367"/>
      <c r="BH241" s="368">
        <f t="shared" ca="1" si="396"/>
        <v>0</v>
      </c>
      <c r="BI241" s="369">
        <f t="shared" ca="1" si="384"/>
        <v>0</v>
      </c>
      <c r="BJ241" s="366"/>
      <c r="BK241" s="367"/>
      <c r="BL241" s="368">
        <f t="shared" ca="1" si="397"/>
        <v>0</v>
      </c>
      <c r="BM241" s="369">
        <f t="shared" ca="1" si="385"/>
        <v>0</v>
      </c>
      <c r="BN241" s="369">
        <f t="shared" ca="1" si="385"/>
        <v>0</v>
      </c>
    </row>
    <row r="242" spans="1:68">
      <c r="A242" s="221" t="str">
        <f t="shared" ca="1" si="372"/>
        <v>WP007</v>
      </c>
      <c r="B242" s="221" t="str">
        <f t="shared" ca="1" si="373"/>
        <v>WP007</v>
      </c>
      <c r="C242" s="221">
        <v>1</v>
      </c>
      <c r="N242" s="461"/>
      <c r="O242" s="258"/>
      <c r="P242" s="249"/>
      <c r="Q242" s="249"/>
      <c r="R242" s="361"/>
      <c r="S242" s="362"/>
      <c r="T242" s="363"/>
      <c r="U242" s="360"/>
      <c r="V242" s="361"/>
      <c r="W242" s="362"/>
      <c r="X242" s="363"/>
      <c r="Y242" s="360"/>
      <c r="Z242" s="361"/>
      <c r="AA242" s="362"/>
      <c r="AB242" s="363"/>
      <c r="AC242" s="360"/>
      <c r="AD242" s="361"/>
      <c r="AE242" s="362"/>
      <c r="AF242" s="363"/>
      <c r="AG242" s="360"/>
      <c r="AH242" s="361"/>
      <c r="AI242" s="362"/>
      <c r="AJ242" s="363"/>
      <c r="AK242" s="360"/>
      <c r="AL242" s="361"/>
      <c r="AM242" s="362"/>
      <c r="AN242" s="363"/>
      <c r="AO242" s="360"/>
      <c r="AP242" s="361"/>
      <c r="AQ242" s="362"/>
      <c r="AR242" s="363"/>
      <c r="AS242" s="360"/>
      <c r="AT242" s="361"/>
      <c r="AU242" s="362"/>
      <c r="AV242" s="363"/>
      <c r="AW242" s="360"/>
      <c r="AX242" s="361"/>
      <c r="AY242" s="362"/>
      <c r="AZ242" s="363"/>
      <c r="BA242" s="360"/>
      <c r="BB242" s="361"/>
      <c r="BC242" s="362"/>
      <c r="BD242" s="363"/>
      <c r="BE242" s="360"/>
      <c r="BF242" s="361"/>
      <c r="BG242" s="362"/>
      <c r="BH242" s="363"/>
      <c r="BI242" s="360"/>
      <c r="BJ242" s="361"/>
      <c r="BK242" s="362"/>
      <c r="BL242" s="363"/>
      <c r="BM242" s="360"/>
      <c r="BN242" s="360"/>
    </row>
    <row r="243" spans="1:68">
      <c r="A243" s="221" t="str">
        <f t="shared" ca="1" si="372"/>
        <v>WP007</v>
      </c>
      <c r="B243" s="221" t="str">
        <f t="shared" ca="1" si="373"/>
        <v>WP007</v>
      </c>
      <c r="C243" s="221">
        <v>2</v>
      </c>
      <c r="D243" s="221" t="s">
        <v>132</v>
      </c>
      <c r="F243" s="221" t="s">
        <v>130</v>
      </c>
      <c r="M243" s="221" t="s">
        <v>133</v>
      </c>
      <c r="N243" s="461"/>
      <c r="O243" s="452" t="s">
        <v>134</v>
      </c>
      <c r="P243" s="453"/>
      <c r="Q243" s="453"/>
      <c r="R243" s="370"/>
      <c r="S243" s="371"/>
      <c r="T243" s="372">
        <f ca="1">IF(OFFSET(T243,ROW(T$2)-ROW(T243),0)="TT","TT",IF(OFFSET(T243,0,COLUMN($M243)-COLUMN(T243))="%",ROUND((OFFSET(T243,-2,0)-OFFSET(T243,-19,0))*0.07,2),IF(OFFSET(T243,0,COLUMN($M243)-COLUMN(T243))="V",ROUND(OFFSET(T243,0,-2)*OFFSET(T243,0,-1),2),SUMIF(INDIRECT(ADDRESS(MATCH("START"&amp;OFFSET(T243,0,COLUMN($B243)-COLUMN(T243)),$A:$A,0),$C243+COLUMN($E243)+1)&amp;":"&amp;ADDRESS(MATCH("END"&amp;OFFSET(T243,0,COLUMN($B243)-COLUMN(T243)),$A:$A,0),$C243+COLUMN($E243)+1),TRUE),INDIRECT(ADDRESS(ROW(T243),$C243+COLUMN($E243)),TRUE),INDIRECT(ADDRESS(MATCH("START"&amp;OFFSET(T243,0,COLUMN($B243)-COLUMN(T243)),$A:$A,0),COLUMN(T243))&amp;":"&amp;ADDRESS(MATCH("END"&amp;OFFSET(T243,0,COLUMN($B243)-COLUMN(T243)),$A:$A,0),COLUMN(T243)),TRUE)))))</f>
        <v>0</v>
      </c>
      <c r="U243" s="356">
        <f ca="1">IF(OFFSET(U243,ROW(U$2)-ROW(U243),0)="TT",SUMIF(INDIRECT(ADDRESS(2,COLUMN($Q243)+1) &amp; ":" &amp; ADDRESS(2,COLUMN(U243)-1),TRUE),"TBE",INDIRECT(ADDRESS(ROW(U243), COLUMN($Q243)+1) &amp; ":" &amp; ADDRESS(ROW(U243),COLUMN(U243)-1),TRUE)),IF(OFFSET(U243,ROW(U$2)-ROW(U243),0)="TBE",SUMIF(INDIRECT(ADDRESS(2,MATCH(INT(OFFSET(U243,ROW(U$2)-ROW(U243),-2)),$2:$2,0)) &amp; ":" &amp; ADDRESS(2,COLUMN(U243)-1),TRUE),"T",INDIRECT(ADDRESS(ROW(U243), MATCH(INT(OFFSET(U243,ROW(U$2)-ROW(U243),-2)),$2:$2,0)) &amp; ":" &amp; ADDRESS(ROW(U243),COLUMN(U243)-1),TRUE)),IF(OFFSET(U243,0,COLUMN($M243)-COLUMN(U243))="V",OFFSET(U243,0,-2)*OFFSET(U243,0,-1),"TOTAL")))</f>
        <v>0</v>
      </c>
      <c r="V243" s="370"/>
      <c r="W243" s="371"/>
      <c r="X243" s="372">
        <f ca="1">IF(OFFSET(X243,ROW(X$2)-ROW(X243),0)="TT","TT",IF(OFFSET(X243,0,COLUMN($M243)-COLUMN(X243))="%",ROUND((OFFSET(X243,-2,0)-OFFSET(X243,-19,0))*0.07,2),IF(OFFSET(X243,0,COLUMN($M243)-COLUMN(X243))="V",ROUND(OFFSET(X243,0,-2)*OFFSET(X243,0,-1),2),SUMIF(INDIRECT(ADDRESS(MATCH("START"&amp;OFFSET(X243,0,COLUMN($B243)-COLUMN(X243)),$A:$A,0),$C243+COLUMN($E243)+1)&amp;":"&amp;ADDRESS(MATCH("END"&amp;OFFSET(X243,0,COLUMN($B243)-COLUMN(X243)),$A:$A,0),$C243+COLUMN($E243)+1),TRUE),INDIRECT(ADDRESS(ROW(X243),$C243+COLUMN($E243)),TRUE),INDIRECT(ADDRESS(MATCH("START"&amp;OFFSET(X243,0,COLUMN($B243)-COLUMN(X243)),$A:$A,0),COLUMN(X243))&amp;":"&amp;ADDRESS(MATCH("END"&amp;OFFSET(X243,0,COLUMN($B243)-COLUMN(X243)),$A:$A,0),COLUMN(X243)),TRUE)))))</f>
        <v>0</v>
      </c>
      <c r="Y243" s="356">
        <f ca="1">IF(OFFSET(Y243,ROW(Y$2)-ROW(Y243),0)="TT",SUMIF(INDIRECT(ADDRESS(2,COLUMN($Q243)+1) &amp; ":" &amp; ADDRESS(2,COLUMN(Y243)-1),TRUE),"TBE",INDIRECT(ADDRESS(ROW(Y243), COLUMN($Q243)+1) &amp; ":" &amp; ADDRESS(ROW(Y243),COLUMN(Y243)-1),TRUE)),IF(OFFSET(Y243,ROW(Y$2)-ROW(Y243),0)="TBE",SUMIF(INDIRECT(ADDRESS(2,MATCH(INT(OFFSET(Y243,ROW(Y$2)-ROW(Y243),-2)),$2:$2,0)) &amp; ":" &amp; ADDRESS(2,COLUMN(Y243)-1),TRUE),"T",INDIRECT(ADDRESS(ROW(Y243), MATCH(INT(OFFSET(Y243,ROW(Y$2)-ROW(Y243),-2)),$2:$2,0)) &amp; ":" &amp; ADDRESS(ROW(Y243),COLUMN(Y243)-1),TRUE)),IF(OFFSET(Y243,0,COLUMN($M243)-COLUMN(Y243))="V",OFFSET(Y243,0,-2)*OFFSET(Y243,0,-1),"TOTAL")))</f>
        <v>0</v>
      </c>
      <c r="Z243" s="370"/>
      <c r="AA243" s="371"/>
      <c r="AB243" s="372">
        <f ca="1">IF(OFFSET(AB243,ROW(AB$2)-ROW(AB243),0)="TT","TT",IF(OFFSET(AB243,0,COLUMN($M243)-COLUMN(AB243))="%",ROUND((OFFSET(AB243,-2,0)-OFFSET(AB243,-19,0))*0.07,2),IF(OFFSET(AB243,0,COLUMN($M243)-COLUMN(AB243))="V",ROUND(OFFSET(AB243,0,-2)*OFFSET(AB243,0,-1),2),SUMIF(INDIRECT(ADDRESS(MATCH("START"&amp;OFFSET(AB243,0,COLUMN($B243)-COLUMN(AB243)),$A:$A,0),$C243+COLUMN($E243)+1)&amp;":"&amp;ADDRESS(MATCH("END"&amp;OFFSET(AB243,0,COLUMN($B243)-COLUMN(AB243)),$A:$A,0),$C243+COLUMN($E243)+1),TRUE),INDIRECT(ADDRESS(ROW(AB243),$C243+COLUMN($E243)),TRUE),INDIRECT(ADDRESS(MATCH("START"&amp;OFFSET(AB243,0,COLUMN($B243)-COLUMN(AB243)),$A:$A,0),COLUMN(AB243))&amp;":"&amp;ADDRESS(MATCH("END"&amp;OFFSET(AB243,0,COLUMN($B243)-COLUMN(AB243)),$A:$A,0),COLUMN(AB243)),TRUE)))))</f>
        <v>0</v>
      </c>
      <c r="AC243" s="356">
        <f ca="1">IF(OFFSET(AC243,ROW(AC$2)-ROW(AC243),0)="TT",SUMIF(INDIRECT(ADDRESS(2,COLUMN($Q243)+1) &amp; ":" &amp; ADDRESS(2,COLUMN(AC243)-1),TRUE),"TBE",INDIRECT(ADDRESS(ROW(AC243), COLUMN($Q243)+1) &amp; ":" &amp; ADDRESS(ROW(AC243),COLUMN(AC243)-1),TRUE)),IF(OFFSET(AC243,ROW(AC$2)-ROW(AC243),0)="TBE",SUMIF(INDIRECT(ADDRESS(2,MATCH(INT(OFFSET(AC243,ROW(AC$2)-ROW(AC243),-2)),$2:$2,0)) &amp; ":" &amp; ADDRESS(2,COLUMN(AC243)-1),TRUE),"T",INDIRECT(ADDRESS(ROW(AC243), MATCH(INT(OFFSET(AC243,ROW(AC$2)-ROW(AC243),-2)),$2:$2,0)) &amp; ":" &amp; ADDRESS(ROW(AC243),COLUMN(AC243)-1),TRUE)),IF(OFFSET(AC243,0,COLUMN($M243)-COLUMN(AC243))="V",OFFSET(AC243,0,-2)*OFFSET(AC243,0,-1),"TOTAL")))</f>
        <v>0</v>
      </c>
      <c r="AD243" s="370"/>
      <c r="AE243" s="371"/>
      <c r="AF243" s="372">
        <f ca="1">IF(OFFSET(AF243,ROW(AF$2)-ROW(AF243),0)="TT","TT",IF(OFFSET(AF243,0,COLUMN($M243)-COLUMN(AF243))="%",ROUND((OFFSET(AF243,-2,0)-OFFSET(AF243,-19,0))*0.07,2),IF(OFFSET(AF243,0,COLUMN($M243)-COLUMN(AF243))="V",ROUND(OFFSET(AF243,0,-2)*OFFSET(AF243,0,-1),2),SUMIF(INDIRECT(ADDRESS(MATCH("START"&amp;OFFSET(AF243,0,COLUMN($B243)-COLUMN(AF243)),$A:$A,0),$C243+COLUMN($E243)+1)&amp;":"&amp;ADDRESS(MATCH("END"&amp;OFFSET(AF243,0,COLUMN($B243)-COLUMN(AF243)),$A:$A,0),$C243+COLUMN($E243)+1),TRUE),INDIRECT(ADDRESS(ROW(AF243),$C243+COLUMN($E243)),TRUE),INDIRECT(ADDRESS(MATCH("START"&amp;OFFSET(AF243,0,COLUMN($B243)-COLUMN(AF243)),$A:$A,0),COLUMN(AF243))&amp;":"&amp;ADDRESS(MATCH("END"&amp;OFFSET(AF243,0,COLUMN($B243)-COLUMN(AF243)),$A:$A,0),COLUMN(AF243)),TRUE)))))</f>
        <v>0</v>
      </c>
      <c r="AG243" s="356">
        <f ca="1">IF(OFFSET(AG243,ROW(AG$2)-ROW(AG243),0)="TT",SUMIF(INDIRECT(ADDRESS(2,COLUMN($Q243)+1) &amp; ":" &amp; ADDRESS(2,COLUMN(AG243)-1),TRUE),"TBE",INDIRECT(ADDRESS(ROW(AG243), COLUMN($Q243)+1) &amp; ":" &amp; ADDRESS(ROW(AG243),COLUMN(AG243)-1),TRUE)),IF(OFFSET(AG243,ROW(AG$2)-ROW(AG243),0)="TBE",SUMIF(INDIRECT(ADDRESS(2,MATCH(INT(OFFSET(AG243,ROW(AG$2)-ROW(AG243),-2)),$2:$2,0)) &amp; ":" &amp; ADDRESS(2,COLUMN(AG243)-1),TRUE),"T",INDIRECT(ADDRESS(ROW(AG243), MATCH(INT(OFFSET(AG243,ROW(AG$2)-ROW(AG243),-2)),$2:$2,0)) &amp; ":" &amp; ADDRESS(ROW(AG243),COLUMN(AG243)-1),TRUE)),IF(OFFSET(AG243,0,COLUMN($M243)-COLUMN(AG243))="V",OFFSET(AG243,0,-2)*OFFSET(AG243,0,-1),"TOTAL")))</f>
        <v>0</v>
      </c>
      <c r="AH243" s="370"/>
      <c r="AI243" s="371"/>
      <c r="AJ243" s="372">
        <f ca="1">IF(OFFSET(AJ243,ROW(AJ$2)-ROW(AJ243),0)="TT","TT",IF(OFFSET(AJ243,0,COLUMN($M243)-COLUMN(AJ243))="%",ROUND((OFFSET(AJ243,-2,0)-OFFSET(AJ243,-19,0))*0.07,2),IF(OFFSET(AJ243,0,COLUMN($M243)-COLUMN(AJ243))="V",ROUND(OFFSET(AJ243,0,-2)*OFFSET(AJ243,0,-1),2),SUMIF(INDIRECT(ADDRESS(MATCH("START"&amp;OFFSET(AJ243,0,COLUMN($B243)-COLUMN(AJ243)),$A:$A,0),$C243+COLUMN($E243)+1)&amp;":"&amp;ADDRESS(MATCH("END"&amp;OFFSET(AJ243,0,COLUMN($B243)-COLUMN(AJ243)),$A:$A,0),$C243+COLUMN($E243)+1),TRUE),INDIRECT(ADDRESS(ROW(AJ243),$C243+COLUMN($E243)),TRUE),INDIRECT(ADDRESS(MATCH("START"&amp;OFFSET(AJ243,0,COLUMN($B243)-COLUMN(AJ243)),$A:$A,0),COLUMN(AJ243))&amp;":"&amp;ADDRESS(MATCH("END"&amp;OFFSET(AJ243,0,COLUMN($B243)-COLUMN(AJ243)),$A:$A,0),COLUMN(AJ243)),TRUE)))))</f>
        <v>0</v>
      </c>
      <c r="AK243" s="356">
        <f ca="1">IF(OFFSET(AK243,ROW(AK$2)-ROW(AK243),0)="TT",SUMIF(INDIRECT(ADDRESS(2,COLUMN($Q243)+1) &amp; ":" &amp; ADDRESS(2,COLUMN(AK243)-1),TRUE),"TBE",INDIRECT(ADDRESS(ROW(AK243), COLUMN($Q243)+1) &amp; ":" &amp; ADDRESS(ROW(AK243),COLUMN(AK243)-1),TRUE)),IF(OFFSET(AK243,ROW(AK$2)-ROW(AK243),0)="TBE",SUMIF(INDIRECT(ADDRESS(2,MATCH(INT(OFFSET(AK243,ROW(AK$2)-ROW(AK243),-2)),$2:$2,0)) &amp; ":" &amp; ADDRESS(2,COLUMN(AK243)-1),TRUE),"T",INDIRECT(ADDRESS(ROW(AK243), MATCH(INT(OFFSET(AK243,ROW(AK$2)-ROW(AK243),-2)),$2:$2,0)) &amp; ":" &amp; ADDRESS(ROW(AK243),COLUMN(AK243)-1),TRUE)),IF(OFFSET(AK243,0,COLUMN($M243)-COLUMN(AK243))="V",OFFSET(AK243,0,-2)*OFFSET(AK243,0,-1),"TOTAL")))</f>
        <v>0</v>
      </c>
      <c r="AL243" s="370"/>
      <c r="AM243" s="371"/>
      <c r="AN243" s="372">
        <f ca="1">IF(OFFSET(AN243,ROW(AN$2)-ROW(AN243),0)="TT","TT",IF(OFFSET(AN243,0,COLUMN($M243)-COLUMN(AN243))="%",ROUND((OFFSET(AN243,-2,0)-OFFSET(AN243,-19,0))*0.07,2),IF(OFFSET(AN243,0,COLUMN($M243)-COLUMN(AN243))="V",ROUND(OFFSET(AN243,0,-2)*OFFSET(AN243,0,-1),2),SUMIF(INDIRECT(ADDRESS(MATCH("START"&amp;OFFSET(AN243,0,COLUMN($B243)-COLUMN(AN243)),$A:$A,0),$C243+COLUMN($E243)+1)&amp;":"&amp;ADDRESS(MATCH("END"&amp;OFFSET(AN243,0,COLUMN($B243)-COLUMN(AN243)),$A:$A,0),$C243+COLUMN($E243)+1),TRUE),INDIRECT(ADDRESS(ROW(AN243),$C243+COLUMN($E243)),TRUE),INDIRECT(ADDRESS(MATCH("START"&amp;OFFSET(AN243,0,COLUMN($B243)-COLUMN(AN243)),$A:$A,0),COLUMN(AN243))&amp;":"&amp;ADDRESS(MATCH("END"&amp;OFFSET(AN243,0,COLUMN($B243)-COLUMN(AN243)),$A:$A,0),COLUMN(AN243)),TRUE)))))</f>
        <v>0</v>
      </c>
      <c r="AO243" s="356">
        <f ca="1">IF(OFFSET(AO243,ROW(AO$2)-ROW(AO243),0)="TT",SUMIF(INDIRECT(ADDRESS(2,COLUMN($Q243)+1) &amp; ":" &amp; ADDRESS(2,COLUMN(AO243)-1),TRUE),"TBE",INDIRECT(ADDRESS(ROW(AO243), COLUMN($Q243)+1) &amp; ":" &amp; ADDRESS(ROW(AO243),COLUMN(AO243)-1),TRUE)),IF(OFFSET(AO243,ROW(AO$2)-ROW(AO243),0)="TBE",SUMIF(INDIRECT(ADDRESS(2,MATCH(INT(OFFSET(AO243,ROW(AO$2)-ROW(AO243),-2)),$2:$2,0)) &amp; ":" &amp; ADDRESS(2,COLUMN(AO243)-1),TRUE),"T",INDIRECT(ADDRESS(ROW(AO243), MATCH(INT(OFFSET(AO243,ROW(AO$2)-ROW(AO243),-2)),$2:$2,0)) &amp; ":" &amp; ADDRESS(ROW(AO243),COLUMN(AO243)-1),TRUE)),IF(OFFSET(AO243,0,COLUMN($M243)-COLUMN(AO243))="V",OFFSET(AO243,0,-2)*OFFSET(AO243,0,-1),"TOTAL")))</f>
        <v>0</v>
      </c>
      <c r="AP243" s="370"/>
      <c r="AQ243" s="371"/>
      <c r="AR243" s="372">
        <f ca="1">IF(OFFSET(AR243,ROW(AR$2)-ROW(AR243),0)="TT","TT",IF(OFFSET(AR243,0,COLUMN($M243)-COLUMN(AR243))="%",ROUND((OFFSET(AR243,-2,0)-OFFSET(AR243,-19,0))*0.07,2),IF(OFFSET(AR243,0,COLUMN($M243)-COLUMN(AR243))="V",ROUND(OFFSET(AR243,0,-2)*OFFSET(AR243,0,-1),2),SUMIF(INDIRECT(ADDRESS(MATCH("START"&amp;OFFSET(AR243,0,COLUMN($B243)-COLUMN(AR243)),$A:$A,0),$C243+COLUMN($E243)+1)&amp;":"&amp;ADDRESS(MATCH("END"&amp;OFFSET(AR243,0,COLUMN($B243)-COLUMN(AR243)),$A:$A,0),$C243+COLUMN($E243)+1),TRUE),INDIRECT(ADDRESS(ROW(AR243),$C243+COLUMN($E243)),TRUE),INDIRECT(ADDRESS(MATCH("START"&amp;OFFSET(AR243,0,COLUMN($B243)-COLUMN(AR243)),$A:$A,0),COLUMN(AR243))&amp;":"&amp;ADDRESS(MATCH("END"&amp;OFFSET(AR243,0,COLUMN($B243)-COLUMN(AR243)),$A:$A,0),COLUMN(AR243)),TRUE)))))</f>
        <v>0</v>
      </c>
      <c r="AS243" s="356">
        <f ca="1">IF(OFFSET(AS243,ROW(AS$2)-ROW(AS243),0)="TT",SUMIF(INDIRECT(ADDRESS(2,COLUMN($Q243)+1) &amp; ":" &amp; ADDRESS(2,COLUMN(AS243)-1),TRUE),"TBE",INDIRECT(ADDRESS(ROW(AS243), COLUMN($Q243)+1) &amp; ":" &amp; ADDRESS(ROW(AS243),COLUMN(AS243)-1),TRUE)),IF(OFFSET(AS243,ROW(AS$2)-ROW(AS243),0)="TBE",SUMIF(INDIRECT(ADDRESS(2,MATCH(INT(OFFSET(AS243,ROW(AS$2)-ROW(AS243),-2)),$2:$2,0)) &amp; ":" &amp; ADDRESS(2,COLUMN(AS243)-1),TRUE),"T",INDIRECT(ADDRESS(ROW(AS243), MATCH(INT(OFFSET(AS243,ROW(AS$2)-ROW(AS243),-2)),$2:$2,0)) &amp; ":" &amp; ADDRESS(ROW(AS243),COLUMN(AS243)-1),TRUE)),IF(OFFSET(AS243,0,COLUMN($M243)-COLUMN(AS243))="V",OFFSET(AS243,0,-2)*OFFSET(AS243,0,-1),"TOTAL")))</f>
        <v>0</v>
      </c>
      <c r="AT243" s="370"/>
      <c r="AU243" s="371"/>
      <c r="AV243" s="372">
        <f ca="1">IF(OFFSET(AV243,ROW(AV$2)-ROW(AV243),0)="TT","TT",IF(OFFSET(AV243,0,COLUMN($M243)-COLUMN(AV243))="%",ROUND((OFFSET(AV243,-2,0)-OFFSET(AV243,-19,0))*0.07,2),IF(OFFSET(AV243,0,COLUMN($M243)-COLUMN(AV243))="V",ROUND(OFFSET(AV243,0,-2)*OFFSET(AV243,0,-1),2),SUMIF(INDIRECT(ADDRESS(MATCH("START"&amp;OFFSET(AV243,0,COLUMN($B243)-COLUMN(AV243)),$A:$A,0),$C243+COLUMN($E243)+1)&amp;":"&amp;ADDRESS(MATCH("END"&amp;OFFSET(AV243,0,COLUMN($B243)-COLUMN(AV243)),$A:$A,0),$C243+COLUMN($E243)+1),TRUE),INDIRECT(ADDRESS(ROW(AV243),$C243+COLUMN($E243)),TRUE),INDIRECT(ADDRESS(MATCH("START"&amp;OFFSET(AV243,0,COLUMN($B243)-COLUMN(AV243)),$A:$A,0),COLUMN(AV243))&amp;":"&amp;ADDRESS(MATCH("END"&amp;OFFSET(AV243,0,COLUMN($B243)-COLUMN(AV243)),$A:$A,0),COLUMN(AV243)),TRUE)))))</f>
        <v>0</v>
      </c>
      <c r="AW243" s="356">
        <f ca="1">IF(OFFSET(AW243,ROW(AW$2)-ROW(AW243),0)="TT",SUMIF(INDIRECT(ADDRESS(2,COLUMN($Q243)+1) &amp; ":" &amp; ADDRESS(2,COLUMN(AW243)-1),TRUE),"TBE",INDIRECT(ADDRESS(ROW(AW243), COLUMN($Q243)+1) &amp; ":" &amp; ADDRESS(ROW(AW243),COLUMN(AW243)-1),TRUE)),IF(OFFSET(AW243,ROW(AW$2)-ROW(AW243),0)="TBE",SUMIF(INDIRECT(ADDRESS(2,MATCH(INT(OFFSET(AW243,ROW(AW$2)-ROW(AW243),-2)),$2:$2,0)) &amp; ":" &amp; ADDRESS(2,COLUMN(AW243)-1),TRUE),"T",INDIRECT(ADDRESS(ROW(AW243), MATCH(INT(OFFSET(AW243,ROW(AW$2)-ROW(AW243),-2)),$2:$2,0)) &amp; ":" &amp; ADDRESS(ROW(AW243),COLUMN(AW243)-1),TRUE)),IF(OFFSET(AW243,0,COLUMN($M243)-COLUMN(AW243))="V",OFFSET(AW243,0,-2)*OFFSET(AW243,0,-1),"TOTAL")))</f>
        <v>0</v>
      </c>
      <c r="AX243" s="370"/>
      <c r="AY243" s="371"/>
      <c r="AZ243" s="372">
        <f ca="1">IF(OFFSET(AZ243,ROW(AZ$2)-ROW(AZ243),0)="TT","TT",IF(OFFSET(AZ243,0,COLUMN($M243)-COLUMN(AZ243))="%",ROUND((OFFSET(AZ243,-2,0)-OFFSET(AZ243,-19,0))*0.07,2),IF(OFFSET(AZ243,0,COLUMN($M243)-COLUMN(AZ243))="V",ROUND(OFFSET(AZ243,0,-2)*OFFSET(AZ243,0,-1),2),SUMIF(INDIRECT(ADDRESS(MATCH("START"&amp;OFFSET(AZ243,0,COLUMN($B243)-COLUMN(AZ243)),$A:$A,0),$C243+COLUMN($E243)+1)&amp;":"&amp;ADDRESS(MATCH("END"&amp;OFFSET(AZ243,0,COLUMN($B243)-COLUMN(AZ243)),$A:$A,0),$C243+COLUMN($E243)+1),TRUE),INDIRECT(ADDRESS(ROW(AZ243),$C243+COLUMN($E243)),TRUE),INDIRECT(ADDRESS(MATCH("START"&amp;OFFSET(AZ243,0,COLUMN($B243)-COLUMN(AZ243)),$A:$A,0),COLUMN(AZ243))&amp;":"&amp;ADDRESS(MATCH("END"&amp;OFFSET(AZ243,0,COLUMN($B243)-COLUMN(AZ243)),$A:$A,0),COLUMN(AZ243)),TRUE)))))</f>
        <v>0</v>
      </c>
      <c r="BA243" s="356">
        <f ca="1">IF(OFFSET(BA243,ROW(BA$2)-ROW(BA243),0)="TT",SUMIF(INDIRECT(ADDRESS(2,COLUMN($Q243)+1) &amp; ":" &amp; ADDRESS(2,COLUMN(BA243)-1),TRUE),"TBE",INDIRECT(ADDRESS(ROW(BA243), COLUMN($Q243)+1) &amp; ":" &amp; ADDRESS(ROW(BA243),COLUMN(BA243)-1),TRUE)),IF(OFFSET(BA243,ROW(BA$2)-ROW(BA243),0)="TBE",SUMIF(INDIRECT(ADDRESS(2,MATCH(INT(OFFSET(BA243,ROW(BA$2)-ROW(BA243),-2)),$2:$2,0)) &amp; ":" &amp; ADDRESS(2,COLUMN(BA243)-1),TRUE),"T",INDIRECT(ADDRESS(ROW(BA243), MATCH(INT(OFFSET(BA243,ROW(BA$2)-ROW(BA243),-2)),$2:$2,0)) &amp; ":" &amp; ADDRESS(ROW(BA243),COLUMN(BA243)-1),TRUE)),IF(OFFSET(BA243,0,COLUMN($M243)-COLUMN(BA243))="V",OFFSET(BA243,0,-2)*OFFSET(BA243,0,-1),"TOTAL")))</f>
        <v>0</v>
      </c>
      <c r="BB243" s="370"/>
      <c r="BC243" s="371"/>
      <c r="BD243" s="372">
        <f ca="1">IF(OFFSET(BD243,ROW(BD$2)-ROW(BD243),0)="TT","TT",IF(OFFSET(BD243,0,COLUMN($M243)-COLUMN(BD243))="%",ROUND((OFFSET(BD243,-2,0)-OFFSET(BD243,-19,0))*0.07,2),IF(OFFSET(BD243,0,COLUMN($M243)-COLUMN(BD243))="V",ROUND(OFFSET(BD243,0,-2)*OFFSET(BD243,0,-1),2),SUMIF(INDIRECT(ADDRESS(MATCH("START"&amp;OFFSET(BD243,0,COLUMN($B243)-COLUMN(BD243)),$A:$A,0),$C243+COLUMN($E243)+1)&amp;":"&amp;ADDRESS(MATCH("END"&amp;OFFSET(BD243,0,COLUMN($B243)-COLUMN(BD243)),$A:$A,0),$C243+COLUMN($E243)+1),TRUE),INDIRECT(ADDRESS(ROW(BD243),$C243+COLUMN($E243)),TRUE),INDIRECT(ADDRESS(MATCH("START"&amp;OFFSET(BD243,0,COLUMN($B243)-COLUMN(BD243)),$A:$A,0),COLUMN(BD243))&amp;":"&amp;ADDRESS(MATCH("END"&amp;OFFSET(BD243,0,COLUMN($B243)-COLUMN(BD243)),$A:$A,0),COLUMN(BD243)),TRUE)))))</f>
        <v>0</v>
      </c>
      <c r="BE243" s="356">
        <f ca="1">IF(OFFSET(BE243,ROW(BE$2)-ROW(BE243),0)="TT",SUMIF(INDIRECT(ADDRESS(2,COLUMN($Q243)+1) &amp; ":" &amp; ADDRESS(2,COLUMN(BE243)-1),TRUE),"TBE",INDIRECT(ADDRESS(ROW(BE243), COLUMN($Q243)+1) &amp; ":" &amp; ADDRESS(ROW(BE243),COLUMN(BE243)-1),TRUE)),IF(OFFSET(BE243,ROW(BE$2)-ROW(BE243),0)="TBE",SUMIF(INDIRECT(ADDRESS(2,MATCH(INT(OFFSET(BE243,ROW(BE$2)-ROW(BE243),-2)),$2:$2,0)) &amp; ":" &amp; ADDRESS(2,COLUMN(BE243)-1),TRUE),"T",INDIRECT(ADDRESS(ROW(BE243), MATCH(INT(OFFSET(BE243,ROW(BE$2)-ROW(BE243),-2)),$2:$2,0)) &amp; ":" &amp; ADDRESS(ROW(BE243),COLUMN(BE243)-1),TRUE)),IF(OFFSET(BE243,0,COLUMN($M243)-COLUMN(BE243))="V",OFFSET(BE243,0,-2)*OFFSET(BE243,0,-1),"TOTAL")))</f>
        <v>0</v>
      </c>
      <c r="BF243" s="370"/>
      <c r="BG243" s="371"/>
      <c r="BH243" s="372">
        <f ca="1">IF(OFFSET(BH243,ROW(BH$2)-ROW(BH243),0)="TT","TT",IF(OFFSET(BH243,0,COLUMN($M243)-COLUMN(BH243))="%",ROUND((OFFSET(BH243,-2,0)-OFFSET(BH243,-19,0))*0.07,2),IF(OFFSET(BH243,0,COLUMN($M243)-COLUMN(BH243))="V",ROUND(OFFSET(BH243,0,-2)*OFFSET(BH243,0,-1),2),SUMIF(INDIRECT(ADDRESS(MATCH("START"&amp;OFFSET(BH243,0,COLUMN($B243)-COLUMN(BH243)),$A:$A,0),$C243+COLUMN($E243)+1)&amp;":"&amp;ADDRESS(MATCH("END"&amp;OFFSET(BH243,0,COLUMN($B243)-COLUMN(BH243)),$A:$A,0),$C243+COLUMN($E243)+1),TRUE),INDIRECT(ADDRESS(ROW(BH243),$C243+COLUMN($E243)),TRUE),INDIRECT(ADDRESS(MATCH("START"&amp;OFFSET(BH243,0,COLUMN($B243)-COLUMN(BH243)),$A:$A,0),COLUMN(BH243))&amp;":"&amp;ADDRESS(MATCH("END"&amp;OFFSET(BH243,0,COLUMN($B243)-COLUMN(BH243)),$A:$A,0),COLUMN(BH243)),TRUE)))))</f>
        <v>0</v>
      </c>
      <c r="BI243" s="356">
        <f ca="1">IF(OFFSET(BI243,ROW(BI$2)-ROW(BI243),0)="TT",SUMIF(INDIRECT(ADDRESS(2,COLUMN($Q243)+1) &amp; ":" &amp; ADDRESS(2,COLUMN(BI243)-1),TRUE),"TBE",INDIRECT(ADDRESS(ROW(BI243), COLUMN($Q243)+1) &amp; ":" &amp; ADDRESS(ROW(BI243),COLUMN(BI243)-1),TRUE)),IF(OFFSET(BI243,ROW(BI$2)-ROW(BI243),0)="TBE",SUMIF(INDIRECT(ADDRESS(2,MATCH(INT(OFFSET(BI243,ROW(BI$2)-ROW(BI243),-2)),$2:$2,0)) &amp; ":" &amp; ADDRESS(2,COLUMN(BI243)-1),TRUE),"T",INDIRECT(ADDRESS(ROW(BI243), MATCH(INT(OFFSET(BI243,ROW(BI$2)-ROW(BI243),-2)),$2:$2,0)) &amp; ":" &amp; ADDRESS(ROW(BI243),COLUMN(BI243)-1),TRUE)),IF(OFFSET(BI243,0,COLUMN($M243)-COLUMN(BI243))="V",OFFSET(BI243,0,-2)*OFFSET(BI243,0,-1),"TOTAL")))</f>
        <v>0</v>
      </c>
      <c r="BJ243" s="370"/>
      <c r="BK243" s="371"/>
      <c r="BL243" s="372">
        <f ca="1">IF(OFFSET(BL243,ROW(BL$2)-ROW(BL243),0)="TT","TT",IF(OFFSET(BL243,0,COLUMN($M243)-COLUMN(BL243))="%",ROUND((OFFSET(BL243,-2,0)-OFFSET(BL243,-19,0))*0.07,2),IF(OFFSET(BL243,0,COLUMN($M243)-COLUMN(BL243))="V",ROUND(OFFSET(BL243,0,-2)*OFFSET(BL243,0,-1),2),SUMIF(INDIRECT(ADDRESS(MATCH("START"&amp;OFFSET(BL243,0,COLUMN($B243)-COLUMN(BL243)),$A:$A,0),$C243+COLUMN($E243)+1)&amp;":"&amp;ADDRESS(MATCH("END"&amp;OFFSET(BL243,0,COLUMN($B243)-COLUMN(BL243)),$A:$A,0),$C243+COLUMN($E243)+1),TRUE),INDIRECT(ADDRESS(ROW(BL243),$C243+COLUMN($E243)),TRUE),INDIRECT(ADDRESS(MATCH("START"&amp;OFFSET(BL243,0,COLUMN($B243)-COLUMN(BL243)),$A:$A,0),COLUMN(BL243))&amp;":"&amp;ADDRESS(MATCH("END"&amp;OFFSET(BL243,0,COLUMN($B243)-COLUMN(BL243)),$A:$A,0),COLUMN(BL243)),TRUE)))))</f>
        <v>0</v>
      </c>
      <c r="BM243" s="356">
        <f ca="1">IF(OFFSET(BM243,ROW(BM$2)-ROW(BM243),0)="TT",SUMIF(INDIRECT(ADDRESS(2,COLUMN($Q243)+1) &amp; ":" &amp; ADDRESS(2,COLUMN(BM243)-1),TRUE),"TBE",INDIRECT(ADDRESS(ROW(BM243), COLUMN($Q243)+1) &amp; ":" &amp; ADDRESS(ROW(BM243),COLUMN(BM243)-1),TRUE)),IF(OFFSET(BM243,ROW(BM$2)-ROW(BM243),0)="TBE",SUMIF(INDIRECT(ADDRESS(2,MATCH(INT(OFFSET(BM243,ROW(BM$2)-ROW(BM243),-2)),$2:$2,0)) &amp; ":" &amp; ADDRESS(2,COLUMN(BM243)-1),TRUE),"T",INDIRECT(ADDRESS(ROW(BM243), MATCH(INT(OFFSET(BM243,ROW(BM$2)-ROW(BM243),-2)),$2:$2,0)) &amp; ":" &amp; ADDRESS(ROW(BM243),COLUMN(BM243)-1),TRUE)),IF(OFFSET(BM243,0,COLUMN($M243)-COLUMN(BM243))="V",OFFSET(BM243,0,-2)*OFFSET(BM243,0,-1),"TOTAL")))</f>
        <v>0</v>
      </c>
      <c r="BN243" s="356">
        <f ca="1">IF(OFFSET(BN243,ROW(BN$2)-ROW(BN243),0)="TT",SUMIF(INDIRECT(ADDRESS(2,COLUMN($Q243)+1) &amp; ":" &amp; ADDRESS(2,COLUMN(BN243)-1),TRUE),"TBE",INDIRECT(ADDRESS(ROW(BN243), COLUMN($Q243)+1) &amp; ":" &amp; ADDRESS(ROW(BN243),COLUMN(BN243)-1),TRUE)),IF(OFFSET(BN243,ROW(BN$2)-ROW(BN243),0)="TBE",SUMIF(INDIRECT(ADDRESS(2,MATCH(INT(OFFSET(BN243,ROW(BN$2)-ROW(BN243),-2)),$2:$2,0)) &amp; ":" &amp; ADDRESS(2,COLUMN(BN243)-1),TRUE),"T",INDIRECT(ADDRESS(ROW(BN243), MATCH(INT(OFFSET(BN243,ROW(BN$2)-ROW(BN243),-2)),$2:$2,0)) &amp; ":" &amp; ADDRESS(ROW(BN243),COLUMN(BN243)-1),TRUE)),IF(OFFSET(BN243,0,COLUMN($M243)-COLUMN(BN243))="V",OFFSET(BN243,0,-2)*OFFSET(BN243,0,-1),"TOTAL")))</f>
        <v>0</v>
      </c>
    </row>
    <row r="244" spans="1:68">
      <c r="A244" s="221" t="str">
        <f t="shared" ca="1" si="372"/>
        <v>WP007</v>
      </c>
      <c r="B244" s="221" t="str">
        <f t="shared" ca="1" si="373"/>
        <v>WP007</v>
      </c>
      <c r="C244" s="221">
        <v>1</v>
      </c>
      <c r="N244" s="461"/>
      <c r="O244" s="259"/>
      <c r="P244" s="389"/>
      <c r="Q244" s="389"/>
      <c r="R244" s="361"/>
      <c r="S244" s="362"/>
      <c r="T244" s="363"/>
      <c r="U244" s="360"/>
      <c r="V244" s="361"/>
      <c r="W244" s="362"/>
      <c r="X244" s="363"/>
      <c r="Y244" s="360"/>
      <c r="Z244" s="361"/>
      <c r="AA244" s="362"/>
      <c r="AB244" s="363"/>
      <c r="AC244" s="360"/>
      <c r="AD244" s="361"/>
      <c r="AE244" s="362"/>
      <c r="AF244" s="363"/>
      <c r="AG244" s="360"/>
      <c r="AH244" s="361"/>
      <c r="AI244" s="362"/>
      <c r="AJ244" s="363"/>
      <c r="AK244" s="360"/>
      <c r="AL244" s="361"/>
      <c r="AM244" s="362"/>
      <c r="AN244" s="363"/>
      <c r="AO244" s="360"/>
      <c r="AP244" s="361"/>
      <c r="AQ244" s="362"/>
      <c r="AR244" s="363"/>
      <c r="AS244" s="360"/>
      <c r="AT244" s="361"/>
      <c r="AU244" s="362"/>
      <c r="AV244" s="363"/>
      <c r="AW244" s="360"/>
      <c r="AX244" s="361"/>
      <c r="AY244" s="362"/>
      <c r="AZ244" s="363"/>
      <c r="BA244" s="360"/>
      <c r="BB244" s="361"/>
      <c r="BC244" s="362"/>
      <c r="BD244" s="363"/>
      <c r="BE244" s="360"/>
      <c r="BF244" s="361"/>
      <c r="BG244" s="362"/>
      <c r="BH244" s="363"/>
      <c r="BI244" s="360"/>
      <c r="BJ244" s="361"/>
      <c r="BK244" s="362"/>
      <c r="BL244" s="363"/>
      <c r="BM244" s="360"/>
      <c r="BN244" s="360"/>
    </row>
    <row r="245" spans="1:68" ht="12.75" thickBot="1">
      <c r="A245" s="221" t="str">
        <f t="shared" ca="1" si="372"/>
        <v>ENDWP007</v>
      </c>
      <c r="B245" s="221" t="str">
        <f t="shared" ca="1" si="373"/>
        <v>WP007</v>
      </c>
      <c r="C245" s="221">
        <v>0</v>
      </c>
      <c r="D245" s="221" t="s">
        <v>135</v>
      </c>
      <c r="E245" s="221" t="s">
        <v>130</v>
      </c>
      <c r="M245" s="221" t="s">
        <v>46</v>
      </c>
      <c r="N245" s="462"/>
      <c r="O245" s="454" t="str">
        <f ca="1">"TOTAL COSTS (A+B+C+D+E) - " &amp; OFFSET(O245,-26,0)</f>
        <v xml:space="preserve">TOTAL COSTS (A+B+C+D+E) - </v>
      </c>
      <c r="P245" s="455"/>
      <c r="Q245" s="455"/>
      <c r="R245" s="373"/>
      <c r="S245" s="374"/>
      <c r="T245" s="375">
        <f t="shared" ca="1" si="386"/>
        <v>0</v>
      </c>
      <c r="U245" s="376">
        <f ca="1">IF(OFFSET(U245,ROW(U$2)-ROW(U245),0)="TT",SUMIF(INDIRECT(ADDRESS(2,COLUMN($Q245)+1) &amp; ":" &amp; ADDRESS(2,COLUMN(U245)-1),TRUE),"TBE",INDIRECT(ADDRESS(ROW(U245), COLUMN($Q245)+1) &amp; ":" &amp; ADDRESS(ROW(U245),COLUMN(U245)-1),TRUE)),IF(OFFSET(U245,ROW(U$2)-ROW(U245),0)="TBE",SUMIF(INDIRECT(ADDRESS(2,MATCH(INT(OFFSET(U245,ROW(U$2)-ROW(U245),-2)),$2:$2,0)) &amp; ":" &amp; ADDRESS(2,COLUMN(U245)-1),TRUE),"T",INDIRECT(ADDRESS(ROW(U245), MATCH(INT(OFFSET(U245,ROW(U$2)-ROW(U245),-2)),$2:$2,0)) &amp; ":" &amp; ADDRESS(ROW(U245),COLUMN(U245)-1),TRUE)),IF(OFFSET(U245,0,COLUMN($M245)-COLUMN(U245))="V",OFFSET(U245,0,-2)*OFFSET(U245,0,-1),"TOTAL")))</f>
        <v>0</v>
      </c>
      <c r="V245" s="373"/>
      <c r="W245" s="374"/>
      <c r="X245" s="375">
        <f t="shared" ca="1" si="387"/>
        <v>0</v>
      </c>
      <c r="Y245" s="376">
        <f ca="1">IF(OFFSET(Y245,ROW(Y$2)-ROW(Y245),0)="TT",SUMIF(INDIRECT(ADDRESS(2,COLUMN($Q245)+1) &amp; ":" &amp; ADDRESS(2,COLUMN(Y245)-1),TRUE),"TBE",INDIRECT(ADDRESS(ROW(Y245), COLUMN($Q245)+1) &amp; ":" &amp; ADDRESS(ROW(Y245),COLUMN(Y245)-1),TRUE)),IF(OFFSET(Y245,ROW(Y$2)-ROW(Y245),0)="TBE",SUMIF(INDIRECT(ADDRESS(2,MATCH(INT(OFFSET(Y245,ROW(Y$2)-ROW(Y245),-2)),$2:$2,0)) &amp; ":" &amp; ADDRESS(2,COLUMN(Y245)-1),TRUE),"T",INDIRECT(ADDRESS(ROW(Y245), MATCH(INT(OFFSET(Y245,ROW(Y$2)-ROW(Y245),-2)),$2:$2,0)) &amp; ":" &amp; ADDRESS(ROW(Y245),COLUMN(Y245)-1),TRUE)),IF(OFFSET(Y245,0,COLUMN($M245)-COLUMN(Y245))="V",OFFSET(Y245,0,-2)*OFFSET(Y245,0,-1),"TOTAL")))</f>
        <v>0</v>
      </c>
      <c r="Z245" s="373"/>
      <c r="AA245" s="374"/>
      <c r="AB245" s="375">
        <f t="shared" ca="1" si="388"/>
        <v>0</v>
      </c>
      <c r="AC245" s="376">
        <f ca="1">IF(OFFSET(AC245,ROW(AC$2)-ROW(AC245),0)="TT",SUMIF(INDIRECT(ADDRESS(2,COLUMN($Q245)+1) &amp; ":" &amp; ADDRESS(2,COLUMN(AC245)-1),TRUE),"TBE",INDIRECT(ADDRESS(ROW(AC245), COLUMN($Q245)+1) &amp; ":" &amp; ADDRESS(ROW(AC245),COLUMN(AC245)-1),TRUE)),IF(OFFSET(AC245,ROW(AC$2)-ROW(AC245),0)="TBE",SUMIF(INDIRECT(ADDRESS(2,MATCH(INT(OFFSET(AC245,ROW(AC$2)-ROW(AC245),-2)),$2:$2,0)) &amp; ":" &amp; ADDRESS(2,COLUMN(AC245)-1),TRUE),"T",INDIRECT(ADDRESS(ROW(AC245), MATCH(INT(OFFSET(AC245,ROW(AC$2)-ROW(AC245),-2)),$2:$2,0)) &amp; ":" &amp; ADDRESS(ROW(AC245),COLUMN(AC245)-1),TRUE)),IF(OFFSET(AC245,0,COLUMN($M245)-COLUMN(AC245))="V",OFFSET(AC245,0,-2)*OFFSET(AC245,0,-1),"TOTAL")))</f>
        <v>0</v>
      </c>
      <c r="AD245" s="373"/>
      <c r="AE245" s="374"/>
      <c r="AF245" s="375">
        <f t="shared" ca="1" si="389"/>
        <v>0</v>
      </c>
      <c r="AG245" s="376">
        <f ca="1">IF(OFFSET(AG245,ROW(AG$2)-ROW(AG245),0)="TT",SUMIF(INDIRECT(ADDRESS(2,COLUMN($Q245)+1) &amp; ":" &amp; ADDRESS(2,COLUMN(AG245)-1),TRUE),"TBE",INDIRECT(ADDRESS(ROW(AG245), COLUMN($Q245)+1) &amp; ":" &amp; ADDRESS(ROW(AG245),COLUMN(AG245)-1),TRUE)),IF(OFFSET(AG245,ROW(AG$2)-ROW(AG245),0)="TBE",SUMIF(INDIRECT(ADDRESS(2,MATCH(INT(OFFSET(AG245,ROW(AG$2)-ROW(AG245),-2)),$2:$2,0)) &amp; ":" &amp; ADDRESS(2,COLUMN(AG245)-1),TRUE),"T",INDIRECT(ADDRESS(ROW(AG245), MATCH(INT(OFFSET(AG245,ROW(AG$2)-ROW(AG245),-2)),$2:$2,0)) &amp; ":" &amp; ADDRESS(ROW(AG245),COLUMN(AG245)-1),TRUE)),IF(OFFSET(AG245,0,COLUMN($M245)-COLUMN(AG245))="V",OFFSET(AG245,0,-2)*OFFSET(AG245,0,-1),"TOTAL")))</f>
        <v>0</v>
      </c>
      <c r="AH245" s="373"/>
      <c r="AI245" s="374"/>
      <c r="AJ245" s="375">
        <f t="shared" ca="1" si="390"/>
        <v>0</v>
      </c>
      <c r="AK245" s="376">
        <f ca="1">IF(OFFSET(AK245,ROW(AK$2)-ROW(AK245),0)="TT",SUMIF(INDIRECT(ADDRESS(2,COLUMN($Q245)+1) &amp; ":" &amp; ADDRESS(2,COLUMN(AK245)-1),TRUE),"TBE",INDIRECT(ADDRESS(ROW(AK245), COLUMN($Q245)+1) &amp; ":" &amp; ADDRESS(ROW(AK245),COLUMN(AK245)-1),TRUE)),IF(OFFSET(AK245,ROW(AK$2)-ROW(AK245),0)="TBE",SUMIF(INDIRECT(ADDRESS(2,MATCH(INT(OFFSET(AK245,ROW(AK$2)-ROW(AK245),-2)),$2:$2,0)) &amp; ":" &amp; ADDRESS(2,COLUMN(AK245)-1),TRUE),"T",INDIRECT(ADDRESS(ROW(AK245), MATCH(INT(OFFSET(AK245,ROW(AK$2)-ROW(AK245),-2)),$2:$2,0)) &amp; ":" &amp; ADDRESS(ROW(AK245),COLUMN(AK245)-1),TRUE)),IF(OFFSET(AK245,0,COLUMN($M245)-COLUMN(AK245))="V",OFFSET(AK245,0,-2)*OFFSET(AK245,0,-1),"TOTAL")))</f>
        <v>0</v>
      </c>
      <c r="AL245" s="373"/>
      <c r="AM245" s="374"/>
      <c r="AN245" s="375">
        <f t="shared" ca="1" si="391"/>
        <v>0</v>
      </c>
      <c r="AO245" s="376">
        <f ca="1">IF(OFFSET(AO245,ROW(AO$2)-ROW(AO245),0)="TT",SUMIF(INDIRECT(ADDRESS(2,COLUMN($Q245)+1) &amp; ":" &amp; ADDRESS(2,COLUMN(AO245)-1),TRUE),"TBE",INDIRECT(ADDRESS(ROW(AO245), COLUMN($Q245)+1) &amp; ":" &amp; ADDRESS(ROW(AO245),COLUMN(AO245)-1),TRUE)),IF(OFFSET(AO245,ROW(AO$2)-ROW(AO245),0)="TBE",SUMIF(INDIRECT(ADDRESS(2,MATCH(INT(OFFSET(AO245,ROW(AO$2)-ROW(AO245),-2)),$2:$2,0)) &amp; ":" &amp; ADDRESS(2,COLUMN(AO245)-1),TRUE),"T",INDIRECT(ADDRESS(ROW(AO245), MATCH(INT(OFFSET(AO245,ROW(AO$2)-ROW(AO245),-2)),$2:$2,0)) &amp; ":" &amp; ADDRESS(ROW(AO245),COLUMN(AO245)-1),TRUE)),IF(OFFSET(AO245,0,COLUMN($M245)-COLUMN(AO245))="V",OFFSET(AO245,0,-2)*OFFSET(AO245,0,-1),"TOTAL")))</f>
        <v>0</v>
      </c>
      <c r="AP245" s="373"/>
      <c r="AQ245" s="374"/>
      <c r="AR245" s="375">
        <f t="shared" ca="1" si="392"/>
        <v>0</v>
      </c>
      <c r="AS245" s="376">
        <f ca="1">IF(OFFSET(AS245,ROW(AS$2)-ROW(AS245),0)="TT",SUMIF(INDIRECT(ADDRESS(2,COLUMN($Q245)+1) &amp; ":" &amp; ADDRESS(2,COLUMN(AS245)-1),TRUE),"TBE",INDIRECT(ADDRESS(ROW(AS245), COLUMN($Q245)+1) &amp; ":" &amp; ADDRESS(ROW(AS245),COLUMN(AS245)-1),TRUE)),IF(OFFSET(AS245,ROW(AS$2)-ROW(AS245),0)="TBE",SUMIF(INDIRECT(ADDRESS(2,MATCH(INT(OFFSET(AS245,ROW(AS$2)-ROW(AS245),-2)),$2:$2,0)) &amp; ":" &amp; ADDRESS(2,COLUMN(AS245)-1),TRUE),"T",INDIRECT(ADDRESS(ROW(AS245), MATCH(INT(OFFSET(AS245,ROW(AS$2)-ROW(AS245),-2)),$2:$2,0)) &amp; ":" &amp; ADDRESS(ROW(AS245),COLUMN(AS245)-1),TRUE)),IF(OFFSET(AS245,0,COLUMN($M245)-COLUMN(AS245))="V",OFFSET(AS245,0,-2)*OFFSET(AS245,0,-1),"TOTAL")))</f>
        <v>0</v>
      </c>
      <c r="AT245" s="373"/>
      <c r="AU245" s="374"/>
      <c r="AV245" s="375">
        <f t="shared" ca="1" si="393"/>
        <v>0</v>
      </c>
      <c r="AW245" s="376">
        <f ca="1">IF(OFFSET(AW245,ROW(AW$2)-ROW(AW245),0)="TT",SUMIF(INDIRECT(ADDRESS(2,COLUMN($Q245)+1) &amp; ":" &amp; ADDRESS(2,COLUMN(AW245)-1),TRUE),"TBE",INDIRECT(ADDRESS(ROW(AW245), COLUMN($Q245)+1) &amp; ":" &amp; ADDRESS(ROW(AW245),COLUMN(AW245)-1),TRUE)),IF(OFFSET(AW245,ROW(AW$2)-ROW(AW245),0)="TBE",SUMIF(INDIRECT(ADDRESS(2,MATCH(INT(OFFSET(AW245,ROW(AW$2)-ROW(AW245),-2)),$2:$2,0)) &amp; ":" &amp; ADDRESS(2,COLUMN(AW245)-1),TRUE),"T",INDIRECT(ADDRESS(ROW(AW245), MATCH(INT(OFFSET(AW245,ROW(AW$2)-ROW(AW245),-2)),$2:$2,0)) &amp; ":" &amp; ADDRESS(ROW(AW245),COLUMN(AW245)-1),TRUE)),IF(OFFSET(AW245,0,COLUMN($M245)-COLUMN(AW245))="V",OFFSET(AW245,0,-2)*OFFSET(AW245,0,-1),"TOTAL")))</f>
        <v>0</v>
      </c>
      <c r="AX245" s="373"/>
      <c r="AY245" s="374"/>
      <c r="AZ245" s="375">
        <f t="shared" ca="1" si="394"/>
        <v>0</v>
      </c>
      <c r="BA245" s="376">
        <f ca="1">IF(OFFSET(BA245,ROW(BA$2)-ROW(BA245),0)="TT",SUMIF(INDIRECT(ADDRESS(2,COLUMN($Q245)+1) &amp; ":" &amp; ADDRESS(2,COLUMN(BA245)-1),TRUE),"TBE",INDIRECT(ADDRESS(ROW(BA245), COLUMN($Q245)+1) &amp; ":" &amp; ADDRESS(ROW(BA245),COLUMN(BA245)-1),TRUE)),IF(OFFSET(BA245,ROW(BA$2)-ROW(BA245),0)="TBE",SUMIF(INDIRECT(ADDRESS(2,MATCH(INT(OFFSET(BA245,ROW(BA$2)-ROW(BA245),-2)),$2:$2,0)) &amp; ":" &amp; ADDRESS(2,COLUMN(BA245)-1),TRUE),"T",INDIRECT(ADDRESS(ROW(BA245), MATCH(INT(OFFSET(BA245,ROW(BA$2)-ROW(BA245),-2)),$2:$2,0)) &amp; ":" &amp; ADDRESS(ROW(BA245),COLUMN(BA245)-1),TRUE)),IF(OFFSET(BA245,0,COLUMN($M245)-COLUMN(BA245))="V",OFFSET(BA245,0,-2)*OFFSET(BA245,0,-1),"TOTAL")))</f>
        <v>0</v>
      </c>
      <c r="BB245" s="373"/>
      <c r="BC245" s="374"/>
      <c r="BD245" s="375">
        <f t="shared" ca="1" si="395"/>
        <v>0</v>
      </c>
      <c r="BE245" s="376">
        <f ca="1">IF(OFFSET(BE245,ROW(BE$2)-ROW(BE245),0)="TT",SUMIF(INDIRECT(ADDRESS(2,COLUMN($Q245)+1) &amp; ":" &amp; ADDRESS(2,COLUMN(BE245)-1),TRUE),"TBE",INDIRECT(ADDRESS(ROW(BE245), COLUMN($Q245)+1) &amp; ":" &amp; ADDRESS(ROW(BE245),COLUMN(BE245)-1),TRUE)),IF(OFFSET(BE245,ROW(BE$2)-ROW(BE245),0)="TBE",SUMIF(INDIRECT(ADDRESS(2,MATCH(INT(OFFSET(BE245,ROW(BE$2)-ROW(BE245),-2)),$2:$2,0)) &amp; ":" &amp; ADDRESS(2,COLUMN(BE245)-1),TRUE),"T",INDIRECT(ADDRESS(ROW(BE245), MATCH(INT(OFFSET(BE245,ROW(BE$2)-ROW(BE245),-2)),$2:$2,0)) &amp; ":" &amp; ADDRESS(ROW(BE245),COLUMN(BE245)-1),TRUE)),IF(OFFSET(BE245,0,COLUMN($M245)-COLUMN(BE245))="V",OFFSET(BE245,0,-2)*OFFSET(BE245,0,-1),"TOTAL")))</f>
        <v>0</v>
      </c>
      <c r="BF245" s="373"/>
      <c r="BG245" s="374"/>
      <c r="BH245" s="375">
        <f t="shared" ca="1" si="396"/>
        <v>0</v>
      </c>
      <c r="BI245" s="376">
        <f ca="1">IF(OFFSET(BI245,ROW(BI$2)-ROW(BI245),0)="TT",SUMIF(INDIRECT(ADDRESS(2,COLUMN($Q245)+1) &amp; ":" &amp; ADDRESS(2,COLUMN(BI245)-1),TRUE),"TBE",INDIRECT(ADDRESS(ROW(BI245), COLUMN($Q245)+1) &amp; ":" &amp; ADDRESS(ROW(BI245),COLUMN(BI245)-1),TRUE)),IF(OFFSET(BI245,ROW(BI$2)-ROW(BI245),0)="TBE",SUMIF(INDIRECT(ADDRESS(2,MATCH(INT(OFFSET(BI245,ROW(BI$2)-ROW(BI245),-2)),$2:$2,0)) &amp; ":" &amp; ADDRESS(2,COLUMN(BI245)-1),TRUE),"T",INDIRECT(ADDRESS(ROW(BI245), MATCH(INT(OFFSET(BI245,ROW(BI$2)-ROW(BI245),-2)),$2:$2,0)) &amp; ":" &amp; ADDRESS(ROW(BI245),COLUMN(BI245)-1),TRUE)),IF(OFFSET(BI245,0,COLUMN($M245)-COLUMN(BI245))="V",OFFSET(BI245,0,-2)*OFFSET(BI245,0,-1),"TOTAL")))</f>
        <v>0</v>
      </c>
      <c r="BJ245" s="373"/>
      <c r="BK245" s="374"/>
      <c r="BL245" s="375">
        <f t="shared" ca="1" si="397"/>
        <v>0</v>
      </c>
      <c r="BM245" s="376">
        <f ca="1">IF(OFFSET(BM245,ROW(BM$2)-ROW(BM245),0)="TT",SUMIF(INDIRECT(ADDRESS(2,COLUMN($Q245)+1) &amp; ":" &amp; ADDRESS(2,COLUMN(BM245)-1),TRUE),"TBE",INDIRECT(ADDRESS(ROW(BM245), COLUMN($Q245)+1) &amp; ":" &amp; ADDRESS(ROW(BM245),COLUMN(BM245)-1),TRUE)),IF(OFFSET(BM245,ROW(BM$2)-ROW(BM245),0)="TBE",SUMIF(INDIRECT(ADDRESS(2,MATCH(INT(OFFSET(BM245,ROW(BM$2)-ROW(BM245),-2)),$2:$2,0)) &amp; ":" &amp; ADDRESS(2,COLUMN(BM245)-1),TRUE),"T",INDIRECT(ADDRESS(ROW(BM245), MATCH(INT(OFFSET(BM245,ROW(BM$2)-ROW(BM245),-2)),$2:$2,0)) &amp; ":" &amp; ADDRESS(ROW(BM245),COLUMN(BM245)-1),TRUE)),IF(OFFSET(BM245,0,COLUMN($M245)-COLUMN(BM245))="V",OFFSET(BM245,0,-2)*OFFSET(BM245,0,-1),"TOTAL")))</f>
        <v>0</v>
      </c>
      <c r="BN245" s="376">
        <f ca="1">IF(OFFSET(BN245,ROW(BN$2)-ROW(BN245),0)="TT",SUMIF(INDIRECT(ADDRESS(2,COLUMN($Q245)+1) &amp; ":" &amp; ADDRESS(2,COLUMN(BN245)-1),TRUE),"TBE",INDIRECT(ADDRESS(ROW(BN245), COLUMN($Q245)+1) &amp; ":" &amp; ADDRESS(ROW(BN245),COLUMN(BN245)-1),TRUE)),IF(OFFSET(BN245,ROW(BN$2)-ROW(BN245),0)="TBE",SUMIF(INDIRECT(ADDRESS(2,MATCH(INT(OFFSET(BN245,ROW(BN$2)-ROW(BN245),-2)),$2:$2,0)) &amp; ":" &amp; ADDRESS(2,COLUMN(BN245)-1),TRUE),"T",INDIRECT(ADDRESS(ROW(BN245), MATCH(INT(OFFSET(BN245,ROW(BN$2)-ROW(BN245),-2)),$2:$2,0)) &amp; ":" &amp; ADDRESS(ROW(BN245),COLUMN(BN245)-1),TRUE)),IF(OFFSET(BN245,0,COLUMN($M245)-COLUMN(BN245))="V",OFFSET(BN245,0,-2)*OFFSET(BN245,0,-1),"TOTAL")))</f>
        <v>0</v>
      </c>
    </row>
    <row r="246" spans="1:68" ht="13.5" thickTop="1" thickBot="1">
      <c r="A246" s="221" t="s">
        <v>137</v>
      </c>
    </row>
    <row r="247" spans="1:68" ht="13.5" thickTop="1" thickBot="1">
      <c r="A247" s="221" t="str">
        <f ca="1">IF(ISNUMBER(OFFSET(A247,0,13)),"START",IF(AND(OFFSET(A247,0,2)=0,OFFSET(A247,0,4)="GT"),"END",""))&amp;OFFSET(A247,0,1)</f>
        <v>STARTWP008</v>
      </c>
      <c r="B247" s="221" t="str">
        <f ca="1">IF(ISNUMBER(OFFSET(B247,0,12)),"WP" &amp; TEXT(OFFSET(B247,0,12),"000"),OFFSET(B247,-1,0))</f>
        <v>WP008</v>
      </c>
      <c r="N247" s="244">
        <v>8</v>
      </c>
      <c r="O247" s="459" t="str">
        <f ca="1">""&amp;VLOOKUP(OFFSET(N247,1,0),'Work Packages List'!A:B,2,FALSE)</f>
        <v/>
      </c>
      <c r="P247" s="459"/>
      <c r="Q247" s="460"/>
      <c r="R247" s="349"/>
      <c r="S247" s="350"/>
      <c r="T247" s="351"/>
      <c r="U247" s="352"/>
      <c r="V247" s="349"/>
      <c r="W247" s="350"/>
      <c r="X247" s="351"/>
      <c r="Y247" s="352"/>
      <c r="Z247" s="349"/>
      <c r="AA247" s="350"/>
      <c r="AB247" s="351"/>
      <c r="AC247" s="352"/>
      <c r="AD247" s="349"/>
      <c r="AE247" s="350"/>
      <c r="AF247" s="351"/>
      <c r="AG247" s="352"/>
      <c r="AH247" s="349"/>
      <c r="AI247" s="350"/>
      <c r="AJ247" s="351"/>
      <c r="AK247" s="352"/>
      <c r="AL247" s="349"/>
      <c r="AM247" s="350"/>
      <c r="AN247" s="351"/>
      <c r="AO247" s="352"/>
      <c r="AP247" s="349"/>
      <c r="AQ247" s="350"/>
      <c r="AR247" s="351"/>
      <c r="AS247" s="352"/>
      <c r="AT247" s="349"/>
      <c r="AU247" s="350"/>
      <c r="AV247" s="351"/>
      <c r="AW247" s="352"/>
      <c r="AX247" s="349"/>
      <c r="AY247" s="350"/>
      <c r="AZ247" s="351"/>
      <c r="BA247" s="352"/>
      <c r="BB247" s="349"/>
      <c r="BC247" s="350"/>
      <c r="BD247" s="351"/>
      <c r="BE247" s="352"/>
      <c r="BF247" s="349"/>
      <c r="BG247" s="350"/>
      <c r="BH247" s="351"/>
      <c r="BI247" s="352"/>
      <c r="BJ247" s="349"/>
      <c r="BK247" s="350"/>
      <c r="BL247" s="351"/>
      <c r="BM247" s="352"/>
      <c r="BN247" s="352"/>
    </row>
    <row r="248" spans="1:68">
      <c r="A248" s="221" t="str">
        <f t="shared" ref="A248:A279" ca="1" si="434">IF(ISNUMBER(OFFSET(A248,0,12)),"START",IF(AND(OFFSET(A248,0,2)=0,OFFSET(A248,0,4)="GT"),"END",""))&amp;OFFSET(A248,0,1)</f>
        <v>WP008</v>
      </c>
      <c r="B248" s="221" t="str">
        <f t="shared" ref="B248:B279" ca="1" si="435">IF(ISNUMBER(OFFSET(B248,0,11)),"WP" &amp; TEXT(OFFSET(B248,0,11),"000"),OFFSET(B248,-1,0))</f>
        <v>WP008</v>
      </c>
      <c r="C248" s="221">
        <v>4</v>
      </c>
      <c r="D248" s="221" t="s">
        <v>73</v>
      </c>
      <c r="H248" s="221" t="s">
        <v>74</v>
      </c>
      <c r="I248" s="221" t="s">
        <v>75</v>
      </c>
      <c r="M248" s="221" t="s">
        <v>46</v>
      </c>
      <c r="N248" s="461" t="str">
        <f ca="1">"WP " &amp; TEXT(OFFSET(N248,-1,0),"000")</f>
        <v>WP 008</v>
      </c>
      <c r="O248" s="452" t="s">
        <v>37</v>
      </c>
      <c r="P248" s="453"/>
      <c r="Q248" s="463"/>
      <c r="R248" s="353">
        <f ca="1">IF(OFFSET(R248,ROW(R$2)-ROW(R248),0)="TT","TT",IF(OFFSET(R248,0,COLUMN($M248)-COLUMN(R248))="%",ROUND(OFFSET(R248,-2,0)*0.07,0),IF(OFFSET(R248,0,COLUMN($M248)-COLUMN(R248))="V","x",SUMIF(INDIRECT(ADDRESS(MATCH("START"&amp;OFFSET(R248,0,COLUMN($B248)-COLUMN(R248)),$A:$A,0),$C248+COLUMN($E248)+1)&amp;":"&amp;ADDRESS(MATCH("END"&amp;OFFSET(R248,0,COLUMN($B248)-COLUMN(R248)),$A:$A,0),$C248+COLUMN($E248)+1),TRUE),INDIRECT(ADDRESS(ROW(R248),$C248+COLUMN($E248)),TRUE),INDIRECT(ADDRESS(MATCH("START"&amp;OFFSET(R248,0,COLUMN($B248)-COLUMN(R248)),$A:$A,0),COLUMN(R248))&amp;":"&amp;ADDRESS(MATCH("END"&amp;OFFSET(R248,0,COLUMN($B248)-COLUMN(R248)),$A:$A,0),COLUMN(R248)),TRUE)))))</f>
        <v>0</v>
      </c>
      <c r="S248" s="354"/>
      <c r="T248" s="355">
        <f ca="1">IF(OFFSET(T248,ROW(T$2)-ROW(T248),0)="TT","TT",IF(OFFSET(T248,0,COLUMN($M248)-COLUMN(T248))="%",ROUND((OFFSET(T248,-2,0)-OFFSET(T248,-21,0))*0.07,2),IF(OFFSET(T248,0,COLUMN($M248)-COLUMN(T248))="V",ROUND(OFFSET(T248,0,-2)*OFFSET(T248,0,-1),2),SUMIF(INDIRECT(ADDRESS(MATCH("START"&amp;OFFSET(T248,0,COLUMN($B248)-COLUMN(T248)),$A:$A,0),$C248+COLUMN($E248)+1)&amp;":"&amp;ADDRESS(MATCH("END"&amp;OFFSET(T248,0,COLUMN($B248)-COLUMN(T248)),$A:$A,0),$C248+COLUMN($E248)+1),TRUE),INDIRECT(ADDRESS(ROW(T248),$C248+COLUMN($E248)),TRUE),INDIRECT(ADDRESS(MATCH("START"&amp;OFFSET(T248,0,COLUMN($B248)-COLUMN(T248)),$A:$A,0),COLUMN(T248))&amp;":"&amp;ADDRESS(MATCH("END"&amp;OFFSET(T248,0,COLUMN($B248)-COLUMN(T248)),$A:$A,0),COLUMN(T248)),TRUE)))))</f>
        <v>0</v>
      </c>
      <c r="U248" s="356">
        <f t="shared" ref="U248:U275" ca="1" si="436">IF(OFFSET(U248,ROW(U$2)-ROW(U248),0)="TT",SUMIF(INDIRECT(ADDRESS(2,COLUMN($Q248)+1) &amp; ":" &amp; ADDRESS(2,COLUMN(U248)-1),TRUE),"TBE",INDIRECT(ADDRESS(ROW(U248), COLUMN($Q248)+1) &amp; ":" &amp; ADDRESS(ROW(U248),COLUMN(U248)-1),TRUE)),IF(OFFSET(U248,ROW(U$2)-ROW(U248),0)="TBE",SUMIF(INDIRECT(ADDRESS(2,MATCH(INT(OFFSET(U248,ROW(U$2)-ROW(U248),-2)),$2:$2,0)) &amp; ":" &amp; ADDRESS(2,COLUMN(U248)-1),TRUE),"T",INDIRECT(ADDRESS(ROW(U248), MATCH(INT(OFFSET(U248,ROW(U$2)-ROW(U248),-2)),$2:$2,0)) &amp; ":" &amp; ADDRESS(ROW(U248),COLUMN(U248)-1),TRUE)),IF(OFFSET(U248,0,COLUMN($M248)-COLUMN(U248))="V",OFFSET(U248,0,-2)*OFFSET(U248,0,-1),"TOTAL")))</f>
        <v>0</v>
      </c>
      <c r="V248" s="353">
        <f ca="1">IF(OFFSET(V248,ROW(V$2)-ROW(V248),0)="TT","TT",IF(OFFSET(V248,0,COLUMN($M248)-COLUMN(V248))="%",ROUND(OFFSET(V248,-2,0)*0.07,0),IF(OFFSET(V248,0,COLUMN($M248)-COLUMN(V248))="V","x",SUMIF(INDIRECT(ADDRESS(MATCH("START"&amp;OFFSET(V248,0,COLUMN($B248)-COLUMN(V248)),$A:$A,0),$C248+COLUMN($E248)+1)&amp;":"&amp;ADDRESS(MATCH("END"&amp;OFFSET(V248,0,COLUMN($B248)-COLUMN(V248)),$A:$A,0),$C248+COLUMN($E248)+1),TRUE),INDIRECT(ADDRESS(ROW(V248),$C248+COLUMN($E248)),TRUE),INDIRECT(ADDRESS(MATCH("START"&amp;OFFSET(V248,0,COLUMN($B248)-COLUMN(V248)),$A:$A,0),COLUMN(V248))&amp;":"&amp;ADDRESS(MATCH("END"&amp;OFFSET(V248,0,COLUMN($B248)-COLUMN(V248)),$A:$A,0),COLUMN(V248)),TRUE)))))</f>
        <v>0</v>
      </c>
      <c r="W248" s="354"/>
      <c r="X248" s="355">
        <f ca="1">IF(OFFSET(X248,ROW(X$2)-ROW(X248),0)="TT","TT",IF(OFFSET(X248,0,COLUMN($M248)-COLUMN(X248))="%",ROUND((OFFSET(X248,-2,0)-OFFSET(X248,-21,0))*0.07,2),IF(OFFSET(X248,0,COLUMN($M248)-COLUMN(X248))="V",ROUND(OFFSET(X248,0,-2)*OFFSET(X248,0,-1),2),SUMIF(INDIRECT(ADDRESS(MATCH("START"&amp;OFFSET(X248,0,COLUMN($B248)-COLUMN(X248)),$A:$A,0),$C248+COLUMN($E248)+1)&amp;":"&amp;ADDRESS(MATCH("END"&amp;OFFSET(X248,0,COLUMN($B248)-COLUMN(X248)),$A:$A,0),$C248+COLUMN($E248)+1),TRUE),INDIRECT(ADDRESS(ROW(X248),$C248+COLUMN($E248)),TRUE),INDIRECT(ADDRESS(MATCH("START"&amp;OFFSET(X248,0,COLUMN($B248)-COLUMN(X248)),$A:$A,0),COLUMN(X248))&amp;":"&amp;ADDRESS(MATCH("END"&amp;OFFSET(X248,0,COLUMN($B248)-COLUMN(X248)),$A:$A,0),COLUMN(X248)),TRUE)))))</f>
        <v>0</v>
      </c>
      <c r="Y248" s="356">
        <f t="shared" ref="Y248:Y275" ca="1" si="437">IF(OFFSET(Y248,ROW(Y$2)-ROW(Y248),0)="TT",SUMIF(INDIRECT(ADDRESS(2,COLUMN($Q248)+1) &amp; ":" &amp; ADDRESS(2,COLUMN(Y248)-1),TRUE),"TBE",INDIRECT(ADDRESS(ROW(Y248), COLUMN($Q248)+1) &amp; ":" &amp; ADDRESS(ROW(Y248),COLUMN(Y248)-1),TRUE)),IF(OFFSET(Y248,ROW(Y$2)-ROW(Y248),0)="TBE",SUMIF(INDIRECT(ADDRESS(2,MATCH(INT(OFFSET(Y248,ROW(Y$2)-ROW(Y248),-2)),$2:$2,0)) &amp; ":" &amp; ADDRESS(2,COLUMN(Y248)-1),TRUE),"T",INDIRECT(ADDRESS(ROW(Y248), MATCH(INT(OFFSET(Y248,ROW(Y$2)-ROW(Y248),-2)),$2:$2,0)) &amp; ":" &amp; ADDRESS(ROW(Y248),COLUMN(Y248)-1),TRUE)),IF(OFFSET(Y248,0,COLUMN($M248)-COLUMN(Y248))="V",OFFSET(Y248,0,-2)*OFFSET(Y248,0,-1),"TOTAL")))</f>
        <v>0</v>
      </c>
      <c r="Z248" s="353">
        <f ca="1">IF(OFFSET(Z248,ROW(Z$2)-ROW(Z248),0)="TT","TT",IF(OFFSET(Z248,0,COLUMN($M248)-COLUMN(Z248))="%",ROUND(OFFSET(Z248,-2,0)*0.07,0),IF(OFFSET(Z248,0,COLUMN($M248)-COLUMN(Z248))="V","x",SUMIF(INDIRECT(ADDRESS(MATCH("START"&amp;OFFSET(Z248,0,COLUMN($B248)-COLUMN(Z248)),$A:$A,0),$C248+COLUMN($E248)+1)&amp;":"&amp;ADDRESS(MATCH("END"&amp;OFFSET(Z248,0,COLUMN($B248)-COLUMN(Z248)),$A:$A,0),$C248+COLUMN($E248)+1),TRUE),INDIRECT(ADDRESS(ROW(Z248),$C248+COLUMN($E248)),TRUE),INDIRECT(ADDRESS(MATCH("START"&amp;OFFSET(Z248,0,COLUMN($B248)-COLUMN(Z248)),$A:$A,0),COLUMN(Z248))&amp;":"&amp;ADDRESS(MATCH("END"&amp;OFFSET(Z248,0,COLUMN($B248)-COLUMN(Z248)),$A:$A,0),COLUMN(Z248)),TRUE)))))</f>
        <v>0</v>
      </c>
      <c r="AA248" s="354"/>
      <c r="AB248" s="355">
        <f ca="1">IF(OFFSET(AB248,ROW(AB$2)-ROW(AB248),0)="TT","TT",IF(OFFSET(AB248,0,COLUMN($M248)-COLUMN(AB248))="%",ROUND((OFFSET(AB248,-2,0)-OFFSET(AB248,-21,0))*0.07,2),IF(OFFSET(AB248,0,COLUMN($M248)-COLUMN(AB248))="V",ROUND(OFFSET(AB248,0,-2)*OFFSET(AB248,0,-1),2),SUMIF(INDIRECT(ADDRESS(MATCH("START"&amp;OFFSET(AB248,0,COLUMN($B248)-COLUMN(AB248)),$A:$A,0),$C248+COLUMN($E248)+1)&amp;":"&amp;ADDRESS(MATCH("END"&amp;OFFSET(AB248,0,COLUMN($B248)-COLUMN(AB248)),$A:$A,0),$C248+COLUMN($E248)+1),TRUE),INDIRECT(ADDRESS(ROW(AB248),$C248+COLUMN($E248)),TRUE),INDIRECT(ADDRESS(MATCH("START"&amp;OFFSET(AB248,0,COLUMN($B248)-COLUMN(AB248)),$A:$A,0),COLUMN(AB248))&amp;":"&amp;ADDRESS(MATCH("END"&amp;OFFSET(AB248,0,COLUMN($B248)-COLUMN(AB248)),$A:$A,0),COLUMN(AB248)),TRUE)))))</f>
        <v>0</v>
      </c>
      <c r="AC248" s="356">
        <f t="shared" ref="AC248:AC275" ca="1" si="438">IF(OFFSET(AC248,ROW(AC$2)-ROW(AC248),0)="TT",SUMIF(INDIRECT(ADDRESS(2,COLUMN($Q248)+1) &amp; ":" &amp; ADDRESS(2,COLUMN(AC248)-1),TRUE),"TBE",INDIRECT(ADDRESS(ROW(AC248), COLUMN($Q248)+1) &amp; ":" &amp; ADDRESS(ROW(AC248),COLUMN(AC248)-1),TRUE)),IF(OFFSET(AC248,ROW(AC$2)-ROW(AC248),0)="TBE",SUMIF(INDIRECT(ADDRESS(2,MATCH(INT(OFFSET(AC248,ROW(AC$2)-ROW(AC248),-2)),$2:$2,0)) &amp; ":" &amp; ADDRESS(2,COLUMN(AC248)-1),TRUE),"T",INDIRECT(ADDRESS(ROW(AC248), MATCH(INT(OFFSET(AC248,ROW(AC$2)-ROW(AC248),-2)),$2:$2,0)) &amp; ":" &amp; ADDRESS(ROW(AC248),COLUMN(AC248)-1),TRUE)),IF(OFFSET(AC248,0,COLUMN($M248)-COLUMN(AC248))="V",OFFSET(AC248,0,-2)*OFFSET(AC248,0,-1),"TOTAL")))</f>
        <v>0</v>
      </c>
      <c r="AD248" s="353">
        <f ca="1">IF(OFFSET(AD248,ROW(AD$2)-ROW(AD248),0)="TT","TT",IF(OFFSET(AD248,0,COLUMN($M248)-COLUMN(AD248))="%",ROUND(OFFSET(AD248,-2,0)*0.07,0),IF(OFFSET(AD248,0,COLUMN($M248)-COLUMN(AD248))="V","x",SUMIF(INDIRECT(ADDRESS(MATCH("START"&amp;OFFSET(AD248,0,COLUMN($B248)-COLUMN(AD248)),$A:$A,0),$C248+COLUMN($E248)+1)&amp;":"&amp;ADDRESS(MATCH("END"&amp;OFFSET(AD248,0,COLUMN($B248)-COLUMN(AD248)),$A:$A,0),$C248+COLUMN($E248)+1),TRUE),INDIRECT(ADDRESS(ROW(AD248),$C248+COLUMN($E248)),TRUE),INDIRECT(ADDRESS(MATCH("START"&amp;OFFSET(AD248,0,COLUMN($B248)-COLUMN(AD248)),$A:$A,0),COLUMN(AD248))&amp;":"&amp;ADDRESS(MATCH("END"&amp;OFFSET(AD248,0,COLUMN($B248)-COLUMN(AD248)),$A:$A,0),COLUMN(AD248)),TRUE)))))</f>
        <v>0</v>
      </c>
      <c r="AE248" s="354"/>
      <c r="AF248" s="355">
        <f ca="1">IF(OFFSET(AF248,ROW(AF$2)-ROW(AF248),0)="TT","TT",IF(OFFSET(AF248,0,COLUMN($M248)-COLUMN(AF248))="%",ROUND((OFFSET(AF248,-2,0)-OFFSET(AF248,-21,0))*0.07,2),IF(OFFSET(AF248,0,COLUMN($M248)-COLUMN(AF248))="V",ROUND(OFFSET(AF248,0,-2)*OFFSET(AF248,0,-1),2),SUMIF(INDIRECT(ADDRESS(MATCH("START"&amp;OFFSET(AF248,0,COLUMN($B248)-COLUMN(AF248)),$A:$A,0),$C248+COLUMN($E248)+1)&amp;":"&amp;ADDRESS(MATCH("END"&amp;OFFSET(AF248,0,COLUMN($B248)-COLUMN(AF248)),$A:$A,0),$C248+COLUMN($E248)+1),TRUE),INDIRECT(ADDRESS(ROW(AF248),$C248+COLUMN($E248)),TRUE),INDIRECT(ADDRESS(MATCH("START"&amp;OFFSET(AF248,0,COLUMN($B248)-COLUMN(AF248)),$A:$A,0),COLUMN(AF248))&amp;":"&amp;ADDRESS(MATCH("END"&amp;OFFSET(AF248,0,COLUMN($B248)-COLUMN(AF248)),$A:$A,0),COLUMN(AF248)),TRUE)))))</f>
        <v>0</v>
      </c>
      <c r="AG248" s="356">
        <f t="shared" ref="AG248:AG275" ca="1" si="439">IF(OFFSET(AG248,ROW(AG$2)-ROW(AG248),0)="TT",SUMIF(INDIRECT(ADDRESS(2,COLUMN($Q248)+1) &amp; ":" &amp; ADDRESS(2,COLUMN(AG248)-1),TRUE),"TBE",INDIRECT(ADDRESS(ROW(AG248), COLUMN($Q248)+1) &amp; ":" &amp; ADDRESS(ROW(AG248),COLUMN(AG248)-1),TRUE)),IF(OFFSET(AG248,ROW(AG$2)-ROW(AG248),0)="TBE",SUMIF(INDIRECT(ADDRESS(2,MATCH(INT(OFFSET(AG248,ROW(AG$2)-ROW(AG248),-2)),$2:$2,0)) &amp; ":" &amp; ADDRESS(2,COLUMN(AG248)-1),TRUE),"T",INDIRECT(ADDRESS(ROW(AG248), MATCH(INT(OFFSET(AG248,ROW(AG$2)-ROW(AG248),-2)),$2:$2,0)) &amp; ":" &amp; ADDRESS(ROW(AG248),COLUMN(AG248)-1),TRUE)),IF(OFFSET(AG248,0,COLUMN($M248)-COLUMN(AG248))="V",OFFSET(AG248,0,-2)*OFFSET(AG248,0,-1),"TOTAL")))</f>
        <v>0</v>
      </c>
      <c r="AH248" s="353">
        <f ca="1">IF(OFFSET(AH248,ROW(AH$2)-ROW(AH248),0)="TT","TT",IF(OFFSET(AH248,0,COLUMN($M248)-COLUMN(AH248))="%",ROUND(OFFSET(AH248,-2,0)*0.07,0),IF(OFFSET(AH248,0,COLUMN($M248)-COLUMN(AH248))="V","x",SUMIF(INDIRECT(ADDRESS(MATCH("START"&amp;OFFSET(AH248,0,COLUMN($B248)-COLUMN(AH248)),$A:$A,0),$C248+COLUMN($E248)+1)&amp;":"&amp;ADDRESS(MATCH("END"&amp;OFFSET(AH248,0,COLUMN($B248)-COLUMN(AH248)),$A:$A,0),$C248+COLUMN($E248)+1),TRUE),INDIRECT(ADDRESS(ROW(AH248),$C248+COLUMN($E248)),TRUE),INDIRECT(ADDRESS(MATCH("START"&amp;OFFSET(AH248,0,COLUMN($B248)-COLUMN(AH248)),$A:$A,0),COLUMN(AH248))&amp;":"&amp;ADDRESS(MATCH("END"&amp;OFFSET(AH248,0,COLUMN($B248)-COLUMN(AH248)),$A:$A,0),COLUMN(AH248)),TRUE)))))</f>
        <v>0</v>
      </c>
      <c r="AI248" s="354"/>
      <c r="AJ248" s="355">
        <f ca="1">IF(OFFSET(AJ248,ROW(AJ$2)-ROW(AJ248),0)="TT","TT",IF(OFFSET(AJ248,0,COLUMN($M248)-COLUMN(AJ248))="%",ROUND((OFFSET(AJ248,-2,0)-OFFSET(AJ248,-21,0))*0.07,2),IF(OFFSET(AJ248,0,COLUMN($M248)-COLUMN(AJ248))="V",ROUND(OFFSET(AJ248,0,-2)*OFFSET(AJ248,0,-1),2),SUMIF(INDIRECT(ADDRESS(MATCH("START"&amp;OFFSET(AJ248,0,COLUMN($B248)-COLUMN(AJ248)),$A:$A,0),$C248+COLUMN($E248)+1)&amp;":"&amp;ADDRESS(MATCH("END"&amp;OFFSET(AJ248,0,COLUMN($B248)-COLUMN(AJ248)),$A:$A,0),$C248+COLUMN($E248)+1),TRUE),INDIRECT(ADDRESS(ROW(AJ248),$C248+COLUMN($E248)),TRUE),INDIRECT(ADDRESS(MATCH("START"&amp;OFFSET(AJ248,0,COLUMN($B248)-COLUMN(AJ248)),$A:$A,0),COLUMN(AJ248))&amp;":"&amp;ADDRESS(MATCH("END"&amp;OFFSET(AJ248,0,COLUMN($B248)-COLUMN(AJ248)),$A:$A,0),COLUMN(AJ248)),TRUE)))))</f>
        <v>0</v>
      </c>
      <c r="AK248" s="356">
        <f t="shared" ref="AK248:AK275" ca="1" si="440">IF(OFFSET(AK248,ROW(AK$2)-ROW(AK248),0)="TT",SUMIF(INDIRECT(ADDRESS(2,COLUMN($Q248)+1) &amp; ":" &amp; ADDRESS(2,COLUMN(AK248)-1),TRUE),"TBE",INDIRECT(ADDRESS(ROW(AK248), COLUMN($Q248)+1) &amp; ":" &amp; ADDRESS(ROW(AK248),COLUMN(AK248)-1),TRUE)),IF(OFFSET(AK248,ROW(AK$2)-ROW(AK248),0)="TBE",SUMIF(INDIRECT(ADDRESS(2,MATCH(INT(OFFSET(AK248,ROW(AK$2)-ROW(AK248),-2)),$2:$2,0)) &amp; ":" &amp; ADDRESS(2,COLUMN(AK248)-1),TRUE),"T",INDIRECT(ADDRESS(ROW(AK248), MATCH(INT(OFFSET(AK248,ROW(AK$2)-ROW(AK248),-2)),$2:$2,0)) &amp; ":" &amp; ADDRESS(ROW(AK248),COLUMN(AK248)-1),TRUE)),IF(OFFSET(AK248,0,COLUMN($M248)-COLUMN(AK248))="V",OFFSET(AK248,0,-2)*OFFSET(AK248,0,-1),"TOTAL")))</f>
        <v>0</v>
      </c>
      <c r="AL248" s="353">
        <f ca="1">IF(OFFSET(AL248,ROW(AL$2)-ROW(AL248),0)="TT","TT",IF(OFFSET(AL248,0,COLUMN($M248)-COLUMN(AL248))="%",ROUND(OFFSET(AL248,-2,0)*0.07,0),IF(OFFSET(AL248,0,COLUMN($M248)-COLUMN(AL248))="V","x",SUMIF(INDIRECT(ADDRESS(MATCH("START"&amp;OFFSET(AL248,0,COLUMN($B248)-COLUMN(AL248)),$A:$A,0),$C248+COLUMN($E248)+1)&amp;":"&amp;ADDRESS(MATCH("END"&amp;OFFSET(AL248,0,COLUMN($B248)-COLUMN(AL248)),$A:$A,0),$C248+COLUMN($E248)+1),TRUE),INDIRECT(ADDRESS(ROW(AL248),$C248+COLUMN($E248)),TRUE),INDIRECT(ADDRESS(MATCH("START"&amp;OFFSET(AL248,0,COLUMN($B248)-COLUMN(AL248)),$A:$A,0),COLUMN(AL248))&amp;":"&amp;ADDRESS(MATCH("END"&amp;OFFSET(AL248,0,COLUMN($B248)-COLUMN(AL248)),$A:$A,0),COLUMN(AL248)),TRUE)))))</f>
        <v>0</v>
      </c>
      <c r="AM248" s="354"/>
      <c r="AN248" s="355">
        <f ca="1">IF(OFFSET(AN248,ROW(AN$2)-ROW(AN248),0)="TT","TT",IF(OFFSET(AN248,0,COLUMN($M248)-COLUMN(AN248))="%",ROUND((OFFSET(AN248,-2,0)-OFFSET(AN248,-21,0))*0.07,2),IF(OFFSET(AN248,0,COLUMN($M248)-COLUMN(AN248))="V",ROUND(OFFSET(AN248,0,-2)*OFFSET(AN248,0,-1),2),SUMIF(INDIRECT(ADDRESS(MATCH("START"&amp;OFFSET(AN248,0,COLUMN($B248)-COLUMN(AN248)),$A:$A,0),$C248+COLUMN($E248)+1)&amp;":"&amp;ADDRESS(MATCH("END"&amp;OFFSET(AN248,0,COLUMN($B248)-COLUMN(AN248)),$A:$A,0),$C248+COLUMN($E248)+1),TRUE),INDIRECT(ADDRESS(ROW(AN248),$C248+COLUMN($E248)),TRUE),INDIRECT(ADDRESS(MATCH("START"&amp;OFFSET(AN248,0,COLUMN($B248)-COLUMN(AN248)),$A:$A,0),COLUMN(AN248))&amp;":"&amp;ADDRESS(MATCH("END"&amp;OFFSET(AN248,0,COLUMN($B248)-COLUMN(AN248)),$A:$A,0),COLUMN(AN248)),TRUE)))))</f>
        <v>0</v>
      </c>
      <c r="AO248" s="356">
        <f t="shared" ref="AO248:AO275" ca="1" si="441">IF(OFFSET(AO248,ROW(AO$2)-ROW(AO248),0)="TT",SUMIF(INDIRECT(ADDRESS(2,COLUMN($Q248)+1) &amp; ":" &amp; ADDRESS(2,COLUMN(AO248)-1),TRUE),"TBE",INDIRECT(ADDRESS(ROW(AO248), COLUMN($Q248)+1) &amp; ":" &amp; ADDRESS(ROW(AO248),COLUMN(AO248)-1),TRUE)),IF(OFFSET(AO248,ROW(AO$2)-ROW(AO248),0)="TBE",SUMIF(INDIRECT(ADDRESS(2,MATCH(INT(OFFSET(AO248,ROW(AO$2)-ROW(AO248),-2)),$2:$2,0)) &amp; ":" &amp; ADDRESS(2,COLUMN(AO248)-1),TRUE),"T",INDIRECT(ADDRESS(ROW(AO248), MATCH(INT(OFFSET(AO248,ROW(AO$2)-ROW(AO248),-2)),$2:$2,0)) &amp; ":" &amp; ADDRESS(ROW(AO248),COLUMN(AO248)-1),TRUE)),IF(OFFSET(AO248,0,COLUMN($M248)-COLUMN(AO248))="V",OFFSET(AO248,0,-2)*OFFSET(AO248,0,-1),"TOTAL")))</f>
        <v>0</v>
      </c>
      <c r="AP248" s="353">
        <f ca="1">IF(OFFSET(AP248,ROW(AP$2)-ROW(AP248),0)="TT","TT",IF(OFFSET(AP248,0,COLUMN($M248)-COLUMN(AP248))="%",ROUND(OFFSET(AP248,-2,0)*0.07,0),IF(OFFSET(AP248,0,COLUMN($M248)-COLUMN(AP248))="V","x",SUMIF(INDIRECT(ADDRESS(MATCH("START"&amp;OFFSET(AP248,0,COLUMN($B248)-COLUMN(AP248)),$A:$A,0),$C248+COLUMN($E248)+1)&amp;":"&amp;ADDRESS(MATCH("END"&amp;OFFSET(AP248,0,COLUMN($B248)-COLUMN(AP248)),$A:$A,0),$C248+COLUMN($E248)+1),TRUE),INDIRECT(ADDRESS(ROW(AP248),$C248+COLUMN($E248)),TRUE),INDIRECT(ADDRESS(MATCH("START"&amp;OFFSET(AP248,0,COLUMN($B248)-COLUMN(AP248)),$A:$A,0),COLUMN(AP248))&amp;":"&amp;ADDRESS(MATCH("END"&amp;OFFSET(AP248,0,COLUMN($B248)-COLUMN(AP248)),$A:$A,0),COLUMN(AP248)),TRUE)))))</f>
        <v>0</v>
      </c>
      <c r="AQ248" s="354"/>
      <c r="AR248" s="355">
        <f ca="1">IF(OFFSET(AR248,ROW(AR$2)-ROW(AR248),0)="TT","TT",IF(OFFSET(AR248,0,COLUMN($M248)-COLUMN(AR248))="%",ROUND((OFFSET(AR248,-2,0)-OFFSET(AR248,-21,0))*0.07,2),IF(OFFSET(AR248,0,COLUMN($M248)-COLUMN(AR248))="V",ROUND(OFFSET(AR248,0,-2)*OFFSET(AR248,0,-1),2),SUMIF(INDIRECT(ADDRESS(MATCH("START"&amp;OFFSET(AR248,0,COLUMN($B248)-COLUMN(AR248)),$A:$A,0),$C248+COLUMN($E248)+1)&amp;":"&amp;ADDRESS(MATCH("END"&amp;OFFSET(AR248,0,COLUMN($B248)-COLUMN(AR248)),$A:$A,0),$C248+COLUMN($E248)+1),TRUE),INDIRECT(ADDRESS(ROW(AR248),$C248+COLUMN($E248)),TRUE),INDIRECT(ADDRESS(MATCH("START"&amp;OFFSET(AR248,0,COLUMN($B248)-COLUMN(AR248)),$A:$A,0),COLUMN(AR248))&amp;":"&amp;ADDRESS(MATCH("END"&amp;OFFSET(AR248,0,COLUMN($B248)-COLUMN(AR248)),$A:$A,0),COLUMN(AR248)),TRUE)))))</f>
        <v>0</v>
      </c>
      <c r="AS248" s="356">
        <f t="shared" ref="AS248:AS275" ca="1" si="442">IF(OFFSET(AS248,ROW(AS$2)-ROW(AS248),0)="TT",SUMIF(INDIRECT(ADDRESS(2,COLUMN($Q248)+1) &amp; ":" &amp; ADDRESS(2,COLUMN(AS248)-1),TRUE),"TBE",INDIRECT(ADDRESS(ROW(AS248), COLUMN($Q248)+1) &amp; ":" &amp; ADDRESS(ROW(AS248),COLUMN(AS248)-1),TRUE)),IF(OFFSET(AS248,ROW(AS$2)-ROW(AS248),0)="TBE",SUMIF(INDIRECT(ADDRESS(2,MATCH(INT(OFFSET(AS248,ROW(AS$2)-ROW(AS248),-2)),$2:$2,0)) &amp; ":" &amp; ADDRESS(2,COLUMN(AS248)-1),TRUE),"T",INDIRECT(ADDRESS(ROW(AS248), MATCH(INT(OFFSET(AS248,ROW(AS$2)-ROW(AS248),-2)),$2:$2,0)) &amp; ":" &amp; ADDRESS(ROW(AS248),COLUMN(AS248)-1),TRUE)),IF(OFFSET(AS248,0,COLUMN($M248)-COLUMN(AS248))="V",OFFSET(AS248,0,-2)*OFFSET(AS248,0,-1),"TOTAL")))</f>
        <v>0</v>
      </c>
      <c r="AT248" s="353">
        <f ca="1">IF(OFFSET(AT248,ROW(AT$2)-ROW(AT248),0)="TT","TT",IF(OFFSET(AT248,0,COLUMN($M248)-COLUMN(AT248))="%",ROUND(OFFSET(AT248,-2,0)*0.07,0),IF(OFFSET(AT248,0,COLUMN($M248)-COLUMN(AT248))="V","x",SUMIF(INDIRECT(ADDRESS(MATCH("START"&amp;OFFSET(AT248,0,COLUMN($B248)-COLUMN(AT248)),$A:$A,0),$C248+COLUMN($E248)+1)&amp;":"&amp;ADDRESS(MATCH("END"&amp;OFFSET(AT248,0,COLUMN($B248)-COLUMN(AT248)),$A:$A,0),$C248+COLUMN($E248)+1),TRUE),INDIRECT(ADDRESS(ROW(AT248),$C248+COLUMN($E248)),TRUE),INDIRECT(ADDRESS(MATCH("START"&amp;OFFSET(AT248,0,COLUMN($B248)-COLUMN(AT248)),$A:$A,0),COLUMN(AT248))&amp;":"&amp;ADDRESS(MATCH("END"&amp;OFFSET(AT248,0,COLUMN($B248)-COLUMN(AT248)),$A:$A,0),COLUMN(AT248)),TRUE)))))</f>
        <v>0</v>
      </c>
      <c r="AU248" s="354"/>
      <c r="AV248" s="355">
        <f ca="1">IF(OFFSET(AV248,ROW(AV$2)-ROW(AV248),0)="TT","TT",IF(OFFSET(AV248,0,COLUMN($M248)-COLUMN(AV248))="%",ROUND((OFFSET(AV248,-2,0)-OFFSET(AV248,-21,0))*0.07,2),IF(OFFSET(AV248,0,COLUMN($M248)-COLUMN(AV248))="V",ROUND(OFFSET(AV248,0,-2)*OFFSET(AV248,0,-1),2),SUMIF(INDIRECT(ADDRESS(MATCH("START"&amp;OFFSET(AV248,0,COLUMN($B248)-COLUMN(AV248)),$A:$A,0),$C248+COLUMN($E248)+1)&amp;":"&amp;ADDRESS(MATCH("END"&amp;OFFSET(AV248,0,COLUMN($B248)-COLUMN(AV248)),$A:$A,0),$C248+COLUMN($E248)+1),TRUE),INDIRECT(ADDRESS(ROW(AV248),$C248+COLUMN($E248)),TRUE),INDIRECT(ADDRESS(MATCH("START"&amp;OFFSET(AV248,0,COLUMN($B248)-COLUMN(AV248)),$A:$A,0),COLUMN(AV248))&amp;":"&amp;ADDRESS(MATCH("END"&amp;OFFSET(AV248,0,COLUMN($B248)-COLUMN(AV248)),$A:$A,0),COLUMN(AV248)),TRUE)))))</f>
        <v>0</v>
      </c>
      <c r="AW248" s="356">
        <f t="shared" ref="AW248:AW275" ca="1" si="443">IF(OFFSET(AW248,ROW(AW$2)-ROW(AW248),0)="TT",SUMIF(INDIRECT(ADDRESS(2,COLUMN($Q248)+1) &amp; ":" &amp; ADDRESS(2,COLUMN(AW248)-1),TRUE),"TBE",INDIRECT(ADDRESS(ROW(AW248), COLUMN($Q248)+1) &amp; ":" &amp; ADDRESS(ROW(AW248),COLUMN(AW248)-1),TRUE)),IF(OFFSET(AW248,ROW(AW$2)-ROW(AW248),0)="TBE",SUMIF(INDIRECT(ADDRESS(2,MATCH(INT(OFFSET(AW248,ROW(AW$2)-ROW(AW248),-2)),$2:$2,0)) &amp; ":" &amp; ADDRESS(2,COLUMN(AW248)-1),TRUE),"T",INDIRECT(ADDRESS(ROW(AW248), MATCH(INT(OFFSET(AW248,ROW(AW$2)-ROW(AW248),-2)),$2:$2,0)) &amp; ":" &amp; ADDRESS(ROW(AW248),COLUMN(AW248)-1),TRUE)),IF(OFFSET(AW248,0,COLUMN($M248)-COLUMN(AW248))="V",OFFSET(AW248,0,-2)*OFFSET(AW248,0,-1),"TOTAL")))</f>
        <v>0</v>
      </c>
      <c r="AX248" s="353">
        <f ca="1">IF(OFFSET(AX248,ROW(AX$2)-ROW(AX248),0)="TT","TT",IF(OFFSET(AX248,0,COLUMN($M248)-COLUMN(AX248))="%",ROUND(OFFSET(AX248,-2,0)*0.07,0),IF(OFFSET(AX248,0,COLUMN($M248)-COLUMN(AX248))="V","x",SUMIF(INDIRECT(ADDRESS(MATCH("START"&amp;OFFSET(AX248,0,COLUMN($B248)-COLUMN(AX248)),$A:$A,0),$C248+COLUMN($E248)+1)&amp;":"&amp;ADDRESS(MATCH("END"&amp;OFFSET(AX248,0,COLUMN($B248)-COLUMN(AX248)),$A:$A,0),$C248+COLUMN($E248)+1),TRUE),INDIRECT(ADDRESS(ROW(AX248),$C248+COLUMN($E248)),TRUE),INDIRECT(ADDRESS(MATCH("START"&amp;OFFSET(AX248,0,COLUMN($B248)-COLUMN(AX248)),$A:$A,0),COLUMN(AX248))&amp;":"&amp;ADDRESS(MATCH("END"&amp;OFFSET(AX248,0,COLUMN($B248)-COLUMN(AX248)),$A:$A,0),COLUMN(AX248)),TRUE)))))</f>
        <v>0</v>
      </c>
      <c r="AY248" s="354"/>
      <c r="AZ248" s="355">
        <f ca="1">IF(OFFSET(AZ248,ROW(AZ$2)-ROW(AZ248),0)="TT","TT",IF(OFFSET(AZ248,0,COLUMN($M248)-COLUMN(AZ248))="%",ROUND((OFFSET(AZ248,-2,0)-OFFSET(AZ248,-21,0))*0.07,2),IF(OFFSET(AZ248,0,COLUMN($M248)-COLUMN(AZ248))="V",ROUND(OFFSET(AZ248,0,-2)*OFFSET(AZ248,0,-1),2),SUMIF(INDIRECT(ADDRESS(MATCH("START"&amp;OFFSET(AZ248,0,COLUMN($B248)-COLUMN(AZ248)),$A:$A,0),$C248+COLUMN($E248)+1)&amp;":"&amp;ADDRESS(MATCH("END"&amp;OFFSET(AZ248,0,COLUMN($B248)-COLUMN(AZ248)),$A:$A,0),$C248+COLUMN($E248)+1),TRUE),INDIRECT(ADDRESS(ROW(AZ248),$C248+COLUMN($E248)),TRUE),INDIRECT(ADDRESS(MATCH("START"&amp;OFFSET(AZ248,0,COLUMN($B248)-COLUMN(AZ248)),$A:$A,0),COLUMN(AZ248))&amp;":"&amp;ADDRESS(MATCH("END"&amp;OFFSET(AZ248,0,COLUMN($B248)-COLUMN(AZ248)),$A:$A,0),COLUMN(AZ248)),TRUE)))))</f>
        <v>0</v>
      </c>
      <c r="BA248" s="356">
        <f t="shared" ref="BA248:BA275" ca="1" si="444">IF(OFFSET(BA248,ROW(BA$2)-ROW(BA248),0)="TT",SUMIF(INDIRECT(ADDRESS(2,COLUMN($Q248)+1) &amp; ":" &amp; ADDRESS(2,COLUMN(BA248)-1),TRUE),"TBE",INDIRECT(ADDRESS(ROW(BA248), COLUMN($Q248)+1) &amp; ":" &amp; ADDRESS(ROW(BA248),COLUMN(BA248)-1),TRUE)),IF(OFFSET(BA248,ROW(BA$2)-ROW(BA248),0)="TBE",SUMIF(INDIRECT(ADDRESS(2,MATCH(INT(OFFSET(BA248,ROW(BA$2)-ROW(BA248),-2)),$2:$2,0)) &amp; ":" &amp; ADDRESS(2,COLUMN(BA248)-1),TRUE),"T",INDIRECT(ADDRESS(ROW(BA248), MATCH(INT(OFFSET(BA248,ROW(BA$2)-ROW(BA248),-2)),$2:$2,0)) &amp; ":" &amp; ADDRESS(ROW(BA248),COLUMN(BA248)-1),TRUE)),IF(OFFSET(BA248,0,COLUMN($M248)-COLUMN(BA248))="V",OFFSET(BA248,0,-2)*OFFSET(BA248,0,-1),"TOTAL")))</f>
        <v>0</v>
      </c>
      <c r="BB248" s="353">
        <f ca="1">IF(OFFSET(BB248,ROW(BB$2)-ROW(BB248),0)="TT","TT",IF(OFFSET(BB248,0,COLUMN($M248)-COLUMN(BB248))="%",ROUND(OFFSET(BB248,-2,0)*0.07,0),IF(OFFSET(BB248,0,COLUMN($M248)-COLUMN(BB248))="V","x",SUMIF(INDIRECT(ADDRESS(MATCH("START"&amp;OFFSET(BB248,0,COLUMN($B248)-COLUMN(BB248)),$A:$A,0),$C248+COLUMN($E248)+1)&amp;":"&amp;ADDRESS(MATCH("END"&amp;OFFSET(BB248,0,COLUMN($B248)-COLUMN(BB248)),$A:$A,0),$C248+COLUMN($E248)+1),TRUE),INDIRECT(ADDRESS(ROW(BB248),$C248+COLUMN($E248)),TRUE),INDIRECT(ADDRESS(MATCH("START"&amp;OFFSET(BB248,0,COLUMN($B248)-COLUMN(BB248)),$A:$A,0),COLUMN(BB248))&amp;":"&amp;ADDRESS(MATCH("END"&amp;OFFSET(BB248,0,COLUMN($B248)-COLUMN(BB248)),$A:$A,0),COLUMN(BB248)),TRUE)))))</f>
        <v>0</v>
      </c>
      <c r="BC248" s="354"/>
      <c r="BD248" s="355">
        <f ca="1">IF(OFFSET(BD248,ROW(BD$2)-ROW(BD248),0)="TT","TT",IF(OFFSET(BD248,0,COLUMN($M248)-COLUMN(BD248))="%",ROUND((OFFSET(BD248,-2,0)-OFFSET(BD248,-21,0))*0.07,2),IF(OFFSET(BD248,0,COLUMN($M248)-COLUMN(BD248))="V",ROUND(OFFSET(BD248,0,-2)*OFFSET(BD248,0,-1),2),SUMIF(INDIRECT(ADDRESS(MATCH("START"&amp;OFFSET(BD248,0,COLUMN($B248)-COLUMN(BD248)),$A:$A,0),$C248+COLUMN($E248)+1)&amp;":"&amp;ADDRESS(MATCH("END"&amp;OFFSET(BD248,0,COLUMN($B248)-COLUMN(BD248)),$A:$A,0),$C248+COLUMN($E248)+1),TRUE),INDIRECT(ADDRESS(ROW(BD248),$C248+COLUMN($E248)),TRUE),INDIRECT(ADDRESS(MATCH("START"&amp;OFFSET(BD248,0,COLUMN($B248)-COLUMN(BD248)),$A:$A,0),COLUMN(BD248))&amp;":"&amp;ADDRESS(MATCH("END"&amp;OFFSET(BD248,0,COLUMN($B248)-COLUMN(BD248)),$A:$A,0),COLUMN(BD248)),TRUE)))))</f>
        <v>0</v>
      </c>
      <c r="BE248" s="356">
        <f t="shared" ref="BE248:BE275" ca="1" si="445">IF(OFFSET(BE248,ROW(BE$2)-ROW(BE248),0)="TT",SUMIF(INDIRECT(ADDRESS(2,COLUMN($Q248)+1) &amp; ":" &amp; ADDRESS(2,COLUMN(BE248)-1),TRUE),"TBE",INDIRECT(ADDRESS(ROW(BE248), COLUMN($Q248)+1) &amp; ":" &amp; ADDRESS(ROW(BE248),COLUMN(BE248)-1),TRUE)),IF(OFFSET(BE248,ROW(BE$2)-ROW(BE248),0)="TBE",SUMIF(INDIRECT(ADDRESS(2,MATCH(INT(OFFSET(BE248,ROW(BE$2)-ROW(BE248),-2)),$2:$2,0)) &amp; ":" &amp; ADDRESS(2,COLUMN(BE248)-1),TRUE),"T",INDIRECT(ADDRESS(ROW(BE248), MATCH(INT(OFFSET(BE248,ROW(BE$2)-ROW(BE248),-2)),$2:$2,0)) &amp; ":" &amp; ADDRESS(ROW(BE248),COLUMN(BE248)-1),TRUE)),IF(OFFSET(BE248,0,COLUMN($M248)-COLUMN(BE248))="V",OFFSET(BE248,0,-2)*OFFSET(BE248,0,-1),"TOTAL")))</f>
        <v>0</v>
      </c>
      <c r="BF248" s="353">
        <f ca="1">IF(OFFSET(BF248,ROW(BF$2)-ROW(BF248),0)="TT","TT",IF(OFFSET(BF248,0,COLUMN($M248)-COLUMN(BF248))="%",ROUND(OFFSET(BF248,-2,0)*0.07,0),IF(OFFSET(BF248,0,COLUMN($M248)-COLUMN(BF248))="V","x",SUMIF(INDIRECT(ADDRESS(MATCH("START"&amp;OFFSET(BF248,0,COLUMN($B248)-COLUMN(BF248)),$A:$A,0),$C248+COLUMN($E248)+1)&amp;":"&amp;ADDRESS(MATCH("END"&amp;OFFSET(BF248,0,COLUMN($B248)-COLUMN(BF248)),$A:$A,0),$C248+COLUMN($E248)+1),TRUE),INDIRECT(ADDRESS(ROW(BF248),$C248+COLUMN($E248)),TRUE),INDIRECT(ADDRESS(MATCH("START"&amp;OFFSET(BF248,0,COLUMN($B248)-COLUMN(BF248)),$A:$A,0),COLUMN(BF248))&amp;":"&amp;ADDRESS(MATCH("END"&amp;OFFSET(BF248,0,COLUMN($B248)-COLUMN(BF248)),$A:$A,0),COLUMN(BF248)),TRUE)))))</f>
        <v>0</v>
      </c>
      <c r="BG248" s="354"/>
      <c r="BH248" s="355">
        <f ca="1">IF(OFFSET(BH248,ROW(BH$2)-ROW(BH248),0)="TT","TT",IF(OFFSET(BH248,0,COLUMN($M248)-COLUMN(BH248))="%",ROUND((OFFSET(BH248,-2,0)-OFFSET(BH248,-21,0))*0.07,2),IF(OFFSET(BH248,0,COLUMN($M248)-COLUMN(BH248))="V",ROUND(OFFSET(BH248,0,-2)*OFFSET(BH248,0,-1),2),SUMIF(INDIRECT(ADDRESS(MATCH("START"&amp;OFFSET(BH248,0,COLUMN($B248)-COLUMN(BH248)),$A:$A,0),$C248+COLUMN($E248)+1)&amp;":"&amp;ADDRESS(MATCH("END"&amp;OFFSET(BH248,0,COLUMN($B248)-COLUMN(BH248)),$A:$A,0),$C248+COLUMN($E248)+1),TRUE),INDIRECT(ADDRESS(ROW(BH248),$C248+COLUMN($E248)),TRUE),INDIRECT(ADDRESS(MATCH("START"&amp;OFFSET(BH248,0,COLUMN($B248)-COLUMN(BH248)),$A:$A,0),COLUMN(BH248))&amp;":"&amp;ADDRESS(MATCH("END"&amp;OFFSET(BH248,0,COLUMN($B248)-COLUMN(BH248)),$A:$A,0),COLUMN(BH248)),TRUE)))))</f>
        <v>0</v>
      </c>
      <c r="BI248" s="356">
        <f t="shared" ref="BI248:BI275" ca="1" si="446">IF(OFFSET(BI248,ROW(BI$2)-ROW(BI248),0)="TT",SUMIF(INDIRECT(ADDRESS(2,COLUMN($Q248)+1) &amp; ":" &amp; ADDRESS(2,COLUMN(BI248)-1),TRUE),"TBE",INDIRECT(ADDRESS(ROW(BI248), COLUMN($Q248)+1) &amp; ":" &amp; ADDRESS(ROW(BI248),COLUMN(BI248)-1),TRUE)),IF(OFFSET(BI248,ROW(BI$2)-ROW(BI248),0)="TBE",SUMIF(INDIRECT(ADDRESS(2,MATCH(INT(OFFSET(BI248,ROW(BI$2)-ROW(BI248),-2)),$2:$2,0)) &amp; ":" &amp; ADDRESS(2,COLUMN(BI248)-1),TRUE),"T",INDIRECT(ADDRESS(ROW(BI248), MATCH(INT(OFFSET(BI248,ROW(BI$2)-ROW(BI248),-2)),$2:$2,0)) &amp; ":" &amp; ADDRESS(ROW(BI248),COLUMN(BI248)-1),TRUE)),IF(OFFSET(BI248,0,COLUMN($M248)-COLUMN(BI248))="V",OFFSET(BI248,0,-2)*OFFSET(BI248,0,-1),"TOTAL")))</f>
        <v>0</v>
      </c>
      <c r="BJ248" s="353">
        <f ca="1">IF(OFFSET(BJ248,ROW(BJ$2)-ROW(BJ248),0)="TT","TT",IF(OFFSET(BJ248,0,COLUMN($M248)-COLUMN(BJ248))="%",ROUND(OFFSET(BJ248,-2,0)*0.07,0),IF(OFFSET(BJ248,0,COLUMN($M248)-COLUMN(BJ248))="V","x",SUMIF(INDIRECT(ADDRESS(MATCH("START"&amp;OFFSET(BJ248,0,COLUMN($B248)-COLUMN(BJ248)),$A:$A,0),$C248+COLUMN($E248)+1)&amp;":"&amp;ADDRESS(MATCH("END"&amp;OFFSET(BJ248,0,COLUMN($B248)-COLUMN(BJ248)),$A:$A,0),$C248+COLUMN($E248)+1),TRUE),INDIRECT(ADDRESS(ROW(BJ248),$C248+COLUMN($E248)),TRUE),INDIRECT(ADDRESS(MATCH("START"&amp;OFFSET(BJ248,0,COLUMN($B248)-COLUMN(BJ248)),$A:$A,0),COLUMN(BJ248))&amp;":"&amp;ADDRESS(MATCH("END"&amp;OFFSET(BJ248,0,COLUMN($B248)-COLUMN(BJ248)),$A:$A,0),COLUMN(BJ248)),TRUE)))))</f>
        <v>0</v>
      </c>
      <c r="BK248" s="354"/>
      <c r="BL248" s="355">
        <f ca="1">IF(OFFSET(BL248,ROW(BL$2)-ROW(BL248),0)="TT","TT",IF(OFFSET(BL248,0,COLUMN($M248)-COLUMN(BL248))="%",ROUND((OFFSET(BL248,-2,0)-OFFSET(BL248,-21,0))*0.07,2),IF(OFFSET(BL248,0,COLUMN($M248)-COLUMN(BL248))="V",ROUND(OFFSET(BL248,0,-2)*OFFSET(BL248,0,-1),2),SUMIF(INDIRECT(ADDRESS(MATCH("START"&amp;OFFSET(BL248,0,COLUMN($B248)-COLUMN(BL248)),$A:$A,0),$C248+COLUMN($E248)+1)&amp;":"&amp;ADDRESS(MATCH("END"&amp;OFFSET(BL248,0,COLUMN($B248)-COLUMN(BL248)),$A:$A,0),$C248+COLUMN($E248)+1),TRUE),INDIRECT(ADDRESS(ROW(BL248),$C248+COLUMN($E248)),TRUE),INDIRECT(ADDRESS(MATCH("START"&amp;OFFSET(BL248,0,COLUMN($B248)-COLUMN(BL248)),$A:$A,0),COLUMN(BL248))&amp;":"&amp;ADDRESS(MATCH("END"&amp;OFFSET(BL248,0,COLUMN($B248)-COLUMN(BL248)),$A:$A,0),COLUMN(BL248)),TRUE)))))</f>
        <v>0</v>
      </c>
      <c r="BM248" s="356">
        <f t="shared" ref="BM248:BN275" ca="1" si="447">IF(OFFSET(BM248,ROW(BM$2)-ROW(BM248),0)="TT",SUMIF(INDIRECT(ADDRESS(2,COLUMN($Q248)+1) &amp; ":" &amp; ADDRESS(2,COLUMN(BM248)-1),TRUE),"TBE",INDIRECT(ADDRESS(ROW(BM248), COLUMN($Q248)+1) &amp; ":" &amp; ADDRESS(ROW(BM248),COLUMN(BM248)-1),TRUE)),IF(OFFSET(BM248,ROW(BM$2)-ROW(BM248),0)="TBE",SUMIF(INDIRECT(ADDRESS(2,MATCH(INT(OFFSET(BM248,ROW(BM$2)-ROW(BM248),-2)),$2:$2,0)) &amp; ":" &amp; ADDRESS(2,COLUMN(BM248)-1),TRUE),"T",INDIRECT(ADDRESS(ROW(BM248), MATCH(INT(OFFSET(BM248,ROW(BM$2)-ROW(BM248),-2)),$2:$2,0)) &amp; ":" &amp; ADDRESS(ROW(BM248),COLUMN(BM248)-1),TRUE)),IF(OFFSET(BM248,0,COLUMN($M248)-COLUMN(BM248))="V",OFFSET(BM248,0,-2)*OFFSET(BM248,0,-1),"TOTAL")))</f>
        <v>0</v>
      </c>
      <c r="BN248" s="356">
        <f t="shared" ca="1" si="447"/>
        <v>0</v>
      </c>
    </row>
    <row r="249" spans="1:68">
      <c r="A249" s="221" t="str">
        <f t="shared" ca="1" si="434"/>
        <v>WP008</v>
      </c>
      <c r="B249" s="221" t="str">
        <f t="shared" ca="1" si="435"/>
        <v>WP008</v>
      </c>
      <c r="C249" s="221">
        <v>6</v>
      </c>
      <c r="D249" s="221" t="s">
        <v>76</v>
      </c>
      <c r="J249" s="222" t="s">
        <v>75</v>
      </c>
      <c r="K249" s="221" t="s">
        <v>77</v>
      </c>
      <c r="M249" s="221" t="s">
        <v>46</v>
      </c>
      <c r="N249" s="461"/>
      <c r="O249" s="245"/>
      <c r="P249" s="464" t="s">
        <v>78</v>
      </c>
      <c r="Q249" s="465"/>
      <c r="R249" s="357">
        <f ca="1">IF(OFFSET(R249,ROW(R$2)-ROW(R249),0)="TT","TT",IF(OFFSET(R249,0,COLUMN($M249)-COLUMN(R249))="%",ROUND(OFFSET(R249,-2,0)*0.07,0),IF(OFFSET(R249,0,COLUMN($M249)-COLUMN(R249))="V","x",SUMIF(INDIRECT(ADDRESS(MATCH("START"&amp;OFFSET(R249,0,COLUMN($B249)-COLUMN(R249)),$A:$A,0),$C249+COLUMN($E249)+1)&amp;":"&amp;ADDRESS(MATCH("END"&amp;OFFSET(R249,0,COLUMN($B249)-COLUMN(R249)),$A:$A,0),$C249+COLUMN($E249)+1),TRUE),INDIRECT(ADDRESS(ROW(R249),$C249+COLUMN($E249)),TRUE),INDIRECT(ADDRESS(MATCH("START"&amp;OFFSET(R249,0,COLUMN($B249)-COLUMN(R249)),$A:$A,0),COLUMN(R249))&amp;":"&amp;ADDRESS(MATCH("END"&amp;OFFSET(R249,0,COLUMN($B249)-COLUMN(R249)),$A:$A,0),COLUMN(R249)),TRUE)))))</f>
        <v>0</v>
      </c>
      <c r="S249" s="358"/>
      <c r="T249" s="359">
        <f t="shared" ref="T249:T279" ca="1" si="448">IF(OFFSET(T249,ROW(T$2)-ROW(T249),0)="TT","TT",IF(OFFSET(T249,0,COLUMN($M249)-COLUMN(T249))="%",ROUND((OFFSET(T249,-2,0)-OFFSET(T249,-21,0))*0.07,2),IF(OFFSET(T249,0,COLUMN($M249)-COLUMN(T249))="V",ROUND(OFFSET(T249,0,-2)*OFFSET(T249,0,-1),2),SUMIF(INDIRECT(ADDRESS(MATCH("START"&amp;OFFSET(T249,0,COLUMN($B249)-COLUMN(T249)),$A:$A,0),$C249+COLUMN($E249)+1)&amp;":"&amp;ADDRESS(MATCH("END"&amp;OFFSET(T249,0,COLUMN($B249)-COLUMN(T249)),$A:$A,0),$C249+COLUMN($E249)+1),TRUE),INDIRECT(ADDRESS(ROW(T249),$C249+COLUMN($E249)),TRUE),INDIRECT(ADDRESS(MATCH("START"&amp;OFFSET(T249,0,COLUMN($B249)-COLUMN(T249)),$A:$A,0),COLUMN(T249))&amp;":"&amp;ADDRESS(MATCH("END"&amp;OFFSET(T249,0,COLUMN($B249)-COLUMN(T249)),$A:$A,0),COLUMN(T249)),TRUE)))))</f>
        <v>0</v>
      </c>
      <c r="U249" s="360">
        <f t="shared" ca="1" si="436"/>
        <v>0</v>
      </c>
      <c r="V249" s="357">
        <f ca="1">IF(OFFSET(V249,ROW(V$2)-ROW(V249),0)="TT","TT",IF(OFFSET(V249,0,COLUMN($M249)-COLUMN(V249))="%",ROUND(OFFSET(V249,-2,0)*0.07,0),IF(OFFSET(V249,0,COLUMN($M249)-COLUMN(V249))="V","x",SUMIF(INDIRECT(ADDRESS(MATCH("START"&amp;OFFSET(V249,0,COLUMN($B249)-COLUMN(V249)),$A:$A,0),$C249+COLUMN($E249)+1)&amp;":"&amp;ADDRESS(MATCH("END"&amp;OFFSET(V249,0,COLUMN($B249)-COLUMN(V249)),$A:$A,0),$C249+COLUMN($E249)+1),TRUE),INDIRECT(ADDRESS(ROW(V249),$C249+COLUMN($E249)),TRUE),INDIRECT(ADDRESS(MATCH("START"&amp;OFFSET(V249,0,COLUMN($B249)-COLUMN(V249)),$A:$A,0),COLUMN(V249))&amp;":"&amp;ADDRESS(MATCH("END"&amp;OFFSET(V249,0,COLUMN($B249)-COLUMN(V249)),$A:$A,0),COLUMN(V249)),TRUE)))))</f>
        <v>0</v>
      </c>
      <c r="W249" s="358"/>
      <c r="X249" s="359">
        <f t="shared" ref="X249:X279" ca="1" si="449">IF(OFFSET(X249,ROW(X$2)-ROW(X249),0)="TT","TT",IF(OFFSET(X249,0,COLUMN($M249)-COLUMN(X249))="%",ROUND((OFFSET(X249,-2,0)-OFFSET(X249,-21,0))*0.07,2),IF(OFFSET(X249,0,COLUMN($M249)-COLUMN(X249))="V",ROUND(OFFSET(X249,0,-2)*OFFSET(X249,0,-1),2),SUMIF(INDIRECT(ADDRESS(MATCH("START"&amp;OFFSET(X249,0,COLUMN($B249)-COLUMN(X249)),$A:$A,0),$C249+COLUMN($E249)+1)&amp;":"&amp;ADDRESS(MATCH("END"&amp;OFFSET(X249,0,COLUMN($B249)-COLUMN(X249)),$A:$A,0),$C249+COLUMN($E249)+1),TRUE),INDIRECT(ADDRESS(ROW(X249),$C249+COLUMN($E249)),TRUE),INDIRECT(ADDRESS(MATCH("START"&amp;OFFSET(X249,0,COLUMN($B249)-COLUMN(X249)),$A:$A,0),COLUMN(X249))&amp;":"&amp;ADDRESS(MATCH("END"&amp;OFFSET(X249,0,COLUMN($B249)-COLUMN(X249)),$A:$A,0),COLUMN(X249)),TRUE)))))</f>
        <v>0</v>
      </c>
      <c r="Y249" s="360">
        <f t="shared" ca="1" si="437"/>
        <v>0</v>
      </c>
      <c r="Z249" s="357">
        <f ca="1">IF(OFFSET(Z249,ROW(Z$2)-ROW(Z249),0)="TT","TT",IF(OFFSET(Z249,0,COLUMN($M249)-COLUMN(Z249))="%",ROUND(OFFSET(Z249,-2,0)*0.07,0),IF(OFFSET(Z249,0,COLUMN($M249)-COLUMN(Z249))="V","x",SUMIF(INDIRECT(ADDRESS(MATCH("START"&amp;OFFSET(Z249,0,COLUMN($B249)-COLUMN(Z249)),$A:$A,0),$C249+COLUMN($E249)+1)&amp;":"&amp;ADDRESS(MATCH("END"&amp;OFFSET(Z249,0,COLUMN($B249)-COLUMN(Z249)),$A:$A,0),$C249+COLUMN($E249)+1),TRUE),INDIRECT(ADDRESS(ROW(Z249),$C249+COLUMN($E249)),TRUE),INDIRECT(ADDRESS(MATCH("START"&amp;OFFSET(Z249,0,COLUMN($B249)-COLUMN(Z249)),$A:$A,0),COLUMN(Z249))&amp;":"&amp;ADDRESS(MATCH("END"&amp;OFFSET(Z249,0,COLUMN($B249)-COLUMN(Z249)),$A:$A,0),COLUMN(Z249)),TRUE)))))</f>
        <v>0</v>
      </c>
      <c r="AA249" s="358"/>
      <c r="AB249" s="359">
        <f t="shared" ref="AB249:AB279" ca="1" si="450">IF(OFFSET(AB249,ROW(AB$2)-ROW(AB249),0)="TT","TT",IF(OFFSET(AB249,0,COLUMN($M249)-COLUMN(AB249))="%",ROUND((OFFSET(AB249,-2,0)-OFFSET(AB249,-21,0))*0.07,2),IF(OFFSET(AB249,0,COLUMN($M249)-COLUMN(AB249))="V",ROUND(OFFSET(AB249,0,-2)*OFFSET(AB249,0,-1),2),SUMIF(INDIRECT(ADDRESS(MATCH("START"&amp;OFFSET(AB249,0,COLUMN($B249)-COLUMN(AB249)),$A:$A,0),$C249+COLUMN($E249)+1)&amp;":"&amp;ADDRESS(MATCH("END"&amp;OFFSET(AB249,0,COLUMN($B249)-COLUMN(AB249)),$A:$A,0),$C249+COLUMN($E249)+1),TRUE),INDIRECT(ADDRESS(ROW(AB249),$C249+COLUMN($E249)),TRUE),INDIRECT(ADDRESS(MATCH("START"&amp;OFFSET(AB249,0,COLUMN($B249)-COLUMN(AB249)),$A:$A,0),COLUMN(AB249))&amp;":"&amp;ADDRESS(MATCH("END"&amp;OFFSET(AB249,0,COLUMN($B249)-COLUMN(AB249)),$A:$A,0),COLUMN(AB249)),TRUE)))))</f>
        <v>0</v>
      </c>
      <c r="AC249" s="360">
        <f t="shared" ca="1" si="438"/>
        <v>0</v>
      </c>
      <c r="AD249" s="357">
        <f ca="1">IF(OFFSET(AD249,ROW(AD$2)-ROW(AD249),0)="TT","TT",IF(OFFSET(AD249,0,COLUMN($M249)-COLUMN(AD249))="%",ROUND(OFFSET(AD249,-2,0)*0.07,0),IF(OFFSET(AD249,0,COLUMN($M249)-COLUMN(AD249))="V","x",SUMIF(INDIRECT(ADDRESS(MATCH("START"&amp;OFFSET(AD249,0,COLUMN($B249)-COLUMN(AD249)),$A:$A,0),$C249+COLUMN($E249)+1)&amp;":"&amp;ADDRESS(MATCH("END"&amp;OFFSET(AD249,0,COLUMN($B249)-COLUMN(AD249)),$A:$A,0),$C249+COLUMN($E249)+1),TRUE),INDIRECT(ADDRESS(ROW(AD249),$C249+COLUMN($E249)),TRUE),INDIRECT(ADDRESS(MATCH("START"&amp;OFFSET(AD249,0,COLUMN($B249)-COLUMN(AD249)),$A:$A,0),COLUMN(AD249))&amp;":"&amp;ADDRESS(MATCH("END"&amp;OFFSET(AD249,0,COLUMN($B249)-COLUMN(AD249)),$A:$A,0),COLUMN(AD249)),TRUE)))))</f>
        <v>0</v>
      </c>
      <c r="AE249" s="358"/>
      <c r="AF249" s="359">
        <f t="shared" ref="AF249:AF279" ca="1" si="451">IF(OFFSET(AF249,ROW(AF$2)-ROW(AF249),0)="TT","TT",IF(OFFSET(AF249,0,COLUMN($M249)-COLUMN(AF249))="%",ROUND((OFFSET(AF249,-2,0)-OFFSET(AF249,-21,0))*0.07,2),IF(OFFSET(AF249,0,COLUMN($M249)-COLUMN(AF249))="V",ROUND(OFFSET(AF249,0,-2)*OFFSET(AF249,0,-1),2),SUMIF(INDIRECT(ADDRESS(MATCH("START"&amp;OFFSET(AF249,0,COLUMN($B249)-COLUMN(AF249)),$A:$A,0),$C249+COLUMN($E249)+1)&amp;":"&amp;ADDRESS(MATCH("END"&amp;OFFSET(AF249,0,COLUMN($B249)-COLUMN(AF249)),$A:$A,0),$C249+COLUMN($E249)+1),TRUE),INDIRECT(ADDRESS(ROW(AF249),$C249+COLUMN($E249)),TRUE),INDIRECT(ADDRESS(MATCH("START"&amp;OFFSET(AF249,0,COLUMN($B249)-COLUMN(AF249)),$A:$A,0),COLUMN(AF249))&amp;":"&amp;ADDRESS(MATCH("END"&amp;OFFSET(AF249,0,COLUMN($B249)-COLUMN(AF249)),$A:$A,0),COLUMN(AF249)),TRUE)))))</f>
        <v>0</v>
      </c>
      <c r="AG249" s="360">
        <f t="shared" ca="1" si="439"/>
        <v>0</v>
      </c>
      <c r="AH249" s="357">
        <f ca="1">IF(OFFSET(AH249,ROW(AH$2)-ROW(AH249),0)="TT","TT",IF(OFFSET(AH249,0,COLUMN($M249)-COLUMN(AH249))="%",ROUND(OFFSET(AH249,-2,0)*0.07,0),IF(OFFSET(AH249,0,COLUMN($M249)-COLUMN(AH249))="V","x",SUMIF(INDIRECT(ADDRESS(MATCH("START"&amp;OFFSET(AH249,0,COLUMN($B249)-COLUMN(AH249)),$A:$A,0),$C249+COLUMN($E249)+1)&amp;":"&amp;ADDRESS(MATCH("END"&amp;OFFSET(AH249,0,COLUMN($B249)-COLUMN(AH249)),$A:$A,0),$C249+COLUMN($E249)+1),TRUE),INDIRECT(ADDRESS(ROW(AH249),$C249+COLUMN($E249)),TRUE),INDIRECT(ADDRESS(MATCH("START"&amp;OFFSET(AH249,0,COLUMN($B249)-COLUMN(AH249)),$A:$A,0),COLUMN(AH249))&amp;":"&amp;ADDRESS(MATCH("END"&amp;OFFSET(AH249,0,COLUMN($B249)-COLUMN(AH249)),$A:$A,0),COLUMN(AH249)),TRUE)))))</f>
        <v>0</v>
      </c>
      <c r="AI249" s="358"/>
      <c r="AJ249" s="359">
        <f t="shared" ref="AJ249:AJ279" ca="1" si="452">IF(OFFSET(AJ249,ROW(AJ$2)-ROW(AJ249),0)="TT","TT",IF(OFFSET(AJ249,0,COLUMN($M249)-COLUMN(AJ249))="%",ROUND((OFFSET(AJ249,-2,0)-OFFSET(AJ249,-21,0))*0.07,2),IF(OFFSET(AJ249,0,COLUMN($M249)-COLUMN(AJ249))="V",ROUND(OFFSET(AJ249,0,-2)*OFFSET(AJ249,0,-1),2),SUMIF(INDIRECT(ADDRESS(MATCH("START"&amp;OFFSET(AJ249,0,COLUMN($B249)-COLUMN(AJ249)),$A:$A,0),$C249+COLUMN($E249)+1)&amp;":"&amp;ADDRESS(MATCH("END"&amp;OFFSET(AJ249,0,COLUMN($B249)-COLUMN(AJ249)),$A:$A,0),$C249+COLUMN($E249)+1),TRUE),INDIRECT(ADDRESS(ROW(AJ249),$C249+COLUMN($E249)),TRUE),INDIRECT(ADDRESS(MATCH("START"&amp;OFFSET(AJ249,0,COLUMN($B249)-COLUMN(AJ249)),$A:$A,0),COLUMN(AJ249))&amp;":"&amp;ADDRESS(MATCH("END"&amp;OFFSET(AJ249,0,COLUMN($B249)-COLUMN(AJ249)),$A:$A,0),COLUMN(AJ249)),TRUE)))))</f>
        <v>0</v>
      </c>
      <c r="AK249" s="360">
        <f t="shared" ca="1" si="440"/>
        <v>0</v>
      </c>
      <c r="AL249" s="357">
        <f ca="1">IF(OFFSET(AL249,ROW(AL$2)-ROW(AL249),0)="TT","TT",IF(OFFSET(AL249,0,COLUMN($M249)-COLUMN(AL249))="%",ROUND(OFFSET(AL249,-2,0)*0.07,0),IF(OFFSET(AL249,0,COLUMN($M249)-COLUMN(AL249))="V","x",SUMIF(INDIRECT(ADDRESS(MATCH("START"&amp;OFFSET(AL249,0,COLUMN($B249)-COLUMN(AL249)),$A:$A,0),$C249+COLUMN($E249)+1)&amp;":"&amp;ADDRESS(MATCH("END"&amp;OFFSET(AL249,0,COLUMN($B249)-COLUMN(AL249)),$A:$A,0),$C249+COLUMN($E249)+1),TRUE),INDIRECT(ADDRESS(ROW(AL249),$C249+COLUMN($E249)),TRUE),INDIRECT(ADDRESS(MATCH("START"&amp;OFFSET(AL249,0,COLUMN($B249)-COLUMN(AL249)),$A:$A,0),COLUMN(AL249))&amp;":"&amp;ADDRESS(MATCH("END"&amp;OFFSET(AL249,0,COLUMN($B249)-COLUMN(AL249)),$A:$A,0),COLUMN(AL249)),TRUE)))))</f>
        <v>0</v>
      </c>
      <c r="AM249" s="358"/>
      <c r="AN249" s="359">
        <f t="shared" ref="AN249:AN279" ca="1" si="453">IF(OFFSET(AN249,ROW(AN$2)-ROW(AN249),0)="TT","TT",IF(OFFSET(AN249,0,COLUMN($M249)-COLUMN(AN249))="%",ROUND((OFFSET(AN249,-2,0)-OFFSET(AN249,-21,0))*0.07,2),IF(OFFSET(AN249,0,COLUMN($M249)-COLUMN(AN249))="V",ROUND(OFFSET(AN249,0,-2)*OFFSET(AN249,0,-1),2),SUMIF(INDIRECT(ADDRESS(MATCH("START"&amp;OFFSET(AN249,0,COLUMN($B249)-COLUMN(AN249)),$A:$A,0),$C249+COLUMN($E249)+1)&amp;":"&amp;ADDRESS(MATCH("END"&amp;OFFSET(AN249,0,COLUMN($B249)-COLUMN(AN249)),$A:$A,0),$C249+COLUMN($E249)+1),TRUE),INDIRECT(ADDRESS(ROW(AN249),$C249+COLUMN($E249)),TRUE),INDIRECT(ADDRESS(MATCH("START"&amp;OFFSET(AN249,0,COLUMN($B249)-COLUMN(AN249)),$A:$A,0),COLUMN(AN249))&amp;":"&amp;ADDRESS(MATCH("END"&amp;OFFSET(AN249,0,COLUMN($B249)-COLUMN(AN249)),$A:$A,0),COLUMN(AN249)),TRUE)))))</f>
        <v>0</v>
      </c>
      <c r="AO249" s="360">
        <f t="shared" ca="1" si="441"/>
        <v>0</v>
      </c>
      <c r="AP249" s="357">
        <f ca="1">IF(OFFSET(AP249,ROW(AP$2)-ROW(AP249),0)="TT","TT",IF(OFFSET(AP249,0,COLUMN($M249)-COLUMN(AP249))="%",ROUND(OFFSET(AP249,-2,0)*0.07,0),IF(OFFSET(AP249,0,COLUMN($M249)-COLUMN(AP249))="V","x",SUMIF(INDIRECT(ADDRESS(MATCH("START"&amp;OFFSET(AP249,0,COLUMN($B249)-COLUMN(AP249)),$A:$A,0),$C249+COLUMN($E249)+1)&amp;":"&amp;ADDRESS(MATCH("END"&amp;OFFSET(AP249,0,COLUMN($B249)-COLUMN(AP249)),$A:$A,0),$C249+COLUMN($E249)+1),TRUE),INDIRECT(ADDRESS(ROW(AP249),$C249+COLUMN($E249)),TRUE),INDIRECT(ADDRESS(MATCH("START"&amp;OFFSET(AP249,0,COLUMN($B249)-COLUMN(AP249)),$A:$A,0),COLUMN(AP249))&amp;":"&amp;ADDRESS(MATCH("END"&amp;OFFSET(AP249,0,COLUMN($B249)-COLUMN(AP249)),$A:$A,0),COLUMN(AP249)),TRUE)))))</f>
        <v>0</v>
      </c>
      <c r="AQ249" s="358"/>
      <c r="AR249" s="359">
        <f t="shared" ref="AR249:AR279" ca="1" si="454">IF(OFFSET(AR249,ROW(AR$2)-ROW(AR249),0)="TT","TT",IF(OFFSET(AR249,0,COLUMN($M249)-COLUMN(AR249))="%",ROUND((OFFSET(AR249,-2,0)-OFFSET(AR249,-21,0))*0.07,2),IF(OFFSET(AR249,0,COLUMN($M249)-COLUMN(AR249))="V",ROUND(OFFSET(AR249,0,-2)*OFFSET(AR249,0,-1),2),SUMIF(INDIRECT(ADDRESS(MATCH("START"&amp;OFFSET(AR249,0,COLUMN($B249)-COLUMN(AR249)),$A:$A,0),$C249+COLUMN($E249)+1)&amp;":"&amp;ADDRESS(MATCH("END"&amp;OFFSET(AR249,0,COLUMN($B249)-COLUMN(AR249)),$A:$A,0),$C249+COLUMN($E249)+1),TRUE),INDIRECT(ADDRESS(ROW(AR249),$C249+COLUMN($E249)),TRUE),INDIRECT(ADDRESS(MATCH("START"&amp;OFFSET(AR249,0,COLUMN($B249)-COLUMN(AR249)),$A:$A,0),COLUMN(AR249))&amp;":"&amp;ADDRESS(MATCH("END"&amp;OFFSET(AR249,0,COLUMN($B249)-COLUMN(AR249)),$A:$A,0),COLUMN(AR249)),TRUE)))))</f>
        <v>0</v>
      </c>
      <c r="AS249" s="360">
        <f t="shared" ca="1" si="442"/>
        <v>0</v>
      </c>
      <c r="AT249" s="357">
        <f ca="1">IF(OFFSET(AT249,ROW(AT$2)-ROW(AT249),0)="TT","TT",IF(OFFSET(AT249,0,COLUMN($M249)-COLUMN(AT249))="%",ROUND(OFFSET(AT249,-2,0)*0.07,0),IF(OFFSET(AT249,0,COLUMN($M249)-COLUMN(AT249))="V","x",SUMIF(INDIRECT(ADDRESS(MATCH("START"&amp;OFFSET(AT249,0,COLUMN($B249)-COLUMN(AT249)),$A:$A,0),$C249+COLUMN($E249)+1)&amp;":"&amp;ADDRESS(MATCH("END"&amp;OFFSET(AT249,0,COLUMN($B249)-COLUMN(AT249)),$A:$A,0),$C249+COLUMN($E249)+1),TRUE),INDIRECT(ADDRESS(ROW(AT249),$C249+COLUMN($E249)),TRUE),INDIRECT(ADDRESS(MATCH("START"&amp;OFFSET(AT249,0,COLUMN($B249)-COLUMN(AT249)),$A:$A,0),COLUMN(AT249))&amp;":"&amp;ADDRESS(MATCH("END"&amp;OFFSET(AT249,0,COLUMN($B249)-COLUMN(AT249)),$A:$A,0),COLUMN(AT249)),TRUE)))))</f>
        <v>0</v>
      </c>
      <c r="AU249" s="358"/>
      <c r="AV249" s="359">
        <f t="shared" ref="AV249:AV279" ca="1" si="455">IF(OFFSET(AV249,ROW(AV$2)-ROW(AV249),0)="TT","TT",IF(OFFSET(AV249,0,COLUMN($M249)-COLUMN(AV249))="%",ROUND((OFFSET(AV249,-2,0)-OFFSET(AV249,-21,0))*0.07,2),IF(OFFSET(AV249,0,COLUMN($M249)-COLUMN(AV249))="V",ROUND(OFFSET(AV249,0,-2)*OFFSET(AV249,0,-1),2),SUMIF(INDIRECT(ADDRESS(MATCH("START"&amp;OFFSET(AV249,0,COLUMN($B249)-COLUMN(AV249)),$A:$A,0),$C249+COLUMN($E249)+1)&amp;":"&amp;ADDRESS(MATCH("END"&amp;OFFSET(AV249,0,COLUMN($B249)-COLUMN(AV249)),$A:$A,0),$C249+COLUMN($E249)+1),TRUE),INDIRECT(ADDRESS(ROW(AV249),$C249+COLUMN($E249)),TRUE),INDIRECT(ADDRESS(MATCH("START"&amp;OFFSET(AV249,0,COLUMN($B249)-COLUMN(AV249)),$A:$A,0),COLUMN(AV249))&amp;":"&amp;ADDRESS(MATCH("END"&amp;OFFSET(AV249,0,COLUMN($B249)-COLUMN(AV249)),$A:$A,0),COLUMN(AV249)),TRUE)))))</f>
        <v>0</v>
      </c>
      <c r="AW249" s="360">
        <f t="shared" ca="1" si="443"/>
        <v>0</v>
      </c>
      <c r="AX249" s="357">
        <f ca="1">IF(OFFSET(AX249,ROW(AX$2)-ROW(AX249),0)="TT","TT",IF(OFFSET(AX249,0,COLUMN($M249)-COLUMN(AX249))="%",ROUND(OFFSET(AX249,-2,0)*0.07,0),IF(OFFSET(AX249,0,COLUMN($M249)-COLUMN(AX249))="V","x",SUMIF(INDIRECT(ADDRESS(MATCH("START"&amp;OFFSET(AX249,0,COLUMN($B249)-COLUMN(AX249)),$A:$A,0),$C249+COLUMN($E249)+1)&amp;":"&amp;ADDRESS(MATCH("END"&amp;OFFSET(AX249,0,COLUMN($B249)-COLUMN(AX249)),$A:$A,0),$C249+COLUMN($E249)+1),TRUE),INDIRECT(ADDRESS(ROW(AX249),$C249+COLUMN($E249)),TRUE),INDIRECT(ADDRESS(MATCH("START"&amp;OFFSET(AX249,0,COLUMN($B249)-COLUMN(AX249)),$A:$A,0),COLUMN(AX249))&amp;":"&amp;ADDRESS(MATCH("END"&amp;OFFSET(AX249,0,COLUMN($B249)-COLUMN(AX249)),$A:$A,0),COLUMN(AX249)),TRUE)))))</f>
        <v>0</v>
      </c>
      <c r="AY249" s="358"/>
      <c r="AZ249" s="359">
        <f t="shared" ref="AZ249:AZ279" ca="1" si="456">IF(OFFSET(AZ249,ROW(AZ$2)-ROW(AZ249),0)="TT","TT",IF(OFFSET(AZ249,0,COLUMN($M249)-COLUMN(AZ249))="%",ROUND((OFFSET(AZ249,-2,0)-OFFSET(AZ249,-21,0))*0.07,2),IF(OFFSET(AZ249,0,COLUMN($M249)-COLUMN(AZ249))="V",ROUND(OFFSET(AZ249,0,-2)*OFFSET(AZ249,0,-1),2),SUMIF(INDIRECT(ADDRESS(MATCH("START"&amp;OFFSET(AZ249,0,COLUMN($B249)-COLUMN(AZ249)),$A:$A,0),$C249+COLUMN($E249)+1)&amp;":"&amp;ADDRESS(MATCH("END"&amp;OFFSET(AZ249,0,COLUMN($B249)-COLUMN(AZ249)),$A:$A,0),$C249+COLUMN($E249)+1),TRUE),INDIRECT(ADDRESS(ROW(AZ249),$C249+COLUMN($E249)),TRUE),INDIRECT(ADDRESS(MATCH("START"&amp;OFFSET(AZ249,0,COLUMN($B249)-COLUMN(AZ249)),$A:$A,0),COLUMN(AZ249))&amp;":"&amp;ADDRESS(MATCH("END"&amp;OFFSET(AZ249,0,COLUMN($B249)-COLUMN(AZ249)),$A:$A,0),COLUMN(AZ249)),TRUE)))))</f>
        <v>0</v>
      </c>
      <c r="BA249" s="360">
        <f t="shared" ca="1" si="444"/>
        <v>0</v>
      </c>
      <c r="BB249" s="357">
        <f ca="1">IF(OFFSET(BB249,ROW(BB$2)-ROW(BB249),0)="TT","TT",IF(OFFSET(BB249,0,COLUMN($M249)-COLUMN(BB249))="%",ROUND(OFFSET(BB249,-2,0)*0.07,0),IF(OFFSET(BB249,0,COLUMN($M249)-COLUMN(BB249))="V","x",SUMIF(INDIRECT(ADDRESS(MATCH("START"&amp;OFFSET(BB249,0,COLUMN($B249)-COLUMN(BB249)),$A:$A,0),$C249+COLUMN($E249)+1)&amp;":"&amp;ADDRESS(MATCH("END"&amp;OFFSET(BB249,0,COLUMN($B249)-COLUMN(BB249)),$A:$A,0),$C249+COLUMN($E249)+1),TRUE),INDIRECT(ADDRESS(ROW(BB249),$C249+COLUMN($E249)),TRUE),INDIRECT(ADDRESS(MATCH("START"&amp;OFFSET(BB249,0,COLUMN($B249)-COLUMN(BB249)),$A:$A,0),COLUMN(BB249))&amp;":"&amp;ADDRESS(MATCH("END"&amp;OFFSET(BB249,0,COLUMN($B249)-COLUMN(BB249)),$A:$A,0),COLUMN(BB249)),TRUE)))))</f>
        <v>0</v>
      </c>
      <c r="BC249" s="358"/>
      <c r="BD249" s="359">
        <f t="shared" ref="BD249:BD279" ca="1" si="457">IF(OFFSET(BD249,ROW(BD$2)-ROW(BD249),0)="TT","TT",IF(OFFSET(BD249,0,COLUMN($M249)-COLUMN(BD249))="%",ROUND((OFFSET(BD249,-2,0)-OFFSET(BD249,-21,0))*0.07,2),IF(OFFSET(BD249,0,COLUMN($M249)-COLUMN(BD249))="V",ROUND(OFFSET(BD249,0,-2)*OFFSET(BD249,0,-1),2),SUMIF(INDIRECT(ADDRESS(MATCH("START"&amp;OFFSET(BD249,0,COLUMN($B249)-COLUMN(BD249)),$A:$A,0),$C249+COLUMN($E249)+1)&amp;":"&amp;ADDRESS(MATCH("END"&amp;OFFSET(BD249,0,COLUMN($B249)-COLUMN(BD249)),$A:$A,0),$C249+COLUMN($E249)+1),TRUE),INDIRECT(ADDRESS(ROW(BD249),$C249+COLUMN($E249)),TRUE),INDIRECT(ADDRESS(MATCH("START"&amp;OFFSET(BD249,0,COLUMN($B249)-COLUMN(BD249)),$A:$A,0),COLUMN(BD249))&amp;":"&amp;ADDRESS(MATCH("END"&amp;OFFSET(BD249,0,COLUMN($B249)-COLUMN(BD249)),$A:$A,0),COLUMN(BD249)),TRUE)))))</f>
        <v>0</v>
      </c>
      <c r="BE249" s="360">
        <f t="shared" ca="1" si="445"/>
        <v>0</v>
      </c>
      <c r="BF249" s="357">
        <f ca="1">IF(OFFSET(BF249,ROW(BF$2)-ROW(BF249),0)="TT","TT",IF(OFFSET(BF249,0,COLUMN($M249)-COLUMN(BF249))="%",ROUND(OFFSET(BF249,-2,0)*0.07,0),IF(OFFSET(BF249,0,COLUMN($M249)-COLUMN(BF249))="V","x",SUMIF(INDIRECT(ADDRESS(MATCH("START"&amp;OFFSET(BF249,0,COLUMN($B249)-COLUMN(BF249)),$A:$A,0),$C249+COLUMN($E249)+1)&amp;":"&amp;ADDRESS(MATCH("END"&amp;OFFSET(BF249,0,COLUMN($B249)-COLUMN(BF249)),$A:$A,0),$C249+COLUMN($E249)+1),TRUE),INDIRECT(ADDRESS(ROW(BF249),$C249+COLUMN($E249)),TRUE),INDIRECT(ADDRESS(MATCH("START"&amp;OFFSET(BF249,0,COLUMN($B249)-COLUMN(BF249)),$A:$A,0),COLUMN(BF249))&amp;":"&amp;ADDRESS(MATCH("END"&amp;OFFSET(BF249,0,COLUMN($B249)-COLUMN(BF249)),$A:$A,0),COLUMN(BF249)),TRUE)))))</f>
        <v>0</v>
      </c>
      <c r="BG249" s="358"/>
      <c r="BH249" s="359">
        <f t="shared" ref="BH249:BH279" ca="1" si="458">IF(OFFSET(BH249,ROW(BH$2)-ROW(BH249),0)="TT","TT",IF(OFFSET(BH249,0,COLUMN($M249)-COLUMN(BH249))="%",ROUND((OFFSET(BH249,-2,0)-OFFSET(BH249,-21,0))*0.07,2),IF(OFFSET(BH249,0,COLUMN($M249)-COLUMN(BH249))="V",ROUND(OFFSET(BH249,0,-2)*OFFSET(BH249,0,-1),2),SUMIF(INDIRECT(ADDRESS(MATCH("START"&amp;OFFSET(BH249,0,COLUMN($B249)-COLUMN(BH249)),$A:$A,0),$C249+COLUMN($E249)+1)&amp;":"&amp;ADDRESS(MATCH("END"&amp;OFFSET(BH249,0,COLUMN($B249)-COLUMN(BH249)),$A:$A,0),$C249+COLUMN($E249)+1),TRUE),INDIRECT(ADDRESS(ROW(BH249),$C249+COLUMN($E249)),TRUE),INDIRECT(ADDRESS(MATCH("START"&amp;OFFSET(BH249,0,COLUMN($B249)-COLUMN(BH249)),$A:$A,0),COLUMN(BH249))&amp;":"&amp;ADDRESS(MATCH("END"&amp;OFFSET(BH249,0,COLUMN($B249)-COLUMN(BH249)),$A:$A,0),COLUMN(BH249)),TRUE)))))</f>
        <v>0</v>
      </c>
      <c r="BI249" s="360">
        <f t="shared" ca="1" si="446"/>
        <v>0</v>
      </c>
      <c r="BJ249" s="357">
        <f ca="1">IF(OFFSET(BJ249,ROW(BJ$2)-ROW(BJ249),0)="TT","TT",IF(OFFSET(BJ249,0,COLUMN($M249)-COLUMN(BJ249))="%",ROUND(OFFSET(BJ249,-2,0)*0.07,0),IF(OFFSET(BJ249,0,COLUMN($M249)-COLUMN(BJ249))="V","x",SUMIF(INDIRECT(ADDRESS(MATCH("START"&amp;OFFSET(BJ249,0,COLUMN($B249)-COLUMN(BJ249)),$A:$A,0),$C249+COLUMN($E249)+1)&amp;":"&amp;ADDRESS(MATCH("END"&amp;OFFSET(BJ249,0,COLUMN($B249)-COLUMN(BJ249)),$A:$A,0),$C249+COLUMN($E249)+1),TRUE),INDIRECT(ADDRESS(ROW(BJ249),$C249+COLUMN($E249)),TRUE),INDIRECT(ADDRESS(MATCH("START"&amp;OFFSET(BJ249,0,COLUMN($B249)-COLUMN(BJ249)),$A:$A,0),COLUMN(BJ249))&amp;":"&amp;ADDRESS(MATCH("END"&amp;OFFSET(BJ249,0,COLUMN($B249)-COLUMN(BJ249)),$A:$A,0),COLUMN(BJ249)),TRUE)))))</f>
        <v>0</v>
      </c>
      <c r="BK249" s="358"/>
      <c r="BL249" s="359">
        <f t="shared" ref="BL249:BL279" ca="1" si="459">IF(OFFSET(BL249,ROW(BL$2)-ROW(BL249),0)="TT","TT",IF(OFFSET(BL249,0,COLUMN($M249)-COLUMN(BL249))="%",ROUND((OFFSET(BL249,-2,0)-OFFSET(BL249,-21,0))*0.07,2),IF(OFFSET(BL249,0,COLUMN($M249)-COLUMN(BL249))="V",ROUND(OFFSET(BL249,0,-2)*OFFSET(BL249,0,-1),2),SUMIF(INDIRECT(ADDRESS(MATCH("START"&amp;OFFSET(BL249,0,COLUMN($B249)-COLUMN(BL249)),$A:$A,0),$C249+COLUMN($E249)+1)&amp;":"&amp;ADDRESS(MATCH("END"&amp;OFFSET(BL249,0,COLUMN($B249)-COLUMN(BL249)),$A:$A,0),$C249+COLUMN($E249)+1),TRUE),INDIRECT(ADDRESS(ROW(BL249),$C249+COLUMN($E249)),TRUE),INDIRECT(ADDRESS(MATCH("START"&amp;OFFSET(BL249,0,COLUMN($B249)-COLUMN(BL249)),$A:$A,0),COLUMN(BL249))&amp;":"&amp;ADDRESS(MATCH("END"&amp;OFFSET(BL249,0,COLUMN($B249)-COLUMN(BL249)),$A:$A,0),COLUMN(BL249)),TRUE)))))</f>
        <v>0</v>
      </c>
      <c r="BM249" s="360">
        <f t="shared" ca="1" si="447"/>
        <v>0</v>
      </c>
      <c r="BN249" s="360">
        <f t="shared" ca="1" si="447"/>
        <v>0</v>
      </c>
      <c r="BP249" s="246"/>
    </row>
    <row r="250" spans="1:68">
      <c r="A250" s="221" t="str">
        <f t="shared" ca="1" si="434"/>
        <v>WP008</v>
      </c>
      <c r="B250" s="221" t="str">
        <f t="shared" ca="1" si="435"/>
        <v>WP008</v>
      </c>
      <c r="C250" s="221">
        <v>7</v>
      </c>
      <c r="D250" s="221" t="s">
        <v>79</v>
      </c>
      <c r="L250" s="221" t="s">
        <v>77</v>
      </c>
      <c r="M250" s="221" t="s">
        <v>80</v>
      </c>
      <c r="N250" s="461"/>
      <c r="O250" s="247"/>
      <c r="P250" s="248"/>
      <c r="Q250" s="249" t="str">
        <f>EMP_TYPE1</f>
        <v>Type 1</v>
      </c>
      <c r="R250" s="361">
        <f t="shared" ref="R250:S259" ca="1" si="460">INDIRECT("'"&amp; MID(OFFSET(R250,ROW(R$3)-ROW(R250),IF(OFFSET(R250,ROW(R$2)-ROW(R250),2)="T",0,IF(OFFSET(R250,ROW(R$2)-ROW(R250),1)="T",-1,-2))),1,6) &amp; "'!" &amp; ADDRESS(ROW(R250),MATCH(INDIRECT(ADDRESS(2,COLUMN(R250)+IF(OFFSET(R250,ROW(R$2)-ROW(R250),2)="T",1,IF(OFFSET(R250,ROW(R$2)-ROW(R250),1)="T",0,-1))),TRUE),INDIRECT("'"&amp; MID(OFFSET(R250,ROW(R$3)-ROW(R250),IF(OFFSET(R250,ROW(R$2)-ROW(R250),2)="T",0,IF(OFFSET(R250,ROW(R$2)-ROW(R250),1)="T",-1,-2))),1,6) &amp; "'!2:2",TRUE),0)-IF(OFFSET(R250,ROW(R$2)-ROW(R250),2)="T",1,IF(OFFSET(R250,ROW(R$2)-ROW(R250),1)="T",0,-1))),TRUE)</f>
        <v>0</v>
      </c>
      <c r="S250" s="362">
        <f t="shared" ca="1" si="460"/>
        <v>0</v>
      </c>
      <c r="T250" s="363">
        <f t="shared" ca="1" si="448"/>
        <v>0</v>
      </c>
      <c r="U250" s="360">
        <f t="shared" ca="1" si="436"/>
        <v>0</v>
      </c>
      <c r="V250" s="361">
        <f t="shared" ref="V250:W259" ca="1" si="461">INDIRECT("'"&amp; MID(OFFSET(V250,ROW(V$3)-ROW(V250),IF(OFFSET(V250,ROW(V$2)-ROW(V250),2)="T",0,IF(OFFSET(V250,ROW(V$2)-ROW(V250),1)="T",-1,-2))),1,6) &amp; "'!" &amp; ADDRESS(ROW(V250),MATCH(INDIRECT(ADDRESS(2,COLUMN(V250)+IF(OFFSET(V250,ROW(V$2)-ROW(V250),2)="T",1,IF(OFFSET(V250,ROW(V$2)-ROW(V250),1)="T",0,-1))),TRUE),INDIRECT("'"&amp; MID(OFFSET(V250,ROW(V$3)-ROW(V250),IF(OFFSET(V250,ROW(V$2)-ROW(V250),2)="T",0,IF(OFFSET(V250,ROW(V$2)-ROW(V250),1)="T",-1,-2))),1,6) &amp; "'!2:2",TRUE),0)-IF(OFFSET(V250,ROW(V$2)-ROW(V250),2)="T",1,IF(OFFSET(V250,ROW(V$2)-ROW(V250),1)="T",0,-1))),TRUE)</f>
        <v>0</v>
      </c>
      <c r="W250" s="362">
        <f t="shared" ca="1" si="461"/>
        <v>0</v>
      </c>
      <c r="X250" s="363">
        <f t="shared" ca="1" si="449"/>
        <v>0</v>
      </c>
      <c r="Y250" s="360">
        <f t="shared" ca="1" si="437"/>
        <v>0</v>
      </c>
      <c r="Z250" s="361">
        <f t="shared" ref="Z250:AA259" ca="1" si="462">INDIRECT("'"&amp; MID(OFFSET(Z250,ROW(Z$3)-ROW(Z250),IF(OFFSET(Z250,ROW(Z$2)-ROW(Z250),2)="T",0,IF(OFFSET(Z250,ROW(Z$2)-ROW(Z250),1)="T",-1,-2))),1,6) &amp; "'!" &amp; ADDRESS(ROW(Z250),MATCH(INDIRECT(ADDRESS(2,COLUMN(Z250)+IF(OFFSET(Z250,ROW(Z$2)-ROW(Z250),2)="T",1,IF(OFFSET(Z250,ROW(Z$2)-ROW(Z250),1)="T",0,-1))),TRUE),INDIRECT("'"&amp; MID(OFFSET(Z250,ROW(Z$3)-ROW(Z250),IF(OFFSET(Z250,ROW(Z$2)-ROW(Z250),2)="T",0,IF(OFFSET(Z250,ROW(Z$2)-ROW(Z250),1)="T",-1,-2))),1,6) &amp; "'!2:2",TRUE),0)-IF(OFFSET(Z250,ROW(Z$2)-ROW(Z250),2)="T",1,IF(OFFSET(Z250,ROW(Z$2)-ROW(Z250),1)="T",0,-1))),TRUE)</f>
        <v>0</v>
      </c>
      <c r="AA250" s="362">
        <f t="shared" ca="1" si="462"/>
        <v>0</v>
      </c>
      <c r="AB250" s="363">
        <f t="shared" ca="1" si="450"/>
        <v>0</v>
      </c>
      <c r="AC250" s="360">
        <f t="shared" ca="1" si="438"/>
        <v>0</v>
      </c>
      <c r="AD250" s="361">
        <f t="shared" ref="AD250:AE259" ca="1" si="463">INDIRECT("'"&amp; MID(OFFSET(AD250,ROW(AD$3)-ROW(AD250),IF(OFFSET(AD250,ROW(AD$2)-ROW(AD250),2)="T",0,IF(OFFSET(AD250,ROW(AD$2)-ROW(AD250),1)="T",-1,-2))),1,6) &amp; "'!" &amp; ADDRESS(ROW(AD250),MATCH(INDIRECT(ADDRESS(2,COLUMN(AD250)+IF(OFFSET(AD250,ROW(AD$2)-ROW(AD250),2)="T",1,IF(OFFSET(AD250,ROW(AD$2)-ROW(AD250),1)="T",0,-1))),TRUE),INDIRECT("'"&amp; MID(OFFSET(AD250,ROW(AD$3)-ROW(AD250),IF(OFFSET(AD250,ROW(AD$2)-ROW(AD250),2)="T",0,IF(OFFSET(AD250,ROW(AD$2)-ROW(AD250),1)="T",-1,-2))),1,6) &amp; "'!2:2",TRUE),0)-IF(OFFSET(AD250,ROW(AD$2)-ROW(AD250),2)="T",1,IF(OFFSET(AD250,ROW(AD$2)-ROW(AD250),1)="T",0,-1))),TRUE)</f>
        <v>0</v>
      </c>
      <c r="AE250" s="362">
        <f t="shared" ca="1" si="463"/>
        <v>0</v>
      </c>
      <c r="AF250" s="363">
        <f t="shared" ca="1" si="451"/>
        <v>0</v>
      </c>
      <c r="AG250" s="360">
        <f t="shared" ca="1" si="439"/>
        <v>0</v>
      </c>
      <c r="AH250" s="361">
        <f t="shared" ref="AH250:AI259" ca="1" si="464">INDIRECT("'"&amp; MID(OFFSET(AH250,ROW(AH$3)-ROW(AH250),IF(OFFSET(AH250,ROW(AH$2)-ROW(AH250),2)="T",0,IF(OFFSET(AH250,ROW(AH$2)-ROW(AH250),1)="T",-1,-2))),1,6) &amp; "'!" &amp; ADDRESS(ROW(AH250),MATCH(INDIRECT(ADDRESS(2,COLUMN(AH250)+IF(OFFSET(AH250,ROW(AH$2)-ROW(AH250),2)="T",1,IF(OFFSET(AH250,ROW(AH$2)-ROW(AH250),1)="T",0,-1))),TRUE),INDIRECT("'"&amp; MID(OFFSET(AH250,ROW(AH$3)-ROW(AH250),IF(OFFSET(AH250,ROW(AH$2)-ROW(AH250),2)="T",0,IF(OFFSET(AH250,ROW(AH$2)-ROW(AH250),1)="T",-1,-2))),1,6) &amp; "'!2:2",TRUE),0)-IF(OFFSET(AH250,ROW(AH$2)-ROW(AH250),2)="T",1,IF(OFFSET(AH250,ROW(AH$2)-ROW(AH250),1)="T",0,-1))),TRUE)</f>
        <v>0</v>
      </c>
      <c r="AI250" s="362">
        <f t="shared" ca="1" si="464"/>
        <v>0</v>
      </c>
      <c r="AJ250" s="363">
        <f t="shared" ca="1" si="452"/>
        <v>0</v>
      </c>
      <c r="AK250" s="360">
        <f t="shared" ca="1" si="440"/>
        <v>0</v>
      </c>
      <c r="AL250" s="361">
        <f t="shared" ref="AL250:AM259" ca="1" si="465">INDIRECT("'"&amp; MID(OFFSET(AL250,ROW(AL$3)-ROW(AL250),IF(OFFSET(AL250,ROW(AL$2)-ROW(AL250),2)="T",0,IF(OFFSET(AL250,ROW(AL$2)-ROW(AL250),1)="T",-1,-2))),1,6) &amp; "'!" &amp; ADDRESS(ROW(AL250),MATCH(INDIRECT(ADDRESS(2,COLUMN(AL250)+IF(OFFSET(AL250,ROW(AL$2)-ROW(AL250),2)="T",1,IF(OFFSET(AL250,ROW(AL$2)-ROW(AL250),1)="T",0,-1))),TRUE),INDIRECT("'"&amp; MID(OFFSET(AL250,ROW(AL$3)-ROW(AL250),IF(OFFSET(AL250,ROW(AL$2)-ROW(AL250),2)="T",0,IF(OFFSET(AL250,ROW(AL$2)-ROW(AL250),1)="T",-1,-2))),1,6) &amp; "'!2:2",TRUE),0)-IF(OFFSET(AL250,ROW(AL$2)-ROW(AL250),2)="T",1,IF(OFFSET(AL250,ROW(AL$2)-ROW(AL250),1)="T",0,-1))),TRUE)</f>
        <v>0</v>
      </c>
      <c r="AM250" s="362">
        <f t="shared" ca="1" si="465"/>
        <v>0</v>
      </c>
      <c r="AN250" s="363">
        <f t="shared" ca="1" si="453"/>
        <v>0</v>
      </c>
      <c r="AO250" s="360">
        <f t="shared" ca="1" si="441"/>
        <v>0</v>
      </c>
      <c r="AP250" s="361">
        <f t="shared" ref="AP250:AQ259" ca="1" si="466">INDIRECT("'"&amp; MID(OFFSET(AP250,ROW(AP$3)-ROW(AP250),IF(OFFSET(AP250,ROW(AP$2)-ROW(AP250),2)="T",0,IF(OFFSET(AP250,ROW(AP$2)-ROW(AP250),1)="T",-1,-2))),1,6) &amp; "'!" &amp; ADDRESS(ROW(AP250),MATCH(INDIRECT(ADDRESS(2,COLUMN(AP250)+IF(OFFSET(AP250,ROW(AP$2)-ROW(AP250),2)="T",1,IF(OFFSET(AP250,ROW(AP$2)-ROW(AP250),1)="T",0,-1))),TRUE),INDIRECT("'"&amp; MID(OFFSET(AP250,ROW(AP$3)-ROW(AP250),IF(OFFSET(AP250,ROW(AP$2)-ROW(AP250),2)="T",0,IF(OFFSET(AP250,ROW(AP$2)-ROW(AP250),1)="T",-1,-2))),1,6) &amp; "'!2:2",TRUE),0)-IF(OFFSET(AP250,ROW(AP$2)-ROW(AP250),2)="T",1,IF(OFFSET(AP250,ROW(AP$2)-ROW(AP250),1)="T",0,-1))),TRUE)</f>
        <v>0</v>
      </c>
      <c r="AQ250" s="362">
        <f t="shared" ca="1" si="466"/>
        <v>0</v>
      </c>
      <c r="AR250" s="363">
        <f t="shared" ca="1" si="454"/>
        <v>0</v>
      </c>
      <c r="AS250" s="360">
        <f t="shared" ca="1" si="442"/>
        <v>0</v>
      </c>
      <c r="AT250" s="361">
        <f t="shared" ref="AT250:AU259" ca="1" si="467">INDIRECT("'"&amp; MID(OFFSET(AT250,ROW(AT$3)-ROW(AT250),IF(OFFSET(AT250,ROW(AT$2)-ROW(AT250),2)="T",0,IF(OFFSET(AT250,ROW(AT$2)-ROW(AT250),1)="T",-1,-2))),1,6) &amp; "'!" &amp; ADDRESS(ROW(AT250),MATCH(INDIRECT(ADDRESS(2,COLUMN(AT250)+IF(OFFSET(AT250,ROW(AT$2)-ROW(AT250),2)="T",1,IF(OFFSET(AT250,ROW(AT$2)-ROW(AT250),1)="T",0,-1))),TRUE),INDIRECT("'"&amp; MID(OFFSET(AT250,ROW(AT$3)-ROW(AT250),IF(OFFSET(AT250,ROW(AT$2)-ROW(AT250),2)="T",0,IF(OFFSET(AT250,ROW(AT$2)-ROW(AT250),1)="T",-1,-2))),1,6) &amp; "'!2:2",TRUE),0)-IF(OFFSET(AT250,ROW(AT$2)-ROW(AT250),2)="T",1,IF(OFFSET(AT250,ROW(AT$2)-ROW(AT250),1)="T",0,-1))),TRUE)</f>
        <v>0</v>
      </c>
      <c r="AU250" s="362">
        <f t="shared" ca="1" si="467"/>
        <v>0</v>
      </c>
      <c r="AV250" s="363">
        <f t="shared" ca="1" si="455"/>
        <v>0</v>
      </c>
      <c r="AW250" s="360">
        <f t="shared" ca="1" si="443"/>
        <v>0</v>
      </c>
      <c r="AX250" s="361">
        <f t="shared" ref="AX250:AY259" ca="1" si="468">INDIRECT("'"&amp; MID(OFFSET(AX250,ROW(AX$3)-ROW(AX250),IF(OFFSET(AX250,ROW(AX$2)-ROW(AX250),2)="T",0,IF(OFFSET(AX250,ROW(AX$2)-ROW(AX250),1)="T",-1,-2))),1,6) &amp; "'!" &amp; ADDRESS(ROW(AX250),MATCH(INDIRECT(ADDRESS(2,COLUMN(AX250)+IF(OFFSET(AX250,ROW(AX$2)-ROW(AX250),2)="T",1,IF(OFFSET(AX250,ROW(AX$2)-ROW(AX250),1)="T",0,-1))),TRUE),INDIRECT("'"&amp; MID(OFFSET(AX250,ROW(AX$3)-ROW(AX250),IF(OFFSET(AX250,ROW(AX$2)-ROW(AX250),2)="T",0,IF(OFFSET(AX250,ROW(AX$2)-ROW(AX250),1)="T",-1,-2))),1,6) &amp; "'!2:2",TRUE),0)-IF(OFFSET(AX250,ROW(AX$2)-ROW(AX250),2)="T",1,IF(OFFSET(AX250,ROW(AX$2)-ROW(AX250),1)="T",0,-1))),TRUE)</f>
        <v>0</v>
      </c>
      <c r="AY250" s="362">
        <f t="shared" ca="1" si="468"/>
        <v>0</v>
      </c>
      <c r="AZ250" s="363">
        <f t="shared" ca="1" si="456"/>
        <v>0</v>
      </c>
      <c r="BA250" s="360">
        <f t="shared" ca="1" si="444"/>
        <v>0</v>
      </c>
      <c r="BB250" s="361">
        <f t="shared" ref="BB250:BC259" ca="1" si="469">INDIRECT("'"&amp; MID(OFFSET(BB250,ROW(BB$3)-ROW(BB250),IF(OFFSET(BB250,ROW(BB$2)-ROW(BB250),2)="T",0,IF(OFFSET(BB250,ROW(BB$2)-ROW(BB250),1)="T",-1,-2))),1,6) &amp; "'!" &amp; ADDRESS(ROW(BB250),MATCH(INDIRECT(ADDRESS(2,COLUMN(BB250)+IF(OFFSET(BB250,ROW(BB$2)-ROW(BB250),2)="T",1,IF(OFFSET(BB250,ROW(BB$2)-ROW(BB250),1)="T",0,-1))),TRUE),INDIRECT("'"&amp; MID(OFFSET(BB250,ROW(BB$3)-ROW(BB250),IF(OFFSET(BB250,ROW(BB$2)-ROW(BB250),2)="T",0,IF(OFFSET(BB250,ROW(BB$2)-ROW(BB250),1)="T",-1,-2))),1,6) &amp; "'!2:2",TRUE),0)-IF(OFFSET(BB250,ROW(BB$2)-ROW(BB250),2)="T",1,IF(OFFSET(BB250,ROW(BB$2)-ROW(BB250),1)="T",0,-1))),TRUE)</f>
        <v>0</v>
      </c>
      <c r="BC250" s="362">
        <f t="shared" ca="1" si="469"/>
        <v>0</v>
      </c>
      <c r="BD250" s="363">
        <f t="shared" ca="1" si="457"/>
        <v>0</v>
      </c>
      <c r="BE250" s="360">
        <f t="shared" ca="1" si="445"/>
        <v>0</v>
      </c>
      <c r="BF250" s="361">
        <f t="shared" ref="BF250:BG259" ca="1" si="470">INDIRECT("'"&amp; MID(OFFSET(BF250,ROW(BF$3)-ROW(BF250),IF(OFFSET(BF250,ROW(BF$2)-ROW(BF250),2)="T",0,IF(OFFSET(BF250,ROW(BF$2)-ROW(BF250),1)="T",-1,-2))),1,6) &amp; "'!" &amp; ADDRESS(ROW(BF250),MATCH(INDIRECT(ADDRESS(2,COLUMN(BF250)+IF(OFFSET(BF250,ROW(BF$2)-ROW(BF250),2)="T",1,IF(OFFSET(BF250,ROW(BF$2)-ROW(BF250),1)="T",0,-1))),TRUE),INDIRECT("'"&amp; MID(OFFSET(BF250,ROW(BF$3)-ROW(BF250),IF(OFFSET(BF250,ROW(BF$2)-ROW(BF250),2)="T",0,IF(OFFSET(BF250,ROW(BF$2)-ROW(BF250),1)="T",-1,-2))),1,6) &amp; "'!2:2",TRUE),0)-IF(OFFSET(BF250,ROW(BF$2)-ROW(BF250),2)="T",1,IF(OFFSET(BF250,ROW(BF$2)-ROW(BF250),1)="T",0,-1))),TRUE)</f>
        <v>0</v>
      </c>
      <c r="BG250" s="362">
        <f t="shared" ca="1" si="470"/>
        <v>0</v>
      </c>
      <c r="BH250" s="363">
        <f t="shared" ca="1" si="458"/>
        <v>0</v>
      </c>
      <c r="BI250" s="360">
        <f t="shared" ca="1" si="446"/>
        <v>0</v>
      </c>
      <c r="BJ250" s="361">
        <f t="shared" ref="BJ250:BK259" ca="1" si="471">INDIRECT("'"&amp; MID(OFFSET(BJ250,ROW(BJ$3)-ROW(BJ250),IF(OFFSET(BJ250,ROW(BJ$2)-ROW(BJ250),2)="T",0,IF(OFFSET(BJ250,ROW(BJ$2)-ROW(BJ250),1)="T",-1,-2))),1,6) &amp; "'!" &amp; ADDRESS(ROW(BJ250),MATCH(INDIRECT(ADDRESS(2,COLUMN(BJ250)+IF(OFFSET(BJ250,ROW(BJ$2)-ROW(BJ250),2)="T",1,IF(OFFSET(BJ250,ROW(BJ$2)-ROW(BJ250),1)="T",0,-1))),TRUE),INDIRECT("'"&amp; MID(OFFSET(BJ250,ROW(BJ$3)-ROW(BJ250),IF(OFFSET(BJ250,ROW(BJ$2)-ROW(BJ250),2)="T",0,IF(OFFSET(BJ250,ROW(BJ$2)-ROW(BJ250),1)="T",-1,-2))),1,6) &amp; "'!2:2",TRUE),0)-IF(OFFSET(BJ250,ROW(BJ$2)-ROW(BJ250),2)="T",1,IF(OFFSET(BJ250,ROW(BJ$2)-ROW(BJ250),1)="T",0,-1))),TRUE)</f>
        <v>0</v>
      </c>
      <c r="BK250" s="362">
        <f t="shared" ca="1" si="471"/>
        <v>0</v>
      </c>
      <c r="BL250" s="363">
        <f t="shared" ca="1" si="459"/>
        <v>0</v>
      </c>
      <c r="BM250" s="360">
        <f t="shared" ca="1" si="447"/>
        <v>0</v>
      </c>
      <c r="BN250" s="360">
        <f t="shared" ca="1" si="447"/>
        <v>0</v>
      </c>
      <c r="BP250" s="246"/>
    </row>
    <row r="251" spans="1:68">
      <c r="A251" s="221" t="str">
        <f t="shared" ca="1" si="434"/>
        <v>WP008</v>
      </c>
      <c r="B251" s="221" t="str">
        <f t="shared" ca="1" si="435"/>
        <v>WP008</v>
      </c>
      <c r="C251" s="221">
        <v>7</v>
      </c>
      <c r="D251" s="221" t="s">
        <v>81</v>
      </c>
      <c r="L251" s="221" t="s">
        <v>77</v>
      </c>
      <c r="M251" s="221" t="s">
        <v>80</v>
      </c>
      <c r="N251" s="461"/>
      <c r="O251" s="247"/>
      <c r="P251" s="248"/>
      <c r="Q251" s="249" t="str">
        <f>EMP_TYPE2</f>
        <v>Type 2</v>
      </c>
      <c r="R251" s="361">
        <f t="shared" ca="1" si="460"/>
        <v>0</v>
      </c>
      <c r="S251" s="362">
        <f t="shared" ca="1" si="460"/>
        <v>0</v>
      </c>
      <c r="T251" s="363">
        <f t="shared" ca="1" si="448"/>
        <v>0</v>
      </c>
      <c r="U251" s="360">
        <f t="shared" ca="1" si="436"/>
        <v>0</v>
      </c>
      <c r="V251" s="361">
        <f t="shared" ca="1" si="461"/>
        <v>0</v>
      </c>
      <c r="W251" s="362">
        <f t="shared" ca="1" si="461"/>
        <v>0</v>
      </c>
      <c r="X251" s="363">
        <f t="shared" ca="1" si="449"/>
        <v>0</v>
      </c>
      <c r="Y251" s="360">
        <f t="shared" ca="1" si="437"/>
        <v>0</v>
      </c>
      <c r="Z251" s="361">
        <f t="shared" ca="1" si="462"/>
        <v>0</v>
      </c>
      <c r="AA251" s="362">
        <f t="shared" ca="1" si="462"/>
        <v>0</v>
      </c>
      <c r="AB251" s="363">
        <f t="shared" ca="1" si="450"/>
        <v>0</v>
      </c>
      <c r="AC251" s="360">
        <f t="shared" ca="1" si="438"/>
        <v>0</v>
      </c>
      <c r="AD251" s="361">
        <f t="shared" ca="1" si="463"/>
        <v>0</v>
      </c>
      <c r="AE251" s="362">
        <f t="shared" ca="1" si="463"/>
        <v>0</v>
      </c>
      <c r="AF251" s="363">
        <f t="shared" ca="1" si="451"/>
        <v>0</v>
      </c>
      <c r="AG251" s="360">
        <f t="shared" ca="1" si="439"/>
        <v>0</v>
      </c>
      <c r="AH251" s="361">
        <f t="shared" ca="1" si="464"/>
        <v>0</v>
      </c>
      <c r="AI251" s="362">
        <f t="shared" ca="1" si="464"/>
        <v>0</v>
      </c>
      <c r="AJ251" s="363">
        <f t="shared" ca="1" si="452"/>
        <v>0</v>
      </c>
      <c r="AK251" s="360">
        <f t="shared" ca="1" si="440"/>
        <v>0</v>
      </c>
      <c r="AL251" s="361">
        <f t="shared" ca="1" si="465"/>
        <v>0</v>
      </c>
      <c r="AM251" s="362">
        <f t="shared" ca="1" si="465"/>
        <v>0</v>
      </c>
      <c r="AN251" s="363">
        <f t="shared" ca="1" si="453"/>
        <v>0</v>
      </c>
      <c r="AO251" s="360">
        <f t="shared" ca="1" si="441"/>
        <v>0</v>
      </c>
      <c r="AP251" s="361">
        <f t="shared" ca="1" si="466"/>
        <v>0</v>
      </c>
      <c r="AQ251" s="362">
        <f t="shared" ca="1" si="466"/>
        <v>0</v>
      </c>
      <c r="AR251" s="363">
        <f t="shared" ca="1" si="454"/>
        <v>0</v>
      </c>
      <c r="AS251" s="360">
        <f t="shared" ca="1" si="442"/>
        <v>0</v>
      </c>
      <c r="AT251" s="361">
        <f t="shared" ca="1" si="467"/>
        <v>0</v>
      </c>
      <c r="AU251" s="362">
        <f t="shared" ca="1" si="467"/>
        <v>0</v>
      </c>
      <c r="AV251" s="363">
        <f t="shared" ca="1" si="455"/>
        <v>0</v>
      </c>
      <c r="AW251" s="360">
        <f t="shared" ca="1" si="443"/>
        <v>0</v>
      </c>
      <c r="AX251" s="361">
        <f t="shared" ca="1" si="468"/>
        <v>0</v>
      </c>
      <c r="AY251" s="362">
        <f t="shared" ca="1" si="468"/>
        <v>0</v>
      </c>
      <c r="AZ251" s="363">
        <f t="shared" ca="1" si="456"/>
        <v>0</v>
      </c>
      <c r="BA251" s="360">
        <f t="shared" ca="1" si="444"/>
        <v>0</v>
      </c>
      <c r="BB251" s="361">
        <f t="shared" ca="1" si="469"/>
        <v>0</v>
      </c>
      <c r="BC251" s="362">
        <f t="shared" ca="1" si="469"/>
        <v>0</v>
      </c>
      <c r="BD251" s="363">
        <f t="shared" ca="1" si="457"/>
        <v>0</v>
      </c>
      <c r="BE251" s="360">
        <f t="shared" ca="1" si="445"/>
        <v>0</v>
      </c>
      <c r="BF251" s="361">
        <f t="shared" ca="1" si="470"/>
        <v>0</v>
      </c>
      <c r="BG251" s="362">
        <f t="shared" ca="1" si="470"/>
        <v>0</v>
      </c>
      <c r="BH251" s="363">
        <f t="shared" ca="1" si="458"/>
        <v>0</v>
      </c>
      <c r="BI251" s="360">
        <f t="shared" ca="1" si="446"/>
        <v>0</v>
      </c>
      <c r="BJ251" s="361">
        <f t="shared" ca="1" si="471"/>
        <v>0</v>
      </c>
      <c r="BK251" s="362">
        <f t="shared" ca="1" si="471"/>
        <v>0</v>
      </c>
      <c r="BL251" s="363">
        <f t="shared" ca="1" si="459"/>
        <v>0</v>
      </c>
      <c r="BM251" s="360">
        <f t="shared" ca="1" si="447"/>
        <v>0</v>
      </c>
      <c r="BN251" s="360">
        <f t="shared" ca="1" si="447"/>
        <v>0</v>
      </c>
      <c r="BP251" s="246"/>
    </row>
    <row r="252" spans="1:68">
      <c r="A252" s="221" t="str">
        <f t="shared" ca="1" si="434"/>
        <v>WP008</v>
      </c>
      <c r="B252" s="221" t="str">
        <f t="shared" ca="1" si="435"/>
        <v>WP008</v>
      </c>
      <c r="C252" s="221">
        <v>7</v>
      </c>
      <c r="D252" s="221" t="s">
        <v>82</v>
      </c>
      <c r="L252" s="221" t="s">
        <v>77</v>
      </c>
      <c r="M252" s="221" t="s">
        <v>80</v>
      </c>
      <c r="N252" s="461"/>
      <c r="O252" s="247"/>
      <c r="P252" s="248"/>
      <c r="Q252" s="249" t="str">
        <f>EMP_TYPE3</f>
        <v>Type 3</v>
      </c>
      <c r="R252" s="361">
        <f t="shared" ca="1" si="460"/>
        <v>0</v>
      </c>
      <c r="S252" s="362">
        <f t="shared" ca="1" si="460"/>
        <v>0</v>
      </c>
      <c r="T252" s="363">
        <f t="shared" ca="1" si="448"/>
        <v>0</v>
      </c>
      <c r="U252" s="360">
        <f t="shared" ca="1" si="436"/>
        <v>0</v>
      </c>
      <c r="V252" s="361">
        <f t="shared" ca="1" si="461"/>
        <v>0</v>
      </c>
      <c r="W252" s="362">
        <f t="shared" ca="1" si="461"/>
        <v>0</v>
      </c>
      <c r="X252" s="363">
        <f t="shared" ca="1" si="449"/>
        <v>0</v>
      </c>
      <c r="Y252" s="360">
        <f t="shared" ca="1" si="437"/>
        <v>0</v>
      </c>
      <c r="Z252" s="361">
        <f t="shared" ca="1" si="462"/>
        <v>0</v>
      </c>
      <c r="AA252" s="362">
        <f t="shared" ca="1" si="462"/>
        <v>0</v>
      </c>
      <c r="AB252" s="363">
        <f t="shared" ca="1" si="450"/>
        <v>0</v>
      </c>
      <c r="AC252" s="360">
        <f t="shared" ca="1" si="438"/>
        <v>0</v>
      </c>
      <c r="AD252" s="361">
        <f t="shared" ca="1" si="463"/>
        <v>0</v>
      </c>
      <c r="AE252" s="362">
        <f t="shared" ca="1" si="463"/>
        <v>0</v>
      </c>
      <c r="AF252" s="363">
        <f t="shared" ca="1" si="451"/>
        <v>0</v>
      </c>
      <c r="AG252" s="360">
        <f t="shared" ca="1" si="439"/>
        <v>0</v>
      </c>
      <c r="AH252" s="361">
        <f t="shared" ca="1" si="464"/>
        <v>0</v>
      </c>
      <c r="AI252" s="362">
        <f t="shared" ca="1" si="464"/>
        <v>0</v>
      </c>
      <c r="AJ252" s="363">
        <f t="shared" ca="1" si="452"/>
        <v>0</v>
      </c>
      <c r="AK252" s="360">
        <f t="shared" ca="1" si="440"/>
        <v>0</v>
      </c>
      <c r="AL252" s="361">
        <f t="shared" ca="1" si="465"/>
        <v>0</v>
      </c>
      <c r="AM252" s="362">
        <f t="shared" ca="1" si="465"/>
        <v>0</v>
      </c>
      <c r="AN252" s="363">
        <f t="shared" ca="1" si="453"/>
        <v>0</v>
      </c>
      <c r="AO252" s="360">
        <f t="shared" ca="1" si="441"/>
        <v>0</v>
      </c>
      <c r="AP252" s="361">
        <f t="shared" ca="1" si="466"/>
        <v>0</v>
      </c>
      <c r="AQ252" s="362">
        <f t="shared" ca="1" si="466"/>
        <v>0</v>
      </c>
      <c r="AR252" s="363">
        <f t="shared" ca="1" si="454"/>
        <v>0</v>
      </c>
      <c r="AS252" s="360">
        <f t="shared" ca="1" si="442"/>
        <v>0</v>
      </c>
      <c r="AT252" s="361">
        <f t="shared" ca="1" si="467"/>
        <v>0</v>
      </c>
      <c r="AU252" s="362">
        <f t="shared" ca="1" si="467"/>
        <v>0</v>
      </c>
      <c r="AV252" s="363">
        <f t="shared" ca="1" si="455"/>
        <v>0</v>
      </c>
      <c r="AW252" s="360">
        <f t="shared" ca="1" si="443"/>
        <v>0</v>
      </c>
      <c r="AX252" s="361">
        <f t="shared" ca="1" si="468"/>
        <v>0</v>
      </c>
      <c r="AY252" s="362">
        <f t="shared" ca="1" si="468"/>
        <v>0</v>
      </c>
      <c r="AZ252" s="363">
        <f t="shared" ca="1" si="456"/>
        <v>0</v>
      </c>
      <c r="BA252" s="360">
        <f t="shared" ca="1" si="444"/>
        <v>0</v>
      </c>
      <c r="BB252" s="361">
        <f t="shared" ca="1" si="469"/>
        <v>0</v>
      </c>
      <c r="BC252" s="362">
        <f t="shared" ca="1" si="469"/>
        <v>0</v>
      </c>
      <c r="BD252" s="363">
        <f t="shared" ca="1" si="457"/>
        <v>0</v>
      </c>
      <c r="BE252" s="360">
        <f t="shared" ca="1" si="445"/>
        <v>0</v>
      </c>
      <c r="BF252" s="361">
        <f t="shared" ca="1" si="470"/>
        <v>0</v>
      </c>
      <c r="BG252" s="362">
        <f t="shared" ca="1" si="470"/>
        <v>0</v>
      </c>
      <c r="BH252" s="363">
        <f t="shared" ca="1" si="458"/>
        <v>0</v>
      </c>
      <c r="BI252" s="360">
        <f t="shared" ca="1" si="446"/>
        <v>0</v>
      </c>
      <c r="BJ252" s="361">
        <f t="shared" ca="1" si="471"/>
        <v>0</v>
      </c>
      <c r="BK252" s="362">
        <f t="shared" ca="1" si="471"/>
        <v>0</v>
      </c>
      <c r="BL252" s="363">
        <f t="shared" ca="1" si="459"/>
        <v>0</v>
      </c>
      <c r="BM252" s="360">
        <f t="shared" ca="1" si="447"/>
        <v>0</v>
      </c>
      <c r="BN252" s="360">
        <f t="shared" ca="1" si="447"/>
        <v>0</v>
      </c>
      <c r="BP252" s="246"/>
    </row>
    <row r="253" spans="1:68">
      <c r="A253" s="221" t="str">
        <f t="shared" ca="1" si="434"/>
        <v>WP008</v>
      </c>
      <c r="B253" s="221" t="str">
        <f t="shared" ca="1" si="435"/>
        <v>WP008</v>
      </c>
      <c r="C253" s="221">
        <v>7</v>
      </c>
      <c r="D253" s="221" t="s">
        <v>83</v>
      </c>
      <c r="L253" s="221" t="s">
        <v>77</v>
      </c>
      <c r="M253" s="221" t="s">
        <v>80</v>
      </c>
      <c r="N253" s="461"/>
      <c r="O253" s="247"/>
      <c r="P253" s="248"/>
      <c r="Q253" s="249" t="str">
        <f>EMP_TYPE4</f>
        <v>Type 4</v>
      </c>
      <c r="R253" s="361">
        <f t="shared" ca="1" si="460"/>
        <v>0</v>
      </c>
      <c r="S253" s="362">
        <f t="shared" ca="1" si="460"/>
        <v>0</v>
      </c>
      <c r="T253" s="363">
        <f t="shared" ca="1" si="448"/>
        <v>0</v>
      </c>
      <c r="U253" s="360">
        <f t="shared" ca="1" si="436"/>
        <v>0</v>
      </c>
      <c r="V253" s="361">
        <f t="shared" ca="1" si="461"/>
        <v>0</v>
      </c>
      <c r="W253" s="362">
        <f t="shared" ca="1" si="461"/>
        <v>0</v>
      </c>
      <c r="X253" s="363">
        <f t="shared" ca="1" si="449"/>
        <v>0</v>
      </c>
      <c r="Y253" s="360">
        <f t="shared" ca="1" si="437"/>
        <v>0</v>
      </c>
      <c r="Z253" s="361">
        <f t="shared" ca="1" si="462"/>
        <v>0</v>
      </c>
      <c r="AA253" s="362">
        <f t="shared" ca="1" si="462"/>
        <v>0</v>
      </c>
      <c r="AB253" s="363">
        <f t="shared" ca="1" si="450"/>
        <v>0</v>
      </c>
      <c r="AC253" s="360">
        <f t="shared" ca="1" si="438"/>
        <v>0</v>
      </c>
      <c r="AD253" s="361">
        <f t="shared" ca="1" si="463"/>
        <v>0</v>
      </c>
      <c r="AE253" s="362">
        <f t="shared" ca="1" si="463"/>
        <v>0</v>
      </c>
      <c r="AF253" s="363">
        <f t="shared" ca="1" si="451"/>
        <v>0</v>
      </c>
      <c r="AG253" s="360">
        <f t="shared" ca="1" si="439"/>
        <v>0</v>
      </c>
      <c r="AH253" s="361">
        <f t="shared" ca="1" si="464"/>
        <v>0</v>
      </c>
      <c r="AI253" s="362">
        <f t="shared" ca="1" si="464"/>
        <v>0</v>
      </c>
      <c r="AJ253" s="363">
        <f t="shared" ca="1" si="452"/>
        <v>0</v>
      </c>
      <c r="AK253" s="360">
        <f t="shared" ca="1" si="440"/>
        <v>0</v>
      </c>
      <c r="AL253" s="361">
        <f t="shared" ca="1" si="465"/>
        <v>0</v>
      </c>
      <c r="AM253" s="362">
        <f t="shared" ca="1" si="465"/>
        <v>0</v>
      </c>
      <c r="AN253" s="363">
        <f t="shared" ca="1" si="453"/>
        <v>0</v>
      </c>
      <c r="AO253" s="360">
        <f t="shared" ca="1" si="441"/>
        <v>0</v>
      </c>
      <c r="AP253" s="361">
        <f t="shared" ca="1" si="466"/>
        <v>0</v>
      </c>
      <c r="AQ253" s="362">
        <f t="shared" ca="1" si="466"/>
        <v>0</v>
      </c>
      <c r="AR253" s="363">
        <f t="shared" ca="1" si="454"/>
        <v>0</v>
      </c>
      <c r="AS253" s="360">
        <f t="shared" ca="1" si="442"/>
        <v>0</v>
      </c>
      <c r="AT253" s="361">
        <f t="shared" ca="1" si="467"/>
        <v>0</v>
      </c>
      <c r="AU253" s="362">
        <f t="shared" ca="1" si="467"/>
        <v>0</v>
      </c>
      <c r="AV253" s="363">
        <f t="shared" ca="1" si="455"/>
        <v>0</v>
      </c>
      <c r="AW253" s="360">
        <f t="shared" ca="1" si="443"/>
        <v>0</v>
      </c>
      <c r="AX253" s="361">
        <f t="shared" ca="1" si="468"/>
        <v>0</v>
      </c>
      <c r="AY253" s="362">
        <f t="shared" ca="1" si="468"/>
        <v>0</v>
      </c>
      <c r="AZ253" s="363">
        <f t="shared" ca="1" si="456"/>
        <v>0</v>
      </c>
      <c r="BA253" s="360">
        <f t="shared" ca="1" si="444"/>
        <v>0</v>
      </c>
      <c r="BB253" s="361">
        <f t="shared" ca="1" si="469"/>
        <v>0</v>
      </c>
      <c r="BC253" s="362">
        <f t="shared" ca="1" si="469"/>
        <v>0</v>
      </c>
      <c r="BD253" s="363">
        <f t="shared" ca="1" si="457"/>
        <v>0</v>
      </c>
      <c r="BE253" s="360">
        <f t="shared" ca="1" si="445"/>
        <v>0</v>
      </c>
      <c r="BF253" s="361">
        <f t="shared" ca="1" si="470"/>
        <v>0</v>
      </c>
      <c r="BG253" s="362">
        <f t="shared" ca="1" si="470"/>
        <v>0</v>
      </c>
      <c r="BH253" s="363">
        <f t="shared" ca="1" si="458"/>
        <v>0</v>
      </c>
      <c r="BI253" s="360">
        <f t="shared" ca="1" si="446"/>
        <v>0</v>
      </c>
      <c r="BJ253" s="361">
        <f t="shared" ca="1" si="471"/>
        <v>0</v>
      </c>
      <c r="BK253" s="362">
        <f t="shared" ca="1" si="471"/>
        <v>0</v>
      </c>
      <c r="BL253" s="363">
        <f t="shared" ca="1" si="459"/>
        <v>0</v>
      </c>
      <c r="BM253" s="360">
        <f t="shared" ca="1" si="447"/>
        <v>0</v>
      </c>
      <c r="BN253" s="360">
        <f t="shared" ca="1" si="447"/>
        <v>0</v>
      </c>
      <c r="BP253" s="246"/>
    </row>
    <row r="254" spans="1:68">
      <c r="A254" s="221" t="str">
        <f t="shared" ca="1" si="434"/>
        <v>WP008</v>
      </c>
      <c r="B254" s="221" t="str">
        <f t="shared" ca="1" si="435"/>
        <v>WP008</v>
      </c>
      <c r="C254" s="221">
        <v>7</v>
      </c>
      <c r="D254" s="221" t="s">
        <v>84</v>
      </c>
      <c r="L254" s="221" t="s">
        <v>77</v>
      </c>
      <c r="M254" s="221" t="s">
        <v>80</v>
      </c>
      <c r="N254" s="461"/>
      <c r="O254" s="247"/>
      <c r="P254" s="248"/>
      <c r="Q254" s="249" t="str">
        <f>EMP_OTHER</f>
        <v>Type 5</v>
      </c>
      <c r="R254" s="361">
        <f t="shared" ca="1" si="460"/>
        <v>0</v>
      </c>
      <c r="S254" s="362">
        <f t="shared" ca="1" si="460"/>
        <v>0</v>
      </c>
      <c r="T254" s="363">
        <f t="shared" ca="1" si="448"/>
        <v>0</v>
      </c>
      <c r="U254" s="360">
        <f t="shared" ca="1" si="436"/>
        <v>0</v>
      </c>
      <c r="V254" s="361">
        <f t="shared" ca="1" si="461"/>
        <v>0</v>
      </c>
      <c r="W254" s="362">
        <f t="shared" ca="1" si="461"/>
        <v>0</v>
      </c>
      <c r="X254" s="363">
        <f t="shared" ca="1" si="449"/>
        <v>0</v>
      </c>
      <c r="Y254" s="360">
        <f t="shared" ca="1" si="437"/>
        <v>0</v>
      </c>
      <c r="Z254" s="361">
        <f t="shared" ca="1" si="462"/>
        <v>0</v>
      </c>
      <c r="AA254" s="362">
        <f t="shared" ca="1" si="462"/>
        <v>0</v>
      </c>
      <c r="AB254" s="363">
        <f t="shared" ca="1" si="450"/>
        <v>0</v>
      </c>
      <c r="AC254" s="360">
        <f t="shared" ca="1" si="438"/>
        <v>0</v>
      </c>
      <c r="AD254" s="361">
        <f t="shared" ca="1" si="463"/>
        <v>0</v>
      </c>
      <c r="AE254" s="362">
        <f t="shared" ca="1" si="463"/>
        <v>0</v>
      </c>
      <c r="AF254" s="363">
        <f t="shared" ca="1" si="451"/>
        <v>0</v>
      </c>
      <c r="AG254" s="360">
        <f t="shared" ca="1" si="439"/>
        <v>0</v>
      </c>
      <c r="AH254" s="361">
        <f t="shared" ca="1" si="464"/>
        <v>0</v>
      </c>
      <c r="AI254" s="362">
        <f t="shared" ca="1" si="464"/>
        <v>0</v>
      </c>
      <c r="AJ254" s="363">
        <f t="shared" ca="1" si="452"/>
        <v>0</v>
      </c>
      <c r="AK254" s="360">
        <f t="shared" ca="1" si="440"/>
        <v>0</v>
      </c>
      <c r="AL254" s="361">
        <f t="shared" ca="1" si="465"/>
        <v>0</v>
      </c>
      <c r="AM254" s="362">
        <f t="shared" ca="1" si="465"/>
        <v>0</v>
      </c>
      <c r="AN254" s="363">
        <f t="shared" ca="1" si="453"/>
        <v>0</v>
      </c>
      <c r="AO254" s="360">
        <f t="shared" ca="1" si="441"/>
        <v>0</v>
      </c>
      <c r="AP254" s="361">
        <f t="shared" ca="1" si="466"/>
        <v>0</v>
      </c>
      <c r="AQ254" s="362">
        <f t="shared" ca="1" si="466"/>
        <v>0</v>
      </c>
      <c r="AR254" s="363">
        <f t="shared" ca="1" si="454"/>
        <v>0</v>
      </c>
      <c r="AS254" s="360">
        <f t="shared" ca="1" si="442"/>
        <v>0</v>
      </c>
      <c r="AT254" s="361">
        <f t="shared" ca="1" si="467"/>
        <v>0</v>
      </c>
      <c r="AU254" s="362">
        <f t="shared" ca="1" si="467"/>
        <v>0</v>
      </c>
      <c r="AV254" s="363">
        <f t="shared" ca="1" si="455"/>
        <v>0</v>
      </c>
      <c r="AW254" s="360">
        <f t="shared" ca="1" si="443"/>
        <v>0</v>
      </c>
      <c r="AX254" s="361">
        <f t="shared" ca="1" si="468"/>
        <v>0</v>
      </c>
      <c r="AY254" s="362">
        <f t="shared" ca="1" si="468"/>
        <v>0</v>
      </c>
      <c r="AZ254" s="363">
        <f t="shared" ca="1" si="456"/>
        <v>0</v>
      </c>
      <c r="BA254" s="360">
        <f t="shared" ca="1" si="444"/>
        <v>0</v>
      </c>
      <c r="BB254" s="361">
        <f t="shared" ca="1" si="469"/>
        <v>0</v>
      </c>
      <c r="BC254" s="362">
        <f t="shared" ca="1" si="469"/>
        <v>0</v>
      </c>
      <c r="BD254" s="363">
        <f t="shared" ca="1" si="457"/>
        <v>0</v>
      </c>
      <c r="BE254" s="360">
        <f t="shared" ca="1" si="445"/>
        <v>0</v>
      </c>
      <c r="BF254" s="361">
        <f t="shared" ca="1" si="470"/>
        <v>0</v>
      </c>
      <c r="BG254" s="362">
        <f t="shared" ca="1" si="470"/>
        <v>0</v>
      </c>
      <c r="BH254" s="363">
        <f t="shared" ca="1" si="458"/>
        <v>0</v>
      </c>
      <c r="BI254" s="360">
        <f t="shared" ca="1" si="446"/>
        <v>0</v>
      </c>
      <c r="BJ254" s="361">
        <f t="shared" ca="1" si="471"/>
        <v>0</v>
      </c>
      <c r="BK254" s="362">
        <f t="shared" ca="1" si="471"/>
        <v>0</v>
      </c>
      <c r="BL254" s="363">
        <f t="shared" ca="1" si="459"/>
        <v>0</v>
      </c>
      <c r="BM254" s="360">
        <f t="shared" ca="1" si="447"/>
        <v>0</v>
      </c>
      <c r="BN254" s="360">
        <f t="shared" ca="1" si="447"/>
        <v>0</v>
      </c>
      <c r="BP254" s="246"/>
    </row>
    <row r="255" spans="1:68">
      <c r="A255" s="221" t="str">
        <f t="shared" ca="1" si="434"/>
        <v>WP008</v>
      </c>
      <c r="B255" s="221" t="str">
        <f t="shared" ca="1" si="435"/>
        <v>WP008</v>
      </c>
      <c r="C255" s="221">
        <v>6</v>
      </c>
      <c r="D255" s="221" t="s">
        <v>85</v>
      </c>
      <c r="J255" s="222" t="s">
        <v>75</v>
      </c>
      <c r="M255" s="221" t="s">
        <v>80</v>
      </c>
      <c r="N255" s="461"/>
      <c r="O255" s="250"/>
      <c r="P255" s="458" t="s">
        <v>86</v>
      </c>
      <c r="Q255" s="456"/>
      <c r="R255" s="364">
        <f t="shared" ca="1" si="460"/>
        <v>0</v>
      </c>
      <c r="S255" s="358">
        <f t="shared" ca="1" si="460"/>
        <v>0</v>
      </c>
      <c r="T255" s="359">
        <f t="shared" ca="1" si="448"/>
        <v>0</v>
      </c>
      <c r="U255" s="360">
        <f t="shared" ca="1" si="436"/>
        <v>0</v>
      </c>
      <c r="V255" s="364">
        <f t="shared" ca="1" si="461"/>
        <v>0</v>
      </c>
      <c r="W255" s="358">
        <f t="shared" ca="1" si="461"/>
        <v>0</v>
      </c>
      <c r="X255" s="359">
        <f t="shared" ca="1" si="449"/>
        <v>0</v>
      </c>
      <c r="Y255" s="360">
        <f t="shared" ca="1" si="437"/>
        <v>0</v>
      </c>
      <c r="Z255" s="364">
        <f t="shared" ca="1" si="462"/>
        <v>0</v>
      </c>
      <c r="AA255" s="358">
        <f t="shared" ca="1" si="462"/>
        <v>0</v>
      </c>
      <c r="AB255" s="359">
        <f t="shared" ca="1" si="450"/>
        <v>0</v>
      </c>
      <c r="AC255" s="360">
        <f t="shared" ca="1" si="438"/>
        <v>0</v>
      </c>
      <c r="AD255" s="364">
        <f t="shared" ca="1" si="463"/>
        <v>0</v>
      </c>
      <c r="AE255" s="358">
        <f t="shared" ca="1" si="463"/>
        <v>0</v>
      </c>
      <c r="AF255" s="359">
        <f t="shared" ca="1" si="451"/>
        <v>0</v>
      </c>
      <c r="AG255" s="360">
        <f t="shared" ca="1" si="439"/>
        <v>0</v>
      </c>
      <c r="AH255" s="364">
        <f t="shared" ca="1" si="464"/>
        <v>0</v>
      </c>
      <c r="AI255" s="358">
        <f t="shared" ca="1" si="464"/>
        <v>0</v>
      </c>
      <c r="AJ255" s="359">
        <f t="shared" ca="1" si="452"/>
        <v>0</v>
      </c>
      <c r="AK255" s="360">
        <f t="shared" ca="1" si="440"/>
        <v>0</v>
      </c>
      <c r="AL255" s="364">
        <f t="shared" ca="1" si="465"/>
        <v>0</v>
      </c>
      <c r="AM255" s="358">
        <f t="shared" ca="1" si="465"/>
        <v>0</v>
      </c>
      <c r="AN255" s="359">
        <f t="shared" ca="1" si="453"/>
        <v>0</v>
      </c>
      <c r="AO255" s="360">
        <f t="shared" ca="1" si="441"/>
        <v>0</v>
      </c>
      <c r="AP255" s="364">
        <f t="shared" ca="1" si="466"/>
        <v>0</v>
      </c>
      <c r="AQ255" s="358">
        <f t="shared" ca="1" si="466"/>
        <v>0</v>
      </c>
      <c r="AR255" s="359">
        <f t="shared" ca="1" si="454"/>
        <v>0</v>
      </c>
      <c r="AS255" s="360">
        <f t="shared" ca="1" si="442"/>
        <v>0</v>
      </c>
      <c r="AT255" s="364">
        <f t="shared" ca="1" si="467"/>
        <v>0</v>
      </c>
      <c r="AU255" s="358">
        <f t="shared" ca="1" si="467"/>
        <v>0</v>
      </c>
      <c r="AV255" s="359">
        <f t="shared" ca="1" si="455"/>
        <v>0</v>
      </c>
      <c r="AW255" s="360">
        <f t="shared" ca="1" si="443"/>
        <v>0</v>
      </c>
      <c r="AX255" s="364">
        <f t="shared" ca="1" si="468"/>
        <v>0</v>
      </c>
      <c r="AY255" s="358">
        <f t="shared" ca="1" si="468"/>
        <v>0</v>
      </c>
      <c r="AZ255" s="359">
        <f t="shared" ca="1" si="456"/>
        <v>0</v>
      </c>
      <c r="BA255" s="360">
        <f t="shared" ca="1" si="444"/>
        <v>0</v>
      </c>
      <c r="BB255" s="364">
        <f t="shared" ca="1" si="469"/>
        <v>0</v>
      </c>
      <c r="BC255" s="358">
        <f t="shared" ca="1" si="469"/>
        <v>0</v>
      </c>
      <c r="BD255" s="359">
        <f t="shared" ca="1" si="457"/>
        <v>0</v>
      </c>
      <c r="BE255" s="360">
        <f t="shared" ca="1" si="445"/>
        <v>0</v>
      </c>
      <c r="BF255" s="364">
        <f t="shared" ca="1" si="470"/>
        <v>0</v>
      </c>
      <c r="BG255" s="358">
        <f t="shared" ca="1" si="470"/>
        <v>0</v>
      </c>
      <c r="BH255" s="359">
        <f t="shared" ca="1" si="458"/>
        <v>0</v>
      </c>
      <c r="BI255" s="360">
        <f t="shared" ca="1" si="446"/>
        <v>0</v>
      </c>
      <c r="BJ255" s="364">
        <f t="shared" ca="1" si="471"/>
        <v>0</v>
      </c>
      <c r="BK255" s="358">
        <f t="shared" ca="1" si="471"/>
        <v>0</v>
      </c>
      <c r="BL255" s="359">
        <f t="shared" ca="1" si="459"/>
        <v>0</v>
      </c>
      <c r="BM255" s="360">
        <f t="shared" ca="1" si="447"/>
        <v>0</v>
      </c>
      <c r="BN255" s="360">
        <f t="shared" ca="1" si="447"/>
        <v>0</v>
      </c>
      <c r="BP255" s="246"/>
    </row>
    <row r="256" spans="1:68">
      <c r="A256" s="221" t="str">
        <f t="shared" ca="1" si="434"/>
        <v>WP008</v>
      </c>
      <c r="B256" s="221" t="str">
        <f t="shared" ca="1" si="435"/>
        <v>WP008</v>
      </c>
      <c r="C256" s="221">
        <v>6</v>
      </c>
      <c r="D256" s="221" t="s">
        <v>87</v>
      </c>
      <c r="J256" s="222" t="s">
        <v>75</v>
      </c>
      <c r="M256" s="221" t="s">
        <v>80</v>
      </c>
      <c r="N256" s="461"/>
      <c r="O256" s="250"/>
      <c r="P256" s="458" t="s">
        <v>88</v>
      </c>
      <c r="Q256" s="456"/>
      <c r="R256" s="364">
        <f t="shared" ca="1" si="460"/>
        <v>0</v>
      </c>
      <c r="S256" s="358">
        <f t="shared" ca="1" si="460"/>
        <v>0</v>
      </c>
      <c r="T256" s="359">
        <f t="shared" ca="1" si="448"/>
        <v>0</v>
      </c>
      <c r="U256" s="360">
        <f t="shared" ca="1" si="436"/>
        <v>0</v>
      </c>
      <c r="V256" s="364">
        <f t="shared" ca="1" si="461"/>
        <v>0</v>
      </c>
      <c r="W256" s="358">
        <f t="shared" ca="1" si="461"/>
        <v>0</v>
      </c>
      <c r="X256" s="359">
        <f t="shared" ca="1" si="449"/>
        <v>0</v>
      </c>
      <c r="Y256" s="360">
        <f t="shared" ca="1" si="437"/>
        <v>0</v>
      </c>
      <c r="Z256" s="364">
        <f t="shared" ca="1" si="462"/>
        <v>0</v>
      </c>
      <c r="AA256" s="358">
        <f t="shared" ca="1" si="462"/>
        <v>0</v>
      </c>
      <c r="AB256" s="359">
        <f t="shared" ca="1" si="450"/>
        <v>0</v>
      </c>
      <c r="AC256" s="360">
        <f t="shared" ca="1" si="438"/>
        <v>0</v>
      </c>
      <c r="AD256" s="364">
        <f t="shared" ca="1" si="463"/>
        <v>0</v>
      </c>
      <c r="AE256" s="358">
        <f t="shared" ca="1" si="463"/>
        <v>0</v>
      </c>
      <c r="AF256" s="359">
        <f t="shared" ca="1" si="451"/>
        <v>0</v>
      </c>
      <c r="AG256" s="360">
        <f t="shared" ca="1" si="439"/>
        <v>0</v>
      </c>
      <c r="AH256" s="364">
        <f t="shared" ca="1" si="464"/>
        <v>0</v>
      </c>
      <c r="AI256" s="358">
        <f t="shared" ca="1" si="464"/>
        <v>0</v>
      </c>
      <c r="AJ256" s="359">
        <f t="shared" ca="1" si="452"/>
        <v>0</v>
      </c>
      <c r="AK256" s="360">
        <f t="shared" ca="1" si="440"/>
        <v>0</v>
      </c>
      <c r="AL256" s="364">
        <f t="shared" ca="1" si="465"/>
        <v>0</v>
      </c>
      <c r="AM256" s="358">
        <f t="shared" ca="1" si="465"/>
        <v>0</v>
      </c>
      <c r="AN256" s="359">
        <f t="shared" ca="1" si="453"/>
        <v>0</v>
      </c>
      <c r="AO256" s="360">
        <f t="shared" ca="1" si="441"/>
        <v>0</v>
      </c>
      <c r="AP256" s="364">
        <f t="shared" ca="1" si="466"/>
        <v>0</v>
      </c>
      <c r="AQ256" s="358">
        <f t="shared" ca="1" si="466"/>
        <v>0</v>
      </c>
      <c r="AR256" s="359">
        <f t="shared" ca="1" si="454"/>
        <v>0</v>
      </c>
      <c r="AS256" s="360">
        <f t="shared" ca="1" si="442"/>
        <v>0</v>
      </c>
      <c r="AT256" s="364">
        <f t="shared" ca="1" si="467"/>
        <v>0</v>
      </c>
      <c r="AU256" s="358">
        <f t="shared" ca="1" si="467"/>
        <v>0</v>
      </c>
      <c r="AV256" s="359">
        <f t="shared" ca="1" si="455"/>
        <v>0</v>
      </c>
      <c r="AW256" s="360">
        <f t="shared" ca="1" si="443"/>
        <v>0</v>
      </c>
      <c r="AX256" s="364">
        <f t="shared" ca="1" si="468"/>
        <v>0</v>
      </c>
      <c r="AY256" s="358">
        <f t="shared" ca="1" si="468"/>
        <v>0</v>
      </c>
      <c r="AZ256" s="359">
        <f t="shared" ca="1" si="456"/>
        <v>0</v>
      </c>
      <c r="BA256" s="360">
        <f t="shared" ca="1" si="444"/>
        <v>0</v>
      </c>
      <c r="BB256" s="364">
        <f t="shared" ca="1" si="469"/>
        <v>0</v>
      </c>
      <c r="BC256" s="358">
        <f t="shared" ca="1" si="469"/>
        <v>0</v>
      </c>
      <c r="BD256" s="359">
        <f t="shared" ca="1" si="457"/>
        <v>0</v>
      </c>
      <c r="BE256" s="360">
        <f t="shared" ca="1" si="445"/>
        <v>0</v>
      </c>
      <c r="BF256" s="364">
        <f t="shared" ca="1" si="470"/>
        <v>0</v>
      </c>
      <c r="BG256" s="358">
        <f t="shared" ca="1" si="470"/>
        <v>0</v>
      </c>
      <c r="BH256" s="359">
        <f t="shared" ca="1" si="458"/>
        <v>0</v>
      </c>
      <c r="BI256" s="360">
        <f t="shared" ca="1" si="446"/>
        <v>0</v>
      </c>
      <c r="BJ256" s="364">
        <f t="shared" ca="1" si="471"/>
        <v>0</v>
      </c>
      <c r="BK256" s="358">
        <f t="shared" ca="1" si="471"/>
        <v>0</v>
      </c>
      <c r="BL256" s="359">
        <f t="shared" ca="1" si="459"/>
        <v>0</v>
      </c>
      <c r="BM256" s="360">
        <f t="shared" ca="1" si="447"/>
        <v>0</v>
      </c>
      <c r="BN256" s="360">
        <f t="shared" ca="1" si="447"/>
        <v>0</v>
      </c>
      <c r="BP256" s="246"/>
    </row>
    <row r="257" spans="1:68">
      <c r="A257" s="221" t="str">
        <f t="shared" ca="1" si="434"/>
        <v>WP008</v>
      </c>
      <c r="B257" s="221" t="str">
        <f t="shared" ca="1" si="435"/>
        <v>WP008</v>
      </c>
      <c r="C257" s="221">
        <v>6</v>
      </c>
      <c r="D257" s="221" t="s">
        <v>89</v>
      </c>
      <c r="J257" s="222" t="s">
        <v>75</v>
      </c>
      <c r="M257" s="221" t="s">
        <v>80</v>
      </c>
      <c r="N257" s="461"/>
      <c r="O257" s="250"/>
      <c r="P257" s="458" t="s">
        <v>90</v>
      </c>
      <c r="Q257" s="456"/>
      <c r="R257" s="364">
        <f t="shared" ca="1" si="460"/>
        <v>0</v>
      </c>
      <c r="S257" s="358">
        <f t="shared" ca="1" si="460"/>
        <v>0</v>
      </c>
      <c r="T257" s="359">
        <f t="shared" ca="1" si="448"/>
        <v>0</v>
      </c>
      <c r="U257" s="360">
        <f t="shared" ca="1" si="436"/>
        <v>0</v>
      </c>
      <c r="V257" s="364">
        <f t="shared" ca="1" si="461"/>
        <v>0</v>
      </c>
      <c r="W257" s="358">
        <f t="shared" ca="1" si="461"/>
        <v>0</v>
      </c>
      <c r="X257" s="359">
        <f t="shared" ca="1" si="449"/>
        <v>0</v>
      </c>
      <c r="Y257" s="360">
        <f t="shared" ca="1" si="437"/>
        <v>0</v>
      </c>
      <c r="Z257" s="364">
        <f t="shared" ca="1" si="462"/>
        <v>0</v>
      </c>
      <c r="AA257" s="358">
        <f t="shared" ca="1" si="462"/>
        <v>0</v>
      </c>
      <c r="AB257" s="359">
        <f t="shared" ca="1" si="450"/>
        <v>0</v>
      </c>
      <c r="AC257" s="360">
        <f t="shared" ca="1" si="438"/>
        <v>0</v>
      </c>
      <c r="AD257" s="364">
        <f t="shared" ca="1" si="463"/>
        <v>0</v>
      </c>
      <c r="AE257" s="358">
        <f t="shared" ca="1" si="463"/>
        <v>0</v>
      </c>
      <c r="AF257" s="359">
        <f t="shared" ca="1" si="451"/>
        <v>0</v>
      </c>
      <c r="AG257" s="360">
        <f t="shared" ca="1" si="439"/>
        <v>0</v>
      </c>
      <c r="AH257" s="364">
        <f t="shared" ca="1" si="464"/>
        <v>0</v>
      </c>
      <c r="AI257" s="358">
        <f t="shared" ca="1" si="464"/>
        <v>0</v>
      </c>
      <c r="AJ257" s="359">
        <f t="shared" ca="1" si="452"/>
        <v>0</v>
      </c>
      <c r="AK257" s="360">
        <f t="shared" ca="1" si="440"/>
        <v>0</v>
      </c>
      <c r="AL257" s="364">
        <f t="shared" ca="1" si="465"/>
        <v>0</v>
      </c>
      <c r="AM257" s="358">
        <f t="shared" ca="1" si="465"/>
        <v>0</v>
      </c>
      <c r="AN257" s="359">
        <f t="shared" ca="1" si="453"/>
        <v>0</v>
      </c>
      <c r="AO257" s="360">
        <f t="shared" ca="1" si="441"/>
        <v>0</v>
      </c>
      <c r="AP257" s="364">
        <f t="shared" ca="1" si="466"/>
        <v>0</v>
      </c>
      <c r="AQ257" s="358">
        <f t="shared" ca="1" si="466"/>
        <v>0</v>
      </c>
      <c r="AR257" s="359">
        <f t="shared" ca="1" si="454"/>
        <v>0</v>
      </c>
      <c r="AS257" s="360">
        <f t="shared" ca="1" si="442"/>
        <v>0</v>
      </c>
      <c r="AT257" s="364">
        <f t="shared" ca="1" si="467"/>
        <v>0</v>
      </c>
      <c r="AU257" s="358">
        <f t="shared" ca="1" si="467"/>
        <v>0</v>
      </c>
      <c r="AV257" s="359">
        <f t="shared" ca="1" si="455"/>
        <v>0</v>
      </c>
      <c r="AW257" s="360">
        <f t="shared" ca="1" si="443"/>
        <v>0</v>
      </c>
      <c r="AX257" s="364">
        <f t="shared" ca="1" si="468"/>
        <v>0</v>
      </c>
      <c r="AY257" s="358">
        <f t="shared" ca="1" si="468"/>
        <v>0</v>
      </c>
      <c r="AZ257" s="359">
        <f t="shared" ca="1" si="456"/>
        <v>0</v>
      </c>
      <c r="BA257" s="360">
        <f t="shared" ca="1" si="444"/>
        <v>0</v>
      </c>
      <c r="BB257" s="364">
        <f t="shared" ca="1" si="469"/>
        <v>0</v>
      </c>
      <c r="BC257" s="358">
        <f t="shared" ca="1" si="469"/>
        <v>0</v>
      </c>
      <c r="BD257" s="359">
        <f t="shared" ca="1" si="457"/>
        <v>0</v>
      </c>
      <c r="BE257" s="360">
        <f t="shared" ca="1" si="445"/>
        <v>0</v>
      </c>
      <c r="BF257" s="364">
        <f t="shared" ca="1" si="470"/>
        <v>0</v>
      </c>
      <c r="BG257" s="358">
        <f t="shared" ca="1" si="470"/>
        <v>0</v>
      </c>
      <c r="BH257" s="359">
        <f t="shared" ca="1" si="458"/>
        <v>0</v>
      </c>
      <c r="BI257" s="360">
        <f t="shared" ca="1" si="446"/>
        <v>0</v>
      </c>
      <c r="BJ257" s="364">
        <f t="shared" ca="1" si="471"/>
        <v>0</v>
      </c>
      <c r="BK257" s="358">
        <f t="shared" ca="1" si="471"/>
        <v>0</v>
      </c>
      <c r="BL257" s="359">
        <f t="shared" ca="1" si="459"/>
        <v>0</v>
      </c>
      <c r="BM257" s="360">
        <f t="shared" ca="1" si="447"/>
        <v>0</v>
      </c>
      <c r="BN257" s="360">
        <f t="shared" ca="1" si="447"/>
        <v>0</v>
      </c>
      <c r="BP257" s="246"/>
    </row>
    <row r="258" spans="1:68">
      <c r="A258" s="221" t="str">
        <f t="shared" ca="1" si="434"/>
        <v>WP008</v>
      </c>
      <c r="B258" s="221" t="str">
        <f t="shared" ca="1" si="435"/>
        <v>WP008</v>
      </c>
      <c r="C258" s="221">
        <v>6</v>
      </c>
      <c r="D258" s="221" t="s">
        <v>91</v>
      </c>
      <c r="J258" s="222" t="s">
        <v>75</v>
      </c>
      <c r="M258" s="221" t="s">
        <v>80</v>
      </c>
      <c r="N258" s="461"/>
      <c r="O258" s="250"/>
      <c r="P258" s="458" t="s">
        <v>92</v>
      </c>
      <c r="Q258" s="456"/>
      <c r="R258" s="364">
        <f t="shared" ca="1" si="460"/>
        <v>0</v>
      </c>
      <c r="S258" s="358">
        <f t="shared" ca="1" si="460"/>
        <v>0</v>
      </c>
      <c r="T258" s="359">
        <f t="shared" ca="1" si="448"/>
        <v>0</v>
      </c>
      <c r="U258" s="360">
        <f t="shared" ca="1" si="436"/>
        <v>0</v>
      </c>
      <c r="V258" s="364">
        <f t="shared" ca="1" si="461"/>
        <v>0</v>
      </c>
      <c r="W258" s="358">
        <f t="shared" ca="1" si="461"/>
        <v>0</v>
      </c>
      <c r="X258" s="359">
        <f t="shared" ca="1" si="449"/>
        <v>0</v>
      </c>
      <c r="Y258" s="360">
        <f t="shared" ca="1" si="437"/>
        <v>0</v>
      </c>
      <c r="Z258" s="364">
        <f t="shared" ca="1" si="462"/>
        <v>0</v>
      </c>
      <c r="AA258" s="358">
        <f t="shared" ca="1" si="462"/>
        <v>0</v>
      </c>
      <c r="AB258" s="359">
        <f t="shared" ca="1" si="450"/>
        <v>0</v>
      </c>
      <c r="AC258" s="360">
        <f t="shared" ca="1" si="438"/>
        <v>0</v>
      </c>
      <c r="AD258" s="364">
        <f t="shared" ca="1" si="463"/>
        <v>0</v>
      </c>
      <c r="AE258" s="358">
        <f t="shared" ca="1" si="463"/>
        <v>0</v>
      </c>
      <c r="AF258" s="359">
        <f t="shared" ca="1" si="451"/>
        <v>0</v>
      </c>
      <c r="AG258" s="360">
        <f t="shared" ca="1" si="439"/>
        <v>0</v>
      </c>
      <c r="AH258" s="364">
        <f t="shared" ca="1" si="464"/>
        <v>0</v>
      </c>
      <c r="AI258" s="358">
        <f t="shared" ca="1" si="464"/>
        <v>0</v>
      </c>
      <c r="AJ258" s="359">
        <f t="shared" ca="1" si="452"/>
        <v>0</v>
      </c>
      <c r="AK258" s="360">
        <f t="shared" ca="1" si="440"/>
        <v>0</v>
      </c>
      <c r="AL258" s="364">
        <f t="shared" ca="1" si="465"/>
        <v>0</v>
      </c>
      <c r="AM258" s="358">
        <f t="shared" ca="1" si="465"/>
        <v>0</v>
      </c>
      <c r="AN258" s="359">
        <f t="shared" ca="1" si="453"/>
        <v>0</v>
      </c>
      <c r="AO258" s="360">
        <f t="shared" ca="1" si="441"/>
        <v>0</v>
      </c>
      <c r="AP258" s="364">
        <f t="shared" ca="1" si="466"/>
        <v>0</v>
      </c>
      <c r="AQ258" s="358">
        <f t="shared" ca="1" si="466"/>
        <v>0</v>
      </c>
      <c r="AR258" s="359">
        <f t="shared" ca="1" si="454"/>
        <v>0</v>
      </c>
      <c r="AS258" s="360">
        <f t="shared" ca="1" si="442"/>
        <v>0</v>
      </c>
      <c r="AT258" s="364">
        <f t="shared" ca="1" si="467"/>
        <v>0</v>
      </c>
      <c r="AU258" s="358">
        <f t="shared" ca="1" si="467"/>
        <v>0</v>
      </c>
      <c r="AV258" s="359">
        <f t="shared" ca="1" si="455"/>
        <v>0</v>
      </c>
      <c r="AW258" s="360">
        <f t="shared" ca="1" si="443"/>
        <v>0</v>
      </c>
      <c r="AX258" s="364">
        <f t="shared" ca="1" si="468"/>
        <v>0</v>
      </c>
      <c r="AY258" s="358">
        <f t="shared" ca="1" si="468"/>
        <v>0</v>
      </c>
      <c r="AZ258" s="359">
        <f t="shared" ca="1" si="456"/>
        <v>0</v>
      </c>
      <c r="BA258" s="360">
        <f t="shared" ca="1" si="444"/>
        <v>0</v>
      </c>
      <c r="BB258" s="364">
        <f t="shared" ca="1" si="469"/>
        <v>0</v>
      </c>
      <c r="BC258" s="358">
        <f t="shared" ca="1" si="469"/>
        <v>0</v>
      </c>
      <c r="BD258" s="359">
        <f t="shared" ca="1" si="457"/>
        <v>0</v>
      </c>
      <c r="BE258" s="360">
        <f t="shared" ca="1" si="445"/>
        <v>0</v>
      </c>
      <c r="BF258" s="364">
        <f t="shared" ca="1" si="470"/>
        <v>0</v>
      </c>
      <c r="BG258" s="358">
        <f t="shared" ca="1" si="470"/>
        <v>0</v>
      </c>
      <c r="BH258" s="359">
        <f t="shared" ca="1" si="458"/>
        <v>0</v>
      </c>
      <c r="BI258" s="360">
        <f t="shared" ca="1" si="446"/>
        <v>0</v>
      </c>
      <c r="BJ258" s="364">
        <f t="shared" ca="1" si="471"/>
        <v>0</v>
      </c>
      <c r="BK258" s="358">
        <f t="shared" ca="1" si="471"/>
        <v>0</v>
      </c>
      <c r="BL258" s="359">
        <f t="shared" ca="1" si="459"/>
        <v>0</v>
      </c>
      <c r="BM258" s="360">
        <f t="shared" ca="1" si="447"/>
        <v>0</v>
      </c>
      <c r="BN258" s="360">
        <f t="shared" ca="1" si="447"/>
        <v>0</v>
      </c>
    </row>
    <row r="259" spans="1:68">
      <c r="A259" s="221" t="str">
        <f t="shared" ca="1" si="434"/>
        <v>WP008</v>
      </c>
      <c r="B259" s="221" t="str">
        <f t="shared" ca="1" si="435"/>
        <v>WP008</v>
      </c>
      <c r="C259" s="221">
        <v>4</v>
      </c>
      <c r="D259" s="221" t="s">
        <v>93</v>
      </c>
      <c r="H259" s="221" t="s">
        <v>74</v>
      </c>
      <c r="I259" s="221" t="s">
        <v>94</v>
      </c>
      <c r="M259" s="221" t="s">
        <v>80</v>
      </c>
      <c r="N259" s="461"/>
      <c r="O259" s="452" t="s">
        <v>65</v>
      </c>
      <c r="P259" s="453"/>
      <c r="Q259" s="453"/>
      <c r="R259" s="365">
        <f t="shared" ca="1" si="460"/>
        <v>0</v>
      </c>
      <c r="S259" s="354">
        <f t="shared" ca="1" si="460"/>
        <v>0</v>
      </c>
      <c r="T259" s="355">
        <f t="shared" ca="1" si="448"/>
        <v>0</v>
      </c>
      <c r="U259" s="356">
        <f t="shared" ca="1" si="436"/>
        <v>0</v>
      </c>
      <c r="V259" s="365">
        <f t="shared" ca="1" si="461"/>
        <v>0</v>
      </c>
      <c r="W259" s="354">
        <f t="shared" ca="1" si="461"/>
        <v>0</v>
      </c>
      <c r="X259" s="355">
        <f t="shared" ca="1" si="449"/>
        <v>0</v>
      </c>
      <c r="Y259" s="356">
        <f t="shared" ca="1" si="437"/>
        <v>0</v>
      </c>
      <c r="Z259" s="365">
        <f t="shared" ca="1" si="462"/>
        <v>0</v>
      </c>
      <c r="AA259" s="354">
        <f t="shared" ca="1" si="462"/>
        <v>0</v>
      </c>
      <c r="AB259" s="355">
        <f t="shared" ca="1" si="450"/>
        <v>0</v>
      </c>
      <c r="AC259" s="356">
        <f t="shared" ca="1" si="438"/>
        <v>0</v>
      </c>
      <c r="AD259" s="365">
        <f t="shared" ca="1" si="463"/>
        <v>0</v>
      </c>
      <c r="AE259" s="354">
        <f t="shared" ca="1" si="463"/>
        <v>0</v>
      </c>
      <c r="AF259" s="355">
        <f t="shared" ca="1" si="451"/>
        <v>0</v>
      </c>
      <c r="AG259" s="356">
        <f t="shared" ca="1" si="439"/>
        <v>0</v>
      </c>
      <c r="AH259" s="365">
        <f t="shared" ca="1" si="464"/>
        <v>0</v>
      </c>
      <c r="AI259" s="354">
        <f t="shared" ca="1" si="464"/>
        <v>0</v>
      </c>
      <c r="AJ259" s="355">
        <f t="shared" ca="1" si="452"/>
        <v>0</v>
      </c>
      <c r="AK259" s="356">
        <f t="shared" ca="1" si="440"/>
        <v>0</v>
      </c>
      <c r="AL259" s="365">
        <f t="shared" ca="1" si="465"/>
        <v>0</v>
      </c>
      <c r="AM259" s="354">
        <f t="shared" ca="1" si="465"/>
        <v>0</v>
      </c>
      <c r="AN259" s="355">
        <f t="shared" ca="1" si="453"/>
        <v>0</v>
      </c>
      <c r="AO259" s="356">
        <f t="shared" ca="1" si="441"/>
        <v>0</v>
      </c>
      <c r="AP259" s="365">
        <f t="shared" ca="1" si="466"/>
        <v>0</v>
      </c>
      <c r="AQ259" s="354">
        <f t="shared" ca="1" si="466"/>
        <v>0</v>
      </c>
      <c r="AR259" s="355">
        <f t="shared" ca="1" si="454"/>
        <v>0</v>
      </c>
      <c r="AS259" s="356">
        <f t="shared" ca="1" si="442"/>
        <v>0</v>
      </c>
      <c r="AT259" s="365">
        <f t="shared" ca="1" si="467"/>
        <v>0</v>
      </c>
      <c r="AU259" s="354">
        <f t="shared" ca="1" si="467"/>
        <v>0</v>
      </c>
      <c r="AV259" s="355">
        <f t="shared" ca="1" si="455"/>
        <v>0</v>
      </c>
      <c r="AW259" s="356">
        <f t="shared" ca="1" si="443"/>
        <v>0</v>
      </c>
      <c r="AX259" s="365">
        <f t="shared" ca="1" si="468"/>
        <v>0</v>
      </c>
      <c r="AY259" s="354">
        <f t="shared" ca="1" si="468"/>
        <v>0</v>
      </c>
      <c r="AZ259" s="355">
        <f t="shared" ca="1" si="456"/>
        <v>0</v>
      </c>
      <c r="BA259" s="356">
        <f t="shared" ca="1" si="444"/>
        <v>0</v>
      </c>
      <c r="BB259" s="365">
        <f t="shared" ca="1" si="469"/>
        <v>0</v>
      </c>
      <c r="BC259" s="354">
        <f t="shared" ca="1" si="469"/>
        <v>0</v>
      </c>
      <c r="BD259" s="355">
        <f t="shared" ca="1" si="457"/>
        <v>0</v>
      </c>
      <c r="BE259" s="356">
        <f t="shared" ca="1" si="445"/>
        <v>0</v>
      </c>
      <c r="BF259" s="365">
        <f t="shared" ca="1" si="470"/>
        <v>0</v>
      </c>
      <c r="BG259" s="354">
        <f t="shared" ca="1" si="470"/>
        <v>0</v>
      </c>
      <c r="BH259" s="355">
        <f t="shared" ca="1" si="458"/>
        <v>0</v>
      </c>
      <c r="BI259" s="356">
        <f t="shared" ca="1" si="446"/>
        <v>0</v>
      </c>
      <c r="BJ259" s="365">
        <f t="shared" ca="1" si="471"/>
        <v>0</v>
      </c>
      <c r="BK259" s="354">
        <f t="shared" ca="1" si="471"/>
        <v>0</v>
      </c>
      <c r="BL259" s="355">
        <f t="shared" ca="1" si="459"/>
        <v>0</v>
      </c>
      <c r="BM259" s="356">
        <f t="shared" ca="1" si="447"/>
        <v>0</v>
      </c>
      <c r="BN259" s="356">
        <f t="shared" ca="1" si="447"/>
        <v>0</v>
      </c>
    </row>
    <row r="260" spans="1:68">
      <c r="A260" s="221" t="str">
        <f t="shared" ca="1" si="434"/>
        <v>WP008</v>
      </c>
      <c r="B260" s="221" t="str">
        <f t="shared" ca="1" si="435"/>
        <v>WP008</v>
      </c>
      <c r="C260" s="221">
        <v>4</v>
      </c>
      <c r="D260" s="221" t="s">
        <v>95</v>
      </c>
      <c r="H260" s="221" t="s">
        <v>74</v>
      </c>
      <c r="I260" s="221" t="s">
        <v>96</v>
      </c>
      <c r="M260" s="221" t="s">
        <v>46</v>
      </c>
      <c r="N260" s="461"/>
      <c r="O260" s="452" t="s">
        <v>97</v>
      </c>
      <c r="P260" s="453"/>
      <c r="Q260" s="453"/>
      <c r="R260" s="353"/>
      <c r="S260" s="354"/>
      <c r="T260" s="355">
        <f t="shared" ca="1" si="448"/>
        <v>0</v>
      </c>
      <c r="U260" s="356">
        <f t="shared" ca="1" si="436"/>
        <v>0</v>
      </c>
      <c r="V260" s="353"/>
      <c r="W260" s="354"/>
      <c r="X260" s="355">
        <f t="shared" ca="1" si="449"/>
        <v>0</v>
      </c>
      <c r="Y260" s="356">
        <f t="shared" ca="1" si="437"/>
        <v>0</v>
      </c>
      <c r="Z260" s="353"/>
      <c r="AA260" s="354"/>
      <c r="AB260" s="355">
        <f t="shared" ca="1" si="450"/>
        <v>0</v>
      </c>
      <c r="AC260" s="356">
        <f t="shared" ca="1" si="438"/>
        <v>0</v>
      </c>
      <c r="AD260" s="353"/>
      <c r="AE260" s="354"/>
      <c r="AF260" s="355">
        <f t="shared" ca="1" si="451"/>
        <v>0</v>
      </c>
      <c r="AG260" s="356">
        <f t="shared" ca="1" si="439"/>
        <v>0</v>
      </c>
      <c r="AH260" s="353"/>
      <c r="AI260" s="354"/>
      <c r="AJ260" s="355">
        <f t="shared" ca="1" si="452"/>
        <v>0</v>
      </c>
      <c r="AK260" s="356">
        <f t="shared" ca="1" si="440"/>
        <v>0</v>
      </c>
      <c r="AL260" s="353"/>
      <c r="AM260" s="354"/>
      <c r="AN260" s="355">
        <f t="shared" ca="1" si="453"/>
        <v>0</v>
      </c>
      <c r="AO260" s="356">
        <f t="shared" ca="1" si="441"/>
        <v>0</v>
      </c>
      <c r="AP260" s="353"/>
      <c r="AQ260" s="354"/>
      <c r="AR260" s="355">
        <f t="shared" ca="1" si="454"/>
        <v>0</v>
      </c>
      <c r="AS260" s="356">
        <f t="shared" ca="1" si="442"/>
        <v>0</v>
      </c>
      <c r="AT260" s="353"/>
      <c r="AU260" s="354"/>
      <c r="AV260" s="355">
        <f t="shared" ca="1" si="455"/>
        <v>0</v>
      </c>
      <c r="AW260" s="356">
        <f t="shared" ca="1" si="443"/>
        <v>0</v>
      </c>
      <c r="AX260" s="353"/>
      <c r="AY260" s="354"/>
      <c r="AZ260" s="355">
        <f t="shared" ca="1" si="456"/>
        <v>0</v>
      </c>
      <c r="BA260" s="356">
        <f t="shared" ca="1" si="444"/>
        <v>0</v>
      </c>
      <c r="BB260" s="353"/>
      <c r="BC260" s="354"/>
      <c r="BD260" s="355">
        <f t="shared" ca="1" si="457"/>
        <v>0</v>
      </c>
      <c r="BE260" s="356">
        <f t="shared" ca="1" si="445"/>
        <v>0</v>
      </c>
      <c r="BF260" s="353"/>
      <c r="BG260" s="354"/>
      <c r="BH260" s="355">
        <f t="shared" ca="1" si="458"/>
        <v>0</v>
      </c>
      <c r="BI260" s="356">
        <f t="shared" ca="1" si="446"/>
        <v>0</v>
      </c>
      <c r="BJ260" s="353"/>
      <c r="BK260" s="354"/>
      <c r="BL260" s="355">
        <f t="shared" ca="1" si="459"/>
        <v>0</v>
      </c>
      <c r="BM260" s="356">
        <f t="shared" ca="1" si="447"/>
        <v>0</v>
      </c>
      <c r="BN260" s="356">
        <f t="shared" ca="1" si="447"/>
        <v>0</v>
      </c>
    </row>
    <row r="261" spans="1:68">
      <c r="A261" s="221" t="str">
        <f t="shared" ca="1" si="434"/>
        <v>WP008</v>
      </c>
      <c r="B261" s="221" t="str">
        <f t="shared" ca="1" si="435"/>
        <v>WP008</v>
      </c>
      <c r="C261" s="221">
        <v>6</v>
      </c>
      <c r="D261" s="221" t="s">
        <v>98</v>
      </c>
      <c r="J261" s="222" t="s">
        <v>96</v>
      </c>
      <c r="K261" s="221" t="s">
        <v>99</v>
      </c>
      <c r="M261" s="221" t="s">
        <v>46</v>
      </c>
      <c r="N261" s="461"/>
      <c r="O261" s="251"/>
      <c r="P261" s="456" t="s">
        <v>100</v>
      </c>
      <c r="Q261" s="456"/>
      <c r="R261" s="357"/>
      <c r="S261" s="358"/>
      <c r="T261" s="359">
        <f t="shared" ca="1" si="448"/>
        <v>0</v>
      </c>
      <c r="U261" s="360">
        <f t="shared" ca="1" si="436"/>
        <v>0</v>
      </c>
      <c r="V261" s="357"/>
      <c r="W261" s="358"/>
      <c r="X261" s="359">
        <f t="shared" ca="1" si="449"/>
        <v>0</v>
      </c>
      <c r="Y261" s="360">
        <f t="shared" ca="1" si="437"/>
        <v>0</v>
      </c>
      <c r="Z261" s="357"/>
      <c r="AA261" s="358"/>
      <c r="AB261" s="359">
        <f t="shared" ca="1" si="450"/>
        <v>0</v>
      </c>
      <c r="AC261" s="360">
        <f t="shared" ca="1" si="438"/>
        <v>0</v>
      </c>
      <c r="AD261" s="357"/>
      <c r="AE261" s="358"/>
      <c r="AF261" s="359">
        <f t="shared" ca="1" si="451"/>
        <v>0</v>
      </c>
      <c r="AG261" s="360">
        <f t="shared" ca="1" si="439"/>
        <v>0</v>
      </c>
      <c r="AH261" s="357"/>
      <c r="AI261" s="358"/>
      <c r="AJ261" s="359">
        <f t="shared" ca="1" si="452"/>
        <v>0</v>
      </c>
      <c r="AK261" s="360">
        <f t="shared" ca="1" si="440"/>
        <v>0</v>
      </c>
      <c r="AL261" s="357"/>
      <c r="AM261" s="358"/>
      <c r="AN261" s="359">
        <f t="shared" ca="1" si="453"/>
        <v>0</v>
      </c>
      <c r="AO261" s="360">
        <f t="shared" ca="1" si="441"/>
        <v>0</v>
      </c>
      <c r="AP261" s="357"/>
      <c r="AQ261" s="358"/>
      <c r="AR261" s="359">
        <f t="shared" ca="1" si="454"/>
        <v>0</v>
      </c>
      <c r="AS261" s="360">
        <f t="shared" ca="1" si="442"/>
        <v>0</v>
      </c>
      <c r="AT261" s="357"/>
      <c r="AU261" s="358"/>
      <c r="AV261" s="359">
        <f t="shared" ca="1" si="455"/>
        <v>0</v>
      </c>
      <c r="AW261" s="360">
        <f t="shared" ca="1" si="443"/>
        <v>0</v>
      </c>
      <c r="AX261" s="357"/>
      <c r="AY261" s="358"/>
      <c r="AZ261" s="359">
        <f t="shared" ca="1" si="456"/>
        <v>0</v>
      </c>
      <c r="BA261" s="360">
        <f t="shared" ca="1" si="444"/>
        <v>0</v>
      </c>
      <c r="BB261" s="357"/>
      <c r="BC261" s="358"/>
      <c r="BD261" s="359">
        <f t="shared" ca="1" si="457"/>
        <v>0</v>
      </c>
      <c r="BE261" s="360">
        <f t="shared" ca="1" si="445"/>
        <v>0</v>
      </c>
      <c r="BF261" s="357"/>
      <c r="BG261" s="358"/>
      <c r="BH261" s="359">
        <f t="shared" ca="1" si="458"/>
        <v>0</v>
      </c>
      <c r="BI261" s="360">
        <f t="shared" ca="1" si="446"/>
        <v>0</v>
      </c>
      <c r="BJ261" s="357"/>
      <c r="BK261" s="358"/>
      <c r="BL261" s="359">
        <f t="shared" ca="1" si="459"/>
        <v>0</v>
      </c>
      <c r="BM261" s="360">
        <f t="shared" ca="1" si="447"/>
        <v>0</v>
      </c>
      <c r="BN261" s="360">
        <f t="shared" ca="1" si="447"/>
        <v>0</v>
      </c>
    </row>
    <row r="262" spans="1:68">
      <c r="A262" s="221" t="str">
        <f t="shared" ca="1" si="434"/>
        <v>WP008</v>
      </c>
      <c r="B262" s="221" t="str">
        <f t="shared" ca="1" si="435"/>
        <v>WP008</v>
      </c>
      <c r="C262" s="221">
        <v>7</v>
      </c>
      <c r="D262" s="221" t="s">
        <v>101</v>
      </c>
      <c r="L262" s="221" t="s">
        <v>99</v>
      </c>
      <c r="M262" s="221" t="s">
        <v>80</v>
      </c>
      <c r="N262" s="461"/>
      <c r="O262" s="252"/>
      <c r="P262" s="253"/>
      <c r="Q262" s="254" t="s">
        <v>102</v>
      </c>
      <c r="R262" s="361">
        <f t="shared" ref="R262:S265" ca="1" si="472">INDIRECT("'"&amp; MID(OFFSET(R262,ROW(R$3)-ROW(R262),IF(OFFSET(R262,ROW(R$2)-ROW(R262),2)="T",0,IF(OFFSET(R262,ROW(R$2)-ROW(R262),1)="T",-1,-2))),1,6) &amp; "'!" &amp; ADDRESS(ROW(R262),MATCH(INDIRECT(ADDRESS(2,COLUMN(R262)+IF(OFFSET(R262,ROW(R$2)-ROW(R262),2)="T",1,IF(OFFSET(R262,ROW(R$2)-ROW(R262),1)="T",0,-1))),TRUE),INDIRECT("'"&amp; MID(OFFSET(R262,ROW(R$3)-ROW(R262),IF(OFFSET(R262,ROW(R$2)-ROW(R262),2)="T",0,IF(OFFSET(R262,ROW(R$2)-ROW(R262),1)="T",-1,-2))),1,6) &amp; "'!2:2",TRUE),0)-IF(OFFSET(R262,ROW(R$2)-ROW(R262),2)="T",1,IF(OFFSET(R262,ROW(R$2)-ROW(R262),1)="T",0,-1))),TRUE)</f>
        <v>0</v>
      </c>
      <c r="S262" s="362">
        <f t="shared" ca="1" si="472"/>
        <v>0</v>
      </c>
      <c r="T262" s="363">
        <f t="shared" ca="1" si="448"/>
        <v>0</v>
      </c>
      <c r="U262" s="360">
        <f t="shared" ca="1" si="436"/>
        <v>0</v>
      </c>
      <c r="V262" s="361">
        <f t="shared" ref="V262:W265" ca="1" si="473">INDIRECT("'"&amp; MID(OFFSET(V262,ROW(V$3)-ROW(V262),IF(OFFSET(V262,ROW(V$2)-ROW(V262),2)="T",0,IF(OFFSET(V262,ROW(V$2)-ROW(V262),1)="T",-1,-2))),1,6) &amp; "'!" &amp; ADDRESS(ROW(V262),MATCH(INDIRECT(ADDRESS(2,COLUMN(V262)+IF(OFFSET(V262,ROW(V$2)-ROW(V262),2)="T",1,IF(OFFSET(V262,ROW(V$2)-ROW(V262),1)="T",0,-1))),TRUE),INDIRECT("'"&amp; MID(OFFSET(V262,ROW(V$3)-ROW(V262),IF(OFFSET(V262,ROW(V$2)-ROW(V262),2)="T",0,IF(OFFSET(V262,ROW(V$2)-ROW(V262),1)="T",-1,-2))),1,6) &amp; "'!2:2",TRUE),0)-IF(OFFSET(V262,ROW(V$2)-ROW(V262),2)="T",1,IF(OFFSET(V262,ROW(V$2)-ROW(V262),1)="T",0,-1))),TRUE)</f>
        <v>0</v>
      </c>
      <c r="W262" s="362">
        <f t="shared" ca="1" si="473"/>
        <v>0</v>
      </c>
      <c r="X262" s="363">
        <f t="shared" ca="1" si="449"/>
        <v>0</v>
      </c>
      <c r="Y262" s="360">
        <f t="shared" ca="1" si="437"/>
        <v>0</v>
      </c>
      <c r="Z262" s="361">
        <f t="shared" ref="Z262:AA265" ca="1" si="474">INDIRECT("'"&amp; MID(OFFSET(Z262,ROW(Z$3)-ROW(Z262),IF(OFFSET(Z262,ROW(Z$2)-ROW(Z262),2)="T",0,IF(OFFSET(Z262,ROW(Z$2)-ROW(Z262),1)="T",-1,-2))),1,6) &amp; "'!" &amp; ADDRESS(ROW(Z262),MATCH(INDIRECT(ADDRESS(2,COLUMN(Z262)+IF(OFFSET(Z262,ROW(Z$2)-ROW(Z262),2)="T",1,IF(OFFSET(Z262,ROW(Z$2)-ROW(Z262),1)="T",0,-1))),TRUE),INDIRECT("'"&amp; MID(OFFSET(Z262,ROW(Z$3)-ROW(Z262),IF(OFFSET(Z262,ROW(Z$2)-ROW(Z262),2)="T",0,IF(OFFSET(Z262,ROW(Z$2)-ROW(Z262),1)="T",-1,-2))),1,6) &amp; "'!2:2",TRUE),0)-IF(OFFSET(Z262,ROW(Z$2)-ROW(Z262),2)="T",1,IF(OFFSET(Z262,ROW(Z$2)-ROW(Z262),1)="T",0,-1))),TRUE)</f>
        <v>0</v>
      </c>
      <c r="AA262" s="362">
        <f t="shared" ca="1" si="474"/>
        <v>0</v>
      </c>
      <c r="AB262" s="363">
        <f t="shared" ca="1" si="450"/>
        <v>0</v>
      </c>
      <c r="AC262" s="360">
        <f t="shared" ca="1" si="438"/>
        <v>0</v>
      </c>
      <c r="AD262" s="361">
        <f t="shared" ref="AD262:AE265" ca="1" si="475">INDIRECT("'"&amp; MID(OFFSET(AD262,ROW(AD$3)-ROW(AD262),IF(OFFSET(AD262,ROW(AD$2)-ROW(AD262),2)="T",0,IF(OFFSET(AD262,ROW(AD$2)-ROW(AD262),1)="T",-1,-2))),1,6) &amp; "'!" &amp; ADDRESS(ROW(AD262),MATCH(INDIRECT(ADDRESS(2,COLUMN(AD262)+IF(OFFSET(AD262,ROW(AD$2)-ROW(AD262),2)="T",1,IF(OFFSET(AD262,ROW(AD$2)-ROW(AD262),1)="T",0,-1))),TRUE),INDIRECT("'"&amp; MID(OFFSET(AD262,ROW(AD$3)-ROW(AD262),IF(OFFSET(AD262,ROW(AD$2)-ROW(AD262),2)="T",0,IF(OFFSET(AD262,ROW(AD$2)-ROW(AD262),1)="T",-1,-2))),1,6) &amp; "'!2:2",TRUE),0)-IF(OFFSET(AD262,ROW(AD$2)-ROW(AD262),2)="T",1,IF(OFFSET(AD262,ROW(AD$2)-ROW(AD262),1)="T",0,-1))),TRUE)</f>
        <v>0</v>
      </c>
      <c r="AE262" s="362">
        <f t="shared" ca="1" si="475"/>
        <v>0</v>
      </c>
      <c r="AF262" s="363">
        <f t="shared" ca="1" si="451"/>
        <v>0</v>
      </c>
      <c r="AG262" s="360">
        <f t="shared" ca="1" si="439"/>
        <v>0</v>
      </c>
      <c r="AH262" s="361">
        <f t="shared" ref="AH262:AI265" ca="1" si="476">INDIRECT("'"&amp; MID(OFFSET(AH262,ROW(AH$3)-ROW(AH262),IF(OFFSET(AH262,ROW(AH$2)-ROW(AH262),2)="T",0,IF(OFFSET(AH262,ROW(AH$2)-ROW(AH262),1)="T",-1,-2))),1,6) &amp; "'!" &amp; ADDRESS(ROW(AH262),MATCH(INDIRECT(ADDRESS(2,COLUMN(AH262)+IF(OFFSET(AH262,ROW(AH$2)-ROW(AH262),2)="T",1,IF(OFFSET(AH262,ROW(AH$2)-ROW(AH262),1)="T",0,-1))),TRUE),INDIRECT("'"&amp; MID(OFFSET(AH262,ROW(AH$3)-ROW(AH262),IF(OFFSET(AH262,ROW(AH$2)-ROW(AH262),2)="T",0,IF(OFFSET(AH262,ROW(AH$2)-ROW(AH262),1)="T",-1,-2))),1,6) &amp; "'!2:2",TRUE),0)-IF(OFFSET(AH262,ROW(AH$2)-ROW(AH262),2)="T",1,IF(OFFSET(AH262,ROW(AH$2)-ROW(AH262),1)="T",0,-1))),TRUE)</f>
        <v>0</v>
      </c>
      <c r="AI262" s="362">
        <f t="shared" ca="1" si="476"/>
        <v>0</v>
      </c>
      <c r="AJ262" s="363">
        <f t="shared" ca="1" si="452"/>
        <v>0</v>
      </c>
      <c r="AK262" s="360">
        <f t="shared" ca="1" si="440"/>
        <v>0</v>
      </c>
      <c r="AL262" s="361">
        <f t="shared" ref="AL262:AM265" ca="1" si="477">INDIRECT("'"&amp; MID(OFFSET(AL262,ROW(AL$3)-ROW(AL262),IF(OFFSET(AL262,ROW(AL$2)-ROW(AL262),2)="T",0,IF(OFFSET(AL262,ROW(AL$2)-ROW(AL262),1)="T",-1,-2))),1,6) &amp; "'!" &amp; ADDRESS(ROW(AL262),MATCH(INDIRECT(ADDRESS(2,COLUMN(AL262)+IF(OFFSET(AL262,ROW(AL$2)-ROW(AL262),2)="T",1,IF(OFFSET(AL262,ROW(AL$2)-ROW(AL262),1)="T",0,-1))),TRUE),INDIRECT("'"&amp; MID(OFFSET(AL262,ROW(AL$3)-ROW(AL262),IF(OFFSET(AL262,ROW(AL$2)-ROW(AL262),2)="T",0,IF(OFFSET(AL262,ROW(AL$2)-ROW(AL262),1)="T",-1,-2))),1,6) &amp; "'!2:2",TRUE),0)-IF(OFFSET(AL262,ROW(AL$2)-ROW(AL262),2)="T",1,IF(OFFSET(AL262,ROW(AL$2)-ROW(AL262),1)="T",0,-1))),TRUE)</f>
        <v>0</v>
      </c>
      <c r="AM262" s="362">
        <f t="shared" ca="1" si="477"/>
        <v>0</v>
      </c>
      <c r="AN262" s="363">
        <f t="shared" ca="1" si="453"/>
        <v>0</v>
      </c>
      <c r="AO262" s="360">
        <f t="shared" ca="1" si="441"/>
        <v>0</v>
      </c>
      <c r="AP262" s="361">
        <f t="shared" ref="AP262:AQ265" ca="1" si="478">INDIRECT("'"&amp; MID(OFFSET(AP262,ROW(AP$3)-ROW(AP262),IF(OFFSET(AP262,ROW(AP$2)-ROW(AP262),2)="T",0,IF(OFFSET(AP262,ROW(AP$2)-ROW(AP262),1)="T",-1,-2))),1,6) &amp; "'!" &amp; ADDRESS(ROW(AP262),MATCH(INDIRECT(ADDRESS(2,COLUMN(AP262)+IF(OFFSET(AP262,ROW(AP$2)-ROW(AP262),2)="T",1,IF(OFFSET(AP262,ROW(AP$2)-ROW(AP262),1)="T",0,-1))),TRUE),INDIRECT("'"&amp; MID(OFFSET(AP262,ROW(AP$3)-ROW(AP262),IF(OFFSET(AP262,ROW(AP$2)-ROW(AP262),2)="T",0,IF(OFFSET(AP262,ROW(AP$2)-ROW(AP262),1)="T",-1,-2))),1,6) &amp; "'!2:2",TRUE),0)-IF(OFFSET(AP262,ROW(AP$2)-ROW(AP262),2)="T",1,IF(OFFSET(AP262,ROW(AP$2)-ROW(AP262),1)="T",0,-1))),TRUE)</f>
        <v>0</v>
      </c>
      <c r="AQ262" s="362">
        <f t="shared" ca="1" si="478"/>
        <v>0</v>
      </c>
      <c r="AR262" s="363">
        <f t="shared" ca="1" si="454"/>
        <v>0</v>
      </c>
      <c r="AS262" s="360">
        <f t="shared" ca="1" si="442"/>
        <v>0</v>
      </c>
      <c r="AT262" s="361">
        <f t="shared" ref="AT262:AU265" ca="1" si="479">INDIRECT("'"&amp; MID(OFFSET(AT262,ROW(AT$3)-ROW(AT262),IF(OFFSET(AT262,ROW(AT$2)-ROW(AT262),2)="T",0,IF(OFFSET(AT262,ROW(AT$2)-ROW(AT262),1)="T",-1,-2))),1,6) &amp; "'!" &amp; ADDRESS(ROW(AT262),MATCH(INDIRECT(ADDRESS(2,COLUMN(AT262)+IF(OFFSET(AT262,ROW(AT$2)-ROW(AT262),2)="T",1,IF(OFFSET(AT262,ROW(AT$2)-ROW(AT262),1)="T",0,-1))),TRUE),INDIRECT("'"&amp; MID(OFFSET(AT262,ROW(AT$3)-ROW(AT262),IF(OFFSET(AT262,ROW(AT$2)-ROW(AT262),2)="T",0,IF(OFFSET(AT262,ROW(AT$2)-ROW(AT262),1)="T",-1,-2))),1,6) &amp; "'!2:2",TRUE),0)-IF(OFFSET(AT262,ROW(AT$2)-ROW(AT262),2)="T",1,IF(OFFSET(AT262,ROW(AT$2)-ROW(AT262),1)="T",0,-1))),TRUE)</f>
        <v>0</v>
      </c>
      <c r="AU262" s="362">
        <f t="shared" ca="1" si="479"/>
        <v>0</v>
      </c>
      <c r="AV262" s="363">
        <f t="shared" ca="1" si="455"/>
        <v>0</v>
      </c>
      <c r="AW262" s="360">
        <f t="shared" ca="1" si="443"/>
        <v>0</v>
      </c>
      <c r="AX262" s="361">
        <f t="shared" ref="AX262:AY265" ca="1" si="480">INDIRECT("'"&amp; MID(OFFSET(AX262,ROW(AX$3)-ROW(AX262),IF(OFFSET(AX262,ROW(AX$2)-ROW(AX262),2)="T",0,IF(OFFSET(AX262,ROW(AX$2)-ROW(AX262),1)="T",-1,-2))),1,6) &amp; "'!" &amp; ADDRESS(ROW(AX262),MATCH(INDIRECT(ADDRESS(2,COLUMN(AX262)+IF(OFFSET(AX262,ROW(AX$2)-ROW(AX262),2)="T",1,IF(OFFSET(AX262,ROW(AX$2)-ROW(AX262),1)="T",0,-1))),TRUE),INDIRECT("'"&amp; MID(OFFSET(AX262,ROW(AX$3)-ROW(AX262),IF(OFFSET(AX262,ROW(AX$2)-ROW(AX262),2)="T",0,IF(OFFSET(AX262,ROW(AX$2)-ROW(AX262),1)="T",-1,-2))),1,6) &amp; "'!2:2",TRUE),0)-IF(OFFSET(AX262,ROW(AX$2)-ROW(AX262),2)="T",1,IF(OFFSET(AX262,ROW(AX$2)-ROW(AX262),1)="T",0,-1))),TRUE)</f>
        <v>0</v>
      </c>
      <c r="AY262" s="362">
        <f t="shared" ca="1" si="480"/>
        <v>0</v>
      </c>
      <c r="AZ262" s="363">
        <f t="shared" ca="1" si="456"/>
        <v>0</v>
      </c>
      <c r="BA262" s="360">
        <f t="shared" ca="1" si="444"/>
        <v>0</v>
      </c>
      <c r="BB262" s="361">
        <f t="shared" ref="BB262:BC265" ca="1" si="481">INDIRECT("'"&amp; MID(OFFSET(BB262,ROW(BB$3)-ROW(BB262),IF(OFFSET(BB262,ROW(BB$2)-ROW(BB262),2)="T",0,IF(OFFSET(BB262,ROW(BB$2)-ROW(BB262),1)="T",-1,-2))),1,6) &amp; "'!" &amp; ADDRESS(ROW(BB262),MATCH(INDIRECT(ADDRESS(2,COLUMN(BB262)+IF(OFFSET(BB262,ROW(BB$2)-ROW(BB262),2)="T",1,IF(OFFSET(BB262,ROW(BB$2)-ROW(BB262),1)="T",0,-1))),TRUE),INDIRECT("'"&amp; MID(OFFSET(BB262,ROW(BB$3)-ROW(BB262),IF(OFFSET(BB262,ROW(BB$2)-ROW(BB262),2)="T",0,IF(OFFSET(BB262,ROW(BB$2)-ROW(BB262),1)="T",-1,-2))),1,6) &amp; "'!2:2",TRUE),0)-IF(OFFSET(BB262,ROW(BB$2)-ROW(BB262),2)="T",1,IF(OFFSET(BB262,ROW(BB$2)-ROW(BB262),1)="T",0,-1))),TRUE)</f>
        <v>0</v>
      </c>
      <c r="BC262" s="362">
        <f t="shared" ca="1" si="481"/>
        <v>0</v>
      </c>
      <c r="BD262" s="363">
        <f t="shared" ca="1" si="457"/>
        <v>0</v>
      </c>
      <c r="BE262" s="360">
        <f t="shared" ca="1" si="445"/>
        <v>0</v>
      </c>
      <c r="BF262" s="361">
        <f t="shared" ref="BF262:BG265" ca="1" si="482">INDIRECT("'"&amp; MID(OFFSET(BF262,ROW(BF$3)-ROW(BF262),IF(OFFSET(BF262,ROW(BF$2)-ROW(BF262),2)="T",0,IF(OFFSET(BF262,ROW(BF$2)-ROW(BF262),1)="T",-1,-2))),1,6) &amp; "'!" &amp; ADDRESS(ROW(BF262),MATCH(INDIRECT(ADDRESS(2,COLUMN(BF262)+IF(OFFSET(BF262,ROW(BF$2)-ROW(BF262),2)="T",1,IF(OFFSET(BF262,ROW(BF$2)-ROW(BF262),1)="T",0,-1))),TRUE),INDIRECT("'"&amp; MID(OFFSET(BF262,ROW(BF$3)-ROW(BF262),IF(OFFSET(BF262,ROW(BF$2)-ROW(BF262),2)="T",0,IF(OFFSET(BF262,ROW(BF$2)-ROW(BF262),1)="T",-1,-2))),1,6) &amp; "'!2:2",TRUE),0)-IF(OFFSET(BF262,ROW(BF$2)-ROW(BF262),2)="T",1,IF(OFFSET(BF262,ROW(BF$2)-ROW(BF262),1)="T",0,-1))),TRUE)</f>
        <v>0</v>
      </c>
      <c r="BG262" s="362">
        <f t="shared" ca="1" si="482"/>
        <v>0</v>
      </c>
      <c r="BH262" s="363">
        <f t="shared" ca="1" si="458"/>
        <v>0</v>
      </c>
      <c r="BI262" s="360">
        <f t="shared" ca="1" si="446"/>
        <v>0</v>
      </c>
      <c r="BJ262" s="361">
        <f t="shared" ref="BJ262:BK265" ca="1" si="483">INDIRECT("'"&amp; MID(OFFSET(BJ262,ROW(BJ$3)-ROW(BJ262),IF(OFFSET(BJ262,ROW(BJ$2)-ROW(BJ262),2)="T",0,IF(OFFSET(BJ262,ROW(BJ$2)-ROW(BJ262),1)="T",-1,-2))),1,6) &amp; "'!" &amp; ADDRESS(ROW(BJ262),MATCH(INDIRECT(ADDRESS(2,COLUMN(BJ262)+IF(OFFSET(BJ262,ROW(BJ$2)-ROW(BJ262),2)="T",1,IF(OFFSET(BJ262,ROW(BJ$2)-ROW(BJ262),1)="T",0,-1))),TRUE),INDIRECT("'"&amp; MID(OFFSET(BJ262,ROW(BJ$3)-ROW(BJ262),IF(OFFSET(BJ262,ROW(BJ$2)-ROW(BJ262),2)="T",0,IF(OFFSET(BJ262,ROW(BJ$2)-ROW(BJ262),1)="T",-1,-2))),1,6) &amp; "'!2:2",TRUE),0)-IF(OFFSET(BJ262,ROW(BJ$2)-ROW(BJ262),2)="T",1,IF(OFFSET(BJ262,ROW(BJ$2)-ROW(BJ262),1)="T",0,-1))),TRUE)</f>
        <v>0</v>
      </c>
      <c r="BK262" s="362">
        <f t="shared" ca="1" si="483"/>
        <v>0</v>
      </c>
      <c r="BL262" s="363">
        <f t="shared" ca="1" si="459"/>
        <v>0</v>
      </c>
      <c r="BM262" s="360">
        <f t="shared" ca="1" si="447"/>
        <v>0</v>
      </c>
      <c r="BN262" s="360">
        <f t="shared" ca="1" si="447"/>
        <v>0</v>
      </c>
    </row>
    <row r="263" spans="1:68">
      <c r="A263" s="221" t="str">
        <f t="shared" ca="1" si="434"/>
        <v>WP008</v>
      </c>
      <c r="B263" s="221" t="str">
        <f t="shared" ca="1" si="435"/>
        <v>WP008</v>
      </c>
      <c r="C263" s="221">
        <v>7</v>
      </c>
      <c r="D263" s="221" t="s">
        <v>103</v>
      </c>
      <c r="L263" s="221" t="s">
        <v>99</v>
      </c>
      <c r="M263" s="221" t="s">
        <v>80</v>
      </c>
      <c r="N263" s="461"/>
      <c r="O263" s="252"/>
      <c r="P263" s="253"/>
      <c r="Q263" s="254" t="s">
        <v>104</v>
      </c>
      <c r="R263" s="361">
        <f t="shared" ca="1" si="472"/>
        <v>0</v>
      </c>
      <c r="S263" s="362">
        <f t="shared" ca="1" si="472"/>
        <v>0</v>
      </c>
      <c r="T263" s="363">
        <f t="shared" ca="1" si="448"/>
        <v>0</v>
      </c>
      <c r="U263" s="360">
        <f t="shared" ca="1" si="436"/>
        <v>0</v>
      </c>
      <c r="V263" s="361">
        <f t="shared" ca="1" si="473"/>
        <v>0</v>
      </c>
      <c r="W263" s="362">
        <f t="shared" ca="1" si="473"/>
        <v>0</v>
      </c>
      <c r="X263" s="363">
        <f t="shared" ca="1" si="449"/>
        <v>0</v>
      </c>
      <c r="Y263" s="360">
        <f t="shared" ca="1" si="437"/>
        <v>0</v>
      </c>
      <c r="Z263" s="361">
        <f t="shared" ca="1" si="474"/>
        <v>0</v>
      </c>
      <c r="AA263" s="362">
        <f t="shared" ca="1" si="474"/>
        <v>0</v>
      </c>
      <c r="AB263" s="363">
        <f t="shared" ca="1" si="450"/>
        <v>0</v>
      </c>
      <c r="AC263" s="360">
        <f t="shared" ca="1" si="438"/>
        <v>0</v>
      </c>
      <c r="AD263" s="361">
        <f t="shared" ca="1" si="475"/>
        <v>0</v>
      </c>
      <c r="AE263" s="362">
        <f t="shared" ca="1" si="475"/>
        <v>0</v>
      </c>
      <c r="AF263" s="363">
        <f t="shared" ca="1" si="451"/>
        <v>0</v>
      </c>
      <c r="AG263" s="360">
        <f t="shared" ca="1" si="439"/>
        <v>0</v>
      </c>
      <c r="AH263" s="361">
        <f t="shared" ca="1" si="476"/>
        <v>0</v>
      </c>
      <c r="AI263" s="362">
        <f t="shared" ca="1" si="476"/>
        <v>0</v>
      </c>
      <c r="AJ263" s="363">
        <f t="shared" ca="1" si="452"/>
        <v>0</v>
      </c>
      <c r="AK263" s="360">
        <f t="shared" ca="1" si="440"/>
        <v>0</v>
      </c>
      <c r="AL263" s="361">
        <f t="shared" ca="1" si="477"/>
        <v>0</v>
      </c>
      <c r="AM263" s="362">
        <f t="shared" ca="1" si="477"/>
        <v>0</v>
      </c>
      <c r="AN263" s="363">
        <f t="shared" ca="1" si="453"/>
        <v>0</v>
      </c>
      <c r="AO263" s="360">
        <f t="shared" ca="1" si="441"/>
        <v>0</v>
      </c>
      <c r="AP263" s="361">
        <f t="shared" ca="1" si="478"/>
        <v>0</v>
      </c>
      <c r="AQ263" s="362">
        <f t="shared" ca="1" si="478"/>
        <v>0</v>
      </c>
      <c r="AR263" s="363">
        <f t="shared" ca="1" si="454"/>
        <v>0</v>
      </c>
      <c r="AS263" s="360">
        <f t="shared" ca="1" si="442"/>
        <v>0</v>
      </c>
      <c r="AT263" s="361">
        <f t="shared" ca="1" si="479"/>
        <v>0</v>
      </c>
      <c r="AU263" s="362">
        <f t="shared" ca="1" si="479"/>
        <v>0</v>
      </c>
      <c r="AV263" s="363">
        <f t="shared" ca="1" si="455"/>
        <v>0</v>
      </c>
      <c r="AW263" s="360">
        <f t="shared" ca="1" si="443"/>
        <v>0</v>
      </c>
      <c r="AX263" s="361">
        <f t="shared" ca="1" si="480"/>
        <v>0</v>
      </c>
      <c r="AY263" s="362">
        <f t="shared" ca="1" si="480"/>
        <v>0</v>
      </c>
      <c r="AZ263" s="363">
        <f t="shared" ca="1" si="456"/>
        <v>0</v>
      </c>
      <c r="BA263" s="360">
        <f t="shared" ca="1" si="444"/>
        <v>0</v>
      </c>
      <c r="BB263" s="361">
        <f t="shared" ca="1" si="481"/>
        <v>0</v>
      </c>
      <c r="BC263" s="362">
        <f t="shared" ca="1" si="481"/>
        <v>0</v>
      </c>
      <c r="BD263" s="363">
        <f t="shared" ca="1" si="457"/>
        <v>0</v>
      </c>
      <c r="BE263" s="360">
        <f t="shared" ca="1" si="445"/>
        <v>0</v>
      </c>
      <c r="BF263" s="361">
        <f t="shared" ca="1" si="482"/>
        <v>0</v>
      </c>
      <c r="BG263" s="362">
        <f t="shared" ca="1" si="482"/>
        <v>0</v>
      </c>
      <c r="BH263" s="363">
        <f t="shared" ca="1" si="458"/>
        <v>0</v>
      </c>
      <c r="BI263" s="360">
        <f t="shared" ca="1" si="446"/>
        <v>0</v>
      </c>
      <c r="BJ263" s="361">
        <f t="shared" ca="1" si="483"/>
        <v>0</v>
      </c>
      <c r="BK263" s="362">
        <f t="shared" ca="1" si="483"/>
        <v>0</v>
      </c>
      <c r="BL263" s="363">
        <f t="shared" ca="1" si="459"/>
        <v>0</v>
      </c>
      <c r="BM263" s="360">
        <f t="shared" ca="1" si="447"/>
        <v>0</v>
      </c>
      <c r="BN263" s="360">
        <f t="shared" ca="1" si="447"/>
        <v>0</v>
      </c>
    </row>
    <row r="264" spans="1:68">
      <c r="A264" s="221" t="str">
        <f t="shared" ca="1" si="434"/>
        <v>WP008</v>
      </c>
      <c r="B264" s="221" t="str">
        <f t="shared" ca="1" si="435"/>
        <v>WP008</v>
      </c>
      <c r="C264" s="221">
        <v>7</v>
      </c>
      <c r="D264" s="221" t="s">
        <v>105</v>
      </c>
      <c r="L264" s="221" t="s">
        <v>99</v>
      </c>
      <c r="M264" s="221" t="s">
        <v>80</v>
      </c>
      <c r="N264" s="461"/>
      <c r="O264" s="252"/>
      <c r="P264" s="253"/>
      <c r="Q264" s="254" t="s">
        <v>106</v>
      </c>
      <c r="R264" s="361">
        <f t="shared" ca="1" si="472"/>
        <v>0</v>
      </c>
      <c r="S264" s="362">
        <f t="shared" ca="1" si="472"/>
        <v>0</v>
      </c>
      <c r="T264" s="363">
        <f t="shared" ca="1" si="448"/>
        <v>0</v>
      </c>
      <c r="U264" s="360">
        <f t="shared" ca="1" si="436"/>
        <v>0</v>
      </c>
      <c r="V264" s="361">
        <f t="shared" ca="1" si="473"/>
        <v>0</v>
      </c>
      <c r="W264" s="362">
        <f t="shared" ca="1" si="473"/>
        <v>0</v>
      </c>
      <c r="X264" s="363">
        <f t="shared" ca="1" si="449"/>
        <v>0</v>
      </c>
      <c r="Y264" s="360">
        <f t="shared" ca="1" si="437"/>
        <v>0</v>
      </c>
      <c r="Z264" s="361">
        <f t="shared" ca="1" si="474"/>
        <v>0</v>
      </c>
      <c r="AA264" s="362">
        <f t="shared" ca="1" si="474"/>
        <v>0</v>
      </c>
      <c r="AB264" s="363">
        <f t="shared" ca="1" si="450"/>
        <v>0</v>
      </c>
      <c r="AC264" s="360">
        <f t="shared" ca="1" si="438"/>
        <v>0</v>
      </c>
      <c r="AD264" s="361">
        <f t="shared" ca="1" si="475"/>
        <v>0</v>
      </c>
      <c r="AE264" s="362">
        <f t="shared" ca="1" si="475"/>
        <v>0</v>
      </c>
      <c r="AF264" s="363">
        <f t="shared" ca="1" si="451"/>
        <v>0</v>
      </c>
      <c r="AG264" s="360">
        <f t="shared" ca="1" si="439"/>
        <v>0</v>
      </c>
      <c r="AH264" s="361">
        <f t="shared" ca="1" si="476"/>
        <v>0</v>
      </c>
      <c r="AI264" s="362">
        <f t="shared" ca="1" si="476"/>
        <v>0</v>
      </c>
      <c r="AJ264" s="363">
        <f t="shared" ca="1" si="452"/>
        <v>0</v>
      </c>
      <c r="AK264" s="360">
        <f t="shared" ca="1" si="440"/>
        <v>0</v>
      </c>
      <c r="AL264" s="361">
        <f t="shared" ca="1" si="477"/>
        <v>0</v>
      </c>
      <c r="AM264" s="362">
        <f t="shared" ca="1" si="477"/>
        <v>0</v>
      </c>
      <c r="AN264" s="363">
        <f t="shared" ca="1" si="453"/>
        <v>0</v>
      </c>
      <c r="AO264" s="360">
        <f t="shared" ca="1" si="441"/>
        <v>0</v>
      </c>
      <c r="AP264" s="361">
        <f t="shared" ca="1" si="478"/>
        <v>0</v>
      </c>
      <c r="AQ264" s="362">
        <f t="shared" ca="1" si="478"/>
        <v>0</v>
      </c>
      <c r="AR264" s="363">
        <f t="shared" ca="1" si="454"/>
        <v>0</v>
      </c>
      <c r="AS264" s="360">
        <f t="shared" ca="1" si="442"/>
        <v>0</v>
      </c>
      <c r="AT264" s="361">
        <f t="shared" ca="1" si="479"/>
        <v>0</v>
      </c>
      <c r="AU264" s="362">
        <f t="shared" ca="1" si="479"/>
        <v>0</v>
      </c>
      <c r="AV264" s="363">
        <f t="shared" ca="1" si="455"/>
        <v>0</v>
      </c>
      <c r="AW264" s="360">
        <f t="shared" ca="1" si="443"/>
        <v>0</v>
      </c>
      <c r="AX264" s="361">
        <f t="shared" ca="1" si="480"/>
        <v>0</v>
      </c>
      <c r="AY264" s="362">
        <f t="shared" ca="1" si="480"/>
        <v>0</v>
      </c>
      <c r="AZ264" s="363">
        <f t="shared" ca="1" si="456"/>
        <v>0</v>
      </c>
      <c r="BA264" s="360">
        <f t="shared" ca="1" si="444"/>
        <v>0</v>
      </c>
      <c r="BB264" s="361">
        <f t="shared" ca="1" si="481"/>
        <v>0</v>
      </c>
      <c r="BC264" s="362">
        <f t="shared" ca="1" si="481"/>
        <v>0</v>
      </c>
      <c r="BD264" s="363">
        <f t="shared" ca="1" si="457"/>
        <v>0</v>
      </c>
      <c r="BE264" s="360">
        <f t="shared" ca="1" si="445"/>
        <v>0</v>
      </c>
      <c r="BF264" s="361">
        <f t="shared" ca="1" si="482"/>
        <v>0</v>
      </c>
      <c r="BG264" s="362">
        <f t="shared" ca="1" si="482"/>
        <v>0</v>
      </c>
      <c r="BH264" s="363">
        <f t="shared" ca="1" si="458"/>
        <v>0</v>
      </c>
      <c r="BI264" s="360">
        <f t="shared" ca="1" si="446"/>
        <v>0</v>
      </c>
      <c r="BJ264" s="361">
        <f t="shared" ca="1" si="483"/>
        <v>0</v>
      </c>
      <c r="BK264" s="362">
        <f t="shared" ca="1" si="483"/>
        <v>0</v>
      </c>
      <c r="BL264" s="363">
        <f t="shared" ca="1" si="459"/>
        <v>0</v>
      </c>
      <c r="BM264" s="360">
        <f t="shared" ca="1" si="447"/>
        <v>0</v>
      </c>
      <c r="BN264" s="360">
        <f t="shared" ca="1" si="447"/>
        <v>0</v>
      </c>
    </row>
    <row r="265" spans="1:68">
      <c r="A265" s="221" t="str">
        <f t="shared" ca="1" si="434"/>
        <v>WP008</v>
      </c>
      <c r="B265" s="221" t="str">
        <f t="shared" ca="1" si="435"/>
        <v>WP008</v>
      </c>
      <c r="C265" s="221">
        <v>5</v>
      </c>
      <c r="D265" s="221" t="s">
        <v>107</v>
      </c>
      <c r="J265" s="222" t="s">
        <v>96</v>
      </c>
      <c r="M265" s="221" t="s">
        <v>80</v>
      </c>
      <c r="N265" s="461"/>
      <c r="O265" s="255"/>
      <c r="P265" s="456" t="s">
        <v>108</v>
      </c>
      <c r="Q265" s="456"/>
      <c r="R265" s="364">
        <f t="shared" ca="1" si="472"/>
        <v>0</v>
      </c>
      <c r="S265" s="358">
        <f t="shared" ca="1" si="472"/>
        <v>0</v>
      </c>
      <c r="T265" s="359">
        <f t="shared" ca="1" si="448"/>
        <v>0</v>
      </c>
      <c r="U265" s="360">
        <f t="shared" ca="1" si="436"/>
        <v>0</v>
      </c>
      <c r="V265" s="364">
        <f t="shared" ca="1" si="473"/>
        <v>0</v>
      </c>
      <c r="W265" s="358">
        <f t="shared" ca="1" si="473"/>
        <v>0</v>
      </c>
      <c r="X265" s="359">
        <f t="shared" ca="1" si="449"/>
        <v>0</v>
      </c>
      <c r="Y265" s="360">
        <f t="shared" ca="1" si="437"/>
        <v>0</v>
      </c>
      <c r="Z265" s="364">
        <f t="shared" ca="1" si="474"/>
        <v>0</v>
      </c>
      <c r="AA265" s="358">
        <f t="shared" ca="1" si="474"/>
        <v>0</v>
      </c>
      <c r="AB265" s="359">
        <f t="shared" ca="1" si="450"/>
        <v>0</v>
      </c>
      <c r="AC265" s="360">
        <f t="shared" ca="1" si="438"/>
        <v>0</v>
      </c>
      <c r="AD265" s="364">
        <f t="shared" ca="1" si="475"/>
        <v>0</v>
      </c>
      <c r="AE265" s="358">
        <f t="shared" ca="1" si="475"/>
        <v>0</v>
      </c>
      <c r="AF265" s="359">
        <f t="shared" ca="1" si="451"/>
        <v>0</v>
      </c>
      <c r="AG265" s="360">
        <f t="shared" ca="1" si="439"/>
        <v>0</v>
      </c>
      <c r="AH265" s="364">
        <f t="shared" ca="1" si="476"/>
        <v>0</v>
      </c>
      <c r="AI265" s="358">
        <f t="shared" ca="1" si="476"/>
        <v>0</v>
      </c>
      <c r="AJ265" s="359">
        <f t="shared" ca="1" si="452"/>
        <v>0</v>
      </c>
      <c r="AK265" s="360">
        <f t="shared" ca="1" si="440"/>
        <v>0</v>
      </c>
      <c r="AL265" s="364">
        <f t="shared" ca="1" si="477"/>
        <v>0</v>
      </c>
      <c r="AM265" s="358">
        <f t="shared" ca="1" si="477"/>
        <v>0</v>
      </c>
      <c r="AN265" s="359">
        <f t="shared" ca="1" si="453"/>
        <v>0</v>
      </c>
      <c r="AO265" s="360">
        <f t="shared" ca="1" si="441"/>
        <v>0</v>
      </c>
      <c r="AP265" s="364">
        <f t="shared" ca="1" si="478"/>
        <v>0</v>
      </c>
      <c r="AQ265" s="358">
        <f t="shared" ca="1" si="478"/>
        <v>0</v>
      </c>
      <c r="AR265" s="359">
        <f t="shared" ca="1" si="454"/>
        <v>0</v>
      </c>
      <c r="AS265" s="360">
        <f t="shared" ca="1" si="442"/>
        <v>0</v>
      </c>
      <c r="AT265" s="364">
        <f t="shared" ca="1" si="479"/>
        <v>0</v>
      </c>
      <c r="AU265" s="358">
        <f t="shared" ca="1" si="479"/>
        <v>0</v>
      </c>
      <c r="AV265" s="359">
        <f t="shared" ca="1" si="455"/>
        <v>0</v>
      </c>
      <c r="AW265" s="360">
        <f t="shared" ca="1" si="443"/>
        <v>0</v>
      </c>
      <c r="AX265" s="364">
        <f t="shared" ca="1" si="480"/>
        <v>0</v>
      </c>
      <c r="AY265" s="358">
        <f t="shared" ca="1" si="480"/>
        <v>0</v>
      </c>
      <c r="AZ265" s="359">
        <f t="shared" ca="1" si="456"/>
        <v>0</v>
      </c>
      <c r="BA265" s="360">
        <f t="shared" ca="1" si="444"/>
        <v>0</v>
      </c>
      <c r="BB265" s="364">
        <f t="shared" ca="1" si="481"/>
        <v>0</v>
      </c>
      <c r="BC265" s="358">
        <f t="shared" ca="1" si="481"/>
        <v>0</v>
      </c>
      <c r="BD265" s="359">
        <f t="shared" ca="1" si="457"/>
        <v>0</v>
      </c>
      <c r="BE265" s="360">
        <f t="shared" ca="1" si="445"/>
        <v>0</v>
      </c>
      <c r="BF265" s="364">
        <f t="shared" ca="1" si="482"/>
        <v>0</v>
      </c>
      <c r="BG265" s="358">
        <f t="shared" ca="1" si="482"/>
        <v>0</v>
      </c>
      <c r="BH265" s="359">
        <f t="shared" ca="1" si="458"/>
        <v>0</v>
      </c>
      <c r="BI265" s="360">
        <f t="shared" ca="1" si="446"/>
        <v>0</v>
      </c>
      <c r="BJ265" s="364">
        <f t="shared" ca="1" si="483"/>
        <v>0</v>
      </c>
      <c r="BK265" s="358">
        <f t="shared" ca="1" si="483"/>
        <v>0</v>
      </c>
      <c r="BL265" s="359">
        <f t="shared" ca="1" si="459"/>
        <v>0</v>
      </c>
      <c r="BM265" s="360">
        <f t="shared" ca="1" si="447"/>
        <v>0</v>
      </c>
      <c r="BN265" s="360">
        <f t="shared" ca="1" si="447"/>
        <v>0</v>
      </c>
    </row>
    <row r="266" spans="1:68">
      <c r="A266" s="221" t="str">
        <f t="shared" ca="1" si="434"/>
        <v>WP008</v>
      </c>
      <c r="B266" s="221" t="str">
        <f t="shared" ca="1" si="435"/>
        <v>WP008</v>
      </c>
      <c r="C266" s="221">
        <v>6</v>
      </c>
      <c r="D266" s="221" t="s">
        <v>109</v>
      </c>
      <c r="J266" s="222" t="s">
        <v>96</v>
      </c>
      <c r="K266" s="221" t="s">
        <v>110</v>
      </c>
      <c r="M266" s="221" t="s">
        <v>46</v>
      </c>
      <c r="N266" s="461"/>
      <c r="O266" s="255"/>
      <c r="P266" s="456" t="s">
        <v>111</v>
      </c>
      <c r="Q266" s="456"/>
      <c r="R266" s="364"/>
      <c r="S266" s="358"/>
      <c r="T266" s="359">
        <f t="shared" ca="1" si="448"/>
        <v>0</v>
      </c>
      <c r="U266" s="360">
        <f t="shared" ca="1" si="436"/>
        <v>0</v>
      </c>
      <c r="V266" s="364"/>
      <c r="W266" s="358"/>
      <c r="X266" s="359">
        <f t="shared" ca="1" si="449"/>
        <v>0</v>
      </c>
      <c r="Y266" s="360">
        <f t="shared" ca="1" si="437"/>
        <v>0</v>
      </c>
      <c r="Z266" s="364"/>
      <c r="AA266" s="358"/>
      <c r="AB266" s="359">
        <f t="shared" ca="1" si="450"/>
        <v>0</v>
      </c>
      <c r="AC266" s="360">
        <f t="shared" ca="1" si="438"/>
        <v>0</v>
      </c>
      <c r="AD266" s="364"/>
      <c r="AE266" s="358"/>
      <c r="AF266" s="359">
        <f t="shared" ca="1" si="451"/>
        <v>0</v>
      </c>
      <c r="AG266" s="360">
        <f t="shared" ca="1" si="439"/>
        <v>0</v>
      </c>
      <c r="AH266" s="364"/>
      <c r="AI266" s="358"/>
      <c r="AJ266" s="359">
        <f t="shared" ca="1" si="452"/>
        <v>0</v>
      </c>
      <c r="AK266" s="360">
        <f t="shared" ca="1" si="440"/>
        <v>0</v>
      </c>
      <c r="AL266" s="364"/>
      <c r="AM266" s="358"/>
      <c r="AN266" s="359">
        <f t="shared" ca="1" si="453"/>
        <v>0</v>
      </c>
      <c r="AO266" s="360">
        <f t="shared" ca="1" si="441"/>
        <v>0</v>
      </c>
      <c r="AP266" s="364"/>
      <c r="AQ266" s="358"/>
      <c r="AR266" s="359">
        <f t="shared" ca="1" si="454"/>
        <v>0</v>
      </c>
      <c r="AS266" s="360">
        <f t="shared" ca="1" si="442"/>
        <v>0</v>
      </c>
      <c r="AT266" s="364"/>
      <c r="AU266" s="358"/>
      <c r="AV266" s="359">
        <f t="shared" ca="1" si="455"/>
        <v>0</v>
      </c>
      <c r="AW266" s="360">
        <f t="shared" ca="1" si="443"/>
        <v>0</v>
      </c>
      <c r="AX266" s="364"/>
      <c r="AY266" s="358"/>
      <c r="AZ266" s="359">
        <f t="shared" ca="1" si="456"/>
        <v>0</v>
      </c>
      <c r="BA266" s="360">
        <f t="shared" ca="1" si="444"/>
        <v>0</v>
      </c>
      <c r="BB266" s="364"/>
      <c r="BC266" s="358"/>
      <c r="BD266" s="359">
        <f t="shared" ca="1" si="457"/>
        <v>0</v>
      </c>
      <c r="BE266" s="360">
        <f t="shared" ca="1" si="445"/>
        <v>0</v>
      </c>
      <c r="BF266" s="364"/>
      <c r="BG266" s="358"/>
      <c r="BH266" s="359">
        <f t="shared" ca="1" si="458"/>
        <v>0</v>
      </c>
      <c r="BI266" s="360">
        <f t="shared" ca="1" si="446"/>
        <v>0</v>
      </c>
      <c r="BJ266" s="364"/>
      <c r="BK266" s="358"/>
      <c r="BL266" s="359">
        <f t="shared" ca="1" si="459"/>
        <v>0</v>
      </c>
      <c r="BM266" s="360">
        <f t="shared" ca="1" si="447"/>
        <v>0</v>
      </c>
      <c r="BN266" s="360">
        <f t="shared" ca="1" si="447"/>
        <v>0</v>
      </c>
    </row>
    <row r="267" spans="1:68">
      <c r="A267" s="221" t="str">
        <f t="shared" ca="1" si="434"/>
        <v>WP008</v>
      </c>
      <c r="B267" s="221" t="str">
        <f t="shared" ca="1" si="435"/>
        <v>WP008</v>
      </c>
      <c r="C267" s="221">
        <v>7</v>
      </c>
      <c r="D267" s="221" t="s">
        <v>112</v>
      </c>
      <c r="L267" s="221" t="s">
        <v>110</v>
      </c>
      <c r="M267" s="221" t="s">
        <v>80</v>
      </c>
      <c r="N267" s="461"/>
      <c r="O267" s="255"/>
      <c r="P267" s="389"/>
      <c r="Q267" s="254" t="s">
        <v>113</v>
      </c>
      <c r="R267" s="361">
        <f t="shared" ref="R267:S272" ca="1" si="484">INDIRECT("'"&amp; MID(OFFSET(R267,ROW(R$3)-ROW(R267),IF(OFFSET(R267,ROW(R$2)-ROW(R267),2)="T",0,IF(OFFSET(R267,ROW(R$2)-ROW(R267),1)="T",-1,-2))),1,6) &amp; "'!" &amp; ADDRESS(ROW(R267),MATCH(INDIRECT(ADDRESS(2,COLUMN(R267)+IF(OFFSET(R267,ROW(R$2)-ROW(R267),2)="T",1,IF(OFFSET(R267,ROW(R$2)-ROW(R267),1)="T",0,-1))),TRUE),INDIRECT("'"&amp; MID(OFFSET(R267,ROW(R$3)-ROW(R267),IF(OFFSET(R267,ROW(R$2)-ROW(R267),2)="T",0,IF(OFFSET(R267,ROW(R$2)-ROW(R267),1)="T",-1,-2))),1,6) &amp; "'!2:2",TRUE),0)-IF(OFFSET(R267,ROW(R$2)-ROW(R267),2)="T",1,IF(OFFSET(R267,ROW(R$2)-ROW(R267),1)="T",0,-1))),TRUE)</f>
        <v>0</v>
      </c>
      <c r="S267" s="362">
        <f t="shared" ca="1" si="484"/>
        <v>0</v>
      </c>
      <c r="T267" s="363">
        <f t="shared" ca="1" si="448"/>
        <v>0</v>
      </c>
      <c r="U267" s="360">
        <f t="shared" ca="1" si="436"/>
        <v>0</v>
      </c>
      <c r="V267" s="361">
        <f t="shared" ref="V267:W272" ca="1" si="485">INDIRECT("'"&amp; MID(OFFSET(V267,ROW(V$3)-ROW(V267),IF(OFFSET(V267,ROW(V$2)-ROW(V267),2)="T",0,IF(OFFSET(V267,ROW(V$2)-ROW(V267),1)="T",-1,-2))),1,6) &amp; "'!" &amp; ADDRESS(ROW(V267),MATCH(INDIRECT(ADDRESS(2,COLUMN(V267)+IF(OFFSET(V267,ROW(V$2)-ROW(V267),2)="T",1,IF(OFFSET(V267,ROW(V$2)-ROW(V267),1)="T",0,-1))),TRUE),INDIRECT("'"&amp; MID(OFFSET(V267,ROW(V$3)-ROW(V267),IF(OFFSET(V267,ROW(V$2)-ROW(V267),2)="T",0,IF(OFFSET(V267,ROW(V$2)-ROW(V267),1)="T",-1,-2))),1,6) &amp; "'!2:2",TRUE),0)-IF(OFFSET(V267,ROW(V$2)-ROW(V267),2)="T",1,IF(OFFSET(V267,ROW(V$2)-ROW(V267),1)="T",0,-1))),TRUE)</f>
        <v>0</v>
      </c>
      <c r="W267" s="362">
        <f t="shared" ca="1" si="485"/>
        <v>0</v>
      </c>
      <c r="X267" s="363">
        <f t="shared" ca="1" si="449"/>
        <v>0</v>
      </c>
      <c r="Y267" s="360">
        <f t="shared" ca="1" si="437"/>
        <v>0</v>
      </c>
      <c r="Z267" s="361">
        <f t="shared" ref="Z267:AA272" ca="1" si="486">INDIRECT("'"&amp; MID(OFFSET(Z267,ROW(Z$3)-ROW(Z267),IF(OFFSET(Z267,ROW(Z$2)-ROW(Z267),2)="T",0,IF(OFFSET(Z267,ROW(Z$2)-ROW(Z267),1)="T",-1,-2))),1,6) &amp; "'!" &amp; ADDRESS(ROW(Z267),MATCH(INDIRECT(ADDRESS(2,COLUMN(Z267)+IF(OFFSET(Z267,ROW(Z$2)-ROW(Z267),2)="T",1,IF(OFFSET(Z267,ROW(Z$2)-ROW(Z267),1)="T",0,-1))),TRUE),INDIRECT("'"&amp; MID(OFFSET(Z267,ROW(Z$3)-ROW(Z267),IF(OFFSET(Z267,ROW(Z$2)-ROW(Z267),2)="T",0,IF(OFFSET(Z267,ROW(Z$2)-ROW(Z267),1)="T",-1,-2))),1,6) &amp; "'!2:2",TRUE),0)-IF(OFFSET(Z267,ROW(Z$2)-ROW(Z267),2)="T",1,IF(OFFSET(Z267,ROW(Z$2)-ROW(Z267),1)="T",0,-1))),TRUE)</f>
        <v>0</v>
      </c>
      <c r="AA267" s="362">
        <f t="shared" ca="1" si="486"/>
        <v>0</v>
      </c>
      <c r="AB267" s="363">
        <f t="shared" ca="1" si="450"/>
        <v>0</v>
      </c>
      <c r="AC267" s="360">
        <f t="shared" ca="1" si="438"/>
        <v>0</v>
      </c>
      <c r="AD267" s="361">
        <f t="shared" ref="AD267:AE272" ca="1" si="487">INDIRECT("'"&amp; MID(OFFSET(AD267,ROW(AD$3)-ROW(AD267),IF(OFFSET(AD267,ROW(AD$2)-ROW(AD267),2)="T",0,IF(OFFSET(AD267,ROW(AD$2)-ROW(AD267),1)="T",-1,-2))),1,6) &amp; "'!" &amp; ADDRESS(ROW(AD267),MATCH(INDIRECT(ADDRESS(2,COLUMN(AD267)+IF(OFFSET(AD267,ROW(AD$2)-ROW(AD267),2)="T",1,IF(OFFSET(AD267,ROW(AD$2)-ROW(AD267),1)="T",0,-1))),TRUE),INDIRECT("'"&amp; MID(OFFSET(AD267,ROW(AD$3)-ROW(AD267),IF(OFFSET(AD267,ROW(AD$2)-ROW(AD267),2)="T",0,IF(OFFSET(AD267,ROW(AD$2)-ROW(AD267),1)="T",-1,-2))),1,6) &amp; "'!2:2",TRUE),0)-IF(OFFSET(AD267,ROW(AD$2)-ROW(AD267),2)="T",1,IF(OFFSET(AD267,ROW(AD$2)-ROW(AD267),1)="T",0,-1))),TRUE)</f>
        <v>0</v>
      </c>
      <c r="AE267" s="362">
        <f t="shared" ca="1" si="487"/>
        <v>0</v>
      </c>
      <c r="AF267" s="363">
        <f t="shared" ca="1" si="451"/>
        <v>0</v>
      </c>
      <c r="AG267" s="360">
        <f t="shared" ca="1" si="439"/>
        <v>0</v>
      </c>
      <c r="AH267" s="361">
        <f t="shared" ref="AH267:AI272" ca="1" si="488">INDIRECT("'"&amp; MID(OFFSET(AH267,ROW(AH$3)-ROW(AH267),IF(OFFSET(AH267,ROW(AH$2)-ROW(AH267),2)="T",0,IF(OFFSET(AH267,ROW(AH$2)-ROW(AH267),1)="T",-1,-2))),1,6) &amp; "'!" &amp; ADDRESS(ROW(AH267),MATCH(INDIRECT(ADDRESS(2,COLUMN(AH267)+IF(OFFSET(AH267,ROW(AH$2)-ROW(AH267),2)="T",1,IF(OFFSET(AH267,ROW(AH$2)-ROW(AH267),1)="T",0,-1))),TRUE),INDIRECT("'"&amp; MID(OFFSET(AH267,ROW(AH$3)-ROW(AH267),IF(OFFSET(AH267,ROW(AH$2)-ROW(AH267),2)="T",0,IF(OFFSET(AH267,ROW(AH$2)-ROW(AH267),1)="T",-1,-2))),1,6) &amp; "'!2:2",TRUE),0)-IF(OFFSET(AH267,ROW(AH$2)-ROW(AH267),2)="T",1,IF(OFFSET(AH267,ROW(AH$2)-ROW(AH267),1)="T",0,-1))),TRUE)</f>
        <v>0</v>
      </c>
      <c r="AI267" s="362">
        <f t="shared" ca="1" si="488"/>
        <v>0</v>
      </c>
      <c r="AJ267" s="363">
        <f t="shared" ca="1" si="452"/>
        <v>0</v>
      </c>
      <c r="AK267" s="360">
        <f t="shared" ca="1" si="440"/>
        <v>0</v>
      </c>
      <c r="AL267" s="361">
        <f t="shared" ref="AL267:AM272" ca="1" si="489">INDIRECT("'"&amp; MID(OFFSET(AL267,ROW(AL$3)-ROW(AL267),IF(OFFSET(AL267,ROW(AL$2)-ROW(AL267),2)="T",0,IF(OFFSET(AL267,ROW(AL$2)-ROW(AL267),1)="T",-1,-2))),1,6) &amp; "'!" &amp; ADDRESS(ROW(AL267),MATCH(INDIRECT(ADDRESS(2,COLUMN(AL267)+IF(OFFSET(AL267,ROW(AL$2)-ROW(AL267),2)="T",1,IF(OFFSET(AL267,ROW(AL$2)-ROW(AL267),1)="T",0,-1))),TRUE),INDIRECT("'"&amp; MID(OFFSET(AL267,ROW(AL$3)-ROW(AL267),IF(OFFSET(AL267,ROW(AL$2)-ROW(AL267),2)="T",0,IF(OFFSET(AL267,ROW(AL$2)-ROW(AL267),1)="T",-1,-2))),1,6) &amp; "'!2:2",TRUE),0)-IF(OFFSET(AL267,ROW(AL$2)-ROW(AL267),2)="T",1,IF(OFFSET(AL267,ROW(AL$2)-ROW(AL267),1)="T",0,-1))),TRUE)</f>
        <v>0</v>
      </c>
      <c r="AM267" s="362">
        <f t="shared" ca="1" si="489"/>
        <v>0</v>
      </c>
      <c r="AN267" s="363">
        <f t="shared" ca="1" si="453"/>
        <v>0</v>
      </c>
      <c r="AO267" s="360">
        <f t="shared" ca="1" si="441"/>
        <v>0</v>
      </c>
      <c r="AP267" s="361">
        <f t="shared" ref="AP267:AQ272" ca="1" si="490">INDIRECT("'"&amp; MID(OFFSET(AP267,ROW(AP$3)-ROW(AP267),IF(OFFSET(AP267,ROW(AP$2)-ROW(AP267),2)="T",0,IF(OFFSET(AP267,ROW(AP$2)-ROW(AP267),1)="T",-1,-2))),1,6) &amp; "'!" &amp; ADDRESS(ROW(AP267),MATCH(INDIRECT(ADDRESS(2,COLUMN(AP267)+IF(OFFSET(AP267,ROW(AP$2)-ROW(AP267),2)="T",1,IF(OFFSET(AP267,ROW(AP$2)-ROW(AP267),1)="T",0,-1))),TRUE),INDIRECT("'"&amp; MID(OFFSET(AP267,ROW(AP$3)-ROW(AP267),IF(OFFSET(AP267,ROW(AP$2)-ROW(AP267),2)="T",0,IF(OFFSET(AP267,ROW(AP$2)-ROW(AP267),1)="T",-1,-2))),1,6) &amp; "'!2:2",TRUE),0)-IF(OFFSET(AP267,ROW(AP$2)-ROW(AP267),2)="T",1,IF(OFFSET(AP267,ROW(AP$2)-ROW(AP267),1)="T",0,-1))),TRUE)</f>
        <v>0</v>
      </c>
      <c r="AQ267" s="362">
        <f t="shared" ca="1" si="490"/>
        <v>0</v>
      </c>
      <c r="AR267" s="363">
        <f t="shared" ca="1" si="454"/>
        <v>0</v>
      </c>
      <c r="AS267" s="360">
        <f t="shared" ca="1" si="442"/>
        <v>0</v>
      </c>
      <c r="AT267" s="361">
        <f t="shared" ref="AT267:AU272" ca="1" si="491">INDIRECT("'"&amp; MID(OFFSET(AT267,ROW(AT$3)-ROW(AT267),IF(OFFSET(AT267,ROW(AT$2)-ROW(AT267),2)="T",0,IF(OFFSET(AT267,ROW(AT$2)-ROW(AT267),1)="T",-1,-2))),1,6) &amp; "'!" &amp; ADDRESS(ROW(AT267),MATCH(INDIRECT(ADDRESS(2,COLUMN(AT267)+IF(OFFSET(AT267,ROW(AT$2)-ROW(AT267),2)="T",1,IF(OFFSET(AT267,ROW(AT$2)-ROW(AT267),1)="T",0,-1))),TRUE),INDIRECT("'"&amp; MID(OFFSET(AT267,ROW(AT$3)-ROW(AT267),IF(OFFSET(AT267,ROW(AT$2)-ROW(AT267),2)="T",0,IF(OFFSET(AT267,ROW(AT$2)-ROW(AT267),1)="T",-1,-2))),1,6) &amp; "'!2:2",TRUE),0)-IF(OFFSET(AT267,ROW(AT$2)-ROW(AT267),2)="T",1,IF(OFFSET(AT267,ROW(AT$2)-ROW(AT267),1)="T",0,-1))),TRUE)</f>
        <v>0</v>
      </c>
      <c r="AU267" s="362">
        <f t="shared" ca="1" si="491"/>
        <v>0</v>
      </c>
      <c r="AV267" s="363">
        <f t="shared" ca="1" si="455"/>
        <v>0</v>
      </c>
      <c r="AW267" s="360">
        <f t="shared" ca="1" si="443"/>
        <v>0</v>
      </c>
      <c r="AX267" s="361">
        <f t="shared" ref="AX267:AY272" ca="1" si="492">INDIRECT("'"&amp; MID(OFFSET(AX267,ROW(AX$3)-ROW(AX267),IF(OFFSET(AX267,ROW(AX$2)-ROW(AX267),2)="T",0,IF(OFFSET(AX267,ROW(AX$2)-ROW(AX267),1)="T",-1,-2))),1,6) &amp; "'!" &amp; ADDRESS(ROW(AX267),MATCH(INDIRECT(ADDRESS(2,COLUMN(AX267)+IF(OFFSET(AX267,ROW(AX$2)-ROW(AX267),2)="T",1,IF(OFFSET(AX267,ROW(AX$2)-ROW(AX267),1)="T",0,-1))),TRUE),INDIRECT("'"&amp; MID(OFFSET(AX267,ROW(AX$3)-ROW(AX267),IF(OFFSET(AX267,ROW(AX$2)-ROW(AX267),2)="T",0,IF(OFFSET(AX267,ROW(AX$2)-ROW(AX267),1)="T",-1,-2))),1,6) &amp; "'!2:2",TRUE),0)-IF(OFFSET(AX267,ROW(AX$2)-ROW(AX267),2)="T",1,IF(OFFSET(AX267,ROW(AX$2)-ROW(AX267),1)="T",0,-1))),TRUE)</f>
        <v>0</v>
      </c>
      <c r="AY267" s="362">
        <f t="shared" ca="1" si="492"/>
        <v>0</v>
      </c>
      <c r="AZ267" s="363">
        <f t="shared" ca="1" si="456"/>
        <v>0</v>
      </c>
      <c r="BA267" s="360">
        <f t="shared" ca="1" si="444"/>
        <v>0</v>
      </c>
      <c r="BB267" s="361">
        <f t="shared" ref="BB267:BC272" ca="1" si="493">INDIRECT("'"&amp; MID(OFFSET(BB267,ROW(BB$3)-ROW(BB267),IF(OFFSET(BB267,ROW(BB$2)-ROW(BB267),2)="T",0,IF(OFFSET(BB267,ROW(BB$2)-ROW(BB267),1)="T",-1,-2))),1,6) &amp; "'!" &amp; ADDRESS(ROW(BB267),MATCH(INDIRECT(ADDRESS(2,COLUMN(BB267)+IF(OFFSET(BB267,ROW(BB$2)-ROW(BB267),2)="T",1,IF(OFFSET(BB267,ROW(BB$2)-ROW(BB267),1)="T",0,-1))),TRUE),INDIRECT("'"&amp; MID(OFFSET(BB267,ROW(BB$3)-ROW(BB267),IF(OFFSET(BB267,ROW(BB$2)-ROW(BB267),2)="T",0,IF(OFFSET(BB267,ROW(BB$2)-ROW(BB267),1)="T",-1,-2))),1,6) &amp; "'!2:2",TRUE),0)-IF(OFFSET(BB267,ROW(BB$2)-ROW(BB267),2)="T",1,IF(OFFSET(BB267,ROW(BB$2)-ROW(BB267),1)="T",0,-1))),TRUE)</f>
        <v>0</v>
      </c>
      <c r="BC267" s="362">
        <f t="shared" ca="1" si="493"/>
        <v>0</v>
      </c>
      <c r="BD267" s="363">
        <f t="shared" ca="1" si="457"/>
        <v>0</v>
      </c>
      <c r="BE267" s="360">
        <f t="shared" ca="1" si="445"/>
        <v>0</v>
      </c>
      <c r="BF267" s="361">
        <f t="shared" ref="BF267:BG272" ca="1" si="494">INDIRECT("'"&amp; MID(OFFSET(BF267,ROW(BF$3)-ROW(BF267),IF(OFFSET(BF267,ROW(BF$2)-ROW(BF267),2)="T",0,IF(OFFSET(BF267,ROW(BF$2)-ROW(BF267),1)="T",-1,-2))),1,6) &amp; "'!" &amp; ADDRESS(ROW(BF267),MATCH(INDIRECT(ADDRESS(2,COLUMN(BF267)+IF(OFFSET(BF267,ROW(BF$2)-ROW(BF267),2)="T",1,IF(OFFSET(BF267,ROW(BF$2)-ROW(BF267),1)="T",0,-1))),TRUE),INDIRECT("'"&amp; MID(OFFSET(BF267,ROW(BF$3)-ROW(BF267),IF(OFFSET(BF267,ROW(BF$2)-ROW(BF267),2)="T",0,IF(OFFSET(BF267,ROW(BF$2)-ROW(BF267),1)="T",-1,-2))),1,6) &amp; "'!2:2",TRUE),0)-IF(OFFSET(BF267,ROW(BF$2)-ROW(BF267),2)="T",1,IF(OFFSET(BF267,ROW(BF$2)-ROW(BF267),1)="T",0,-1))),TRUE)</f>
        <v>0</v>
      </c>
      <c r="BG267" s="362">
        <f t="shared" ca="1" si="494"/>
        <v>0</v>
      </c>
      <c r="BH267" s="363">
        <f t="shared" ca="1" si="458"/>
        <v>0</v>
      </c>
      <c r="BI267" s="360">
        <f t="shared" ca="1" si="446"/>
        <v>0</v>
      </c>
      <c r="BJ267" s="361">
        <f t="shared" ref="BJ267:BK272" ca="1" si="495">INDIRECT("'"&amp; MID(OFFSET(BJ267,ROW(BJ$3)-ROW(BJ267),IF(OFFSET(BJ267,ROW(BJ$2)-ROW(BJ267),2)="T",0,IF(OFFSET(BJ267,ROW(BJ$2)-ROW(BJ267),1)="T",-1,-2))),1,6) &amp; "'!" &amp; ADDRESS(ROW(BJ267),MATCH(INDIRECT(ADDRESS(2,COLUMN(BJ267)+IF(OFFSET(BJ267,ROW(BJ$2)-ROW(BJ267),2)="T",1,IF(OFFSET(BJ267,ROW(BJ$2)-ROW(BJ267),1)="T",0,-1))),TRUE),INDIRECT("'"&amp; MID(OFFSET(BJ267,ROW(BJ$3)-ROW(BJ267),IF(OFFSET(BJ267,ROW(BJ$2)-ROW(BJ267),2)="T",0,IF(OFFSET(BJ267,ROW(BJ$2)-ROW(BJ267),1)="T",-1,-2))),1,6) &amp; "'!2:2",TRUE),0)-IF(OFFSET(BJ267,ROW(BJ$2)-ROW(BJ267),2)="T",1,IF(OFFSET(BJ267,ROW(BJ$2)-ROW(BJ267),1)="T",0,-1))),TRUE)</f>
        <v>0</v>
      </c>
      <c r="BK267" s="362">
        <f t="shared" ca="1" si="495"/>
        <v>0</v>
      </c>
      <c r="BL267" s="363">
        <f t="shared" ca="1" si="459"/>
        <v>0</v>
      </c>
      <c r="BM267" s="360">
        <f t="shared" ca="1" si="447"/>
        <v>0</v>
      </c>
      <c r="BN267" s="360">
        <f t="shared" ca="1" si="447"/>
        <v>0</v>
      </c>
    </row>
    <row r="268" spans="1:68">
      <c r="A268" s="221" t="str">
        <f t="shared" ca="1" si="434"/>
        <v>WP008</v>
      </c>
      <c r="B268" s="221" t="str">
        <f t="shared" ca="1" si="435"/>
        <v>WP008</v>
      </c>
      <c r="C268" s="221">
        <v>7</v>
      </c>
      <c r="D268" s="221" t="s">
        <v>114</v>
      </c>
      <c r="L268" s="221" t="s">
        <v>110</v>
      </c>
      <c r="M268" s="221" t="s">
        <v>80</v>
      </c>
      <c r="N268" s="461"/>
      <c r="O268" s="255"/>
      <c r="P268" s="389"/>
      <c r="Q268" s="254" t="s">
        <v>115</v>
      </c>
      <c r="R268" s="361">
        <f t="shared" ca="1" si="484"/>
        <v>0</v>
      </c>
      <c r="S268" s="362">
        <f t="shared" ca="1" si="484"/>
        <v>0</v>
      </c>
      <c r="T268" s="363">
        <f t="shared" ca="1" si="448"/>
        <v>0</v>
      </c>
      <c r="U268" s="360">
        <f t="shared" ca="1" si="436"/>
        <v>0</v>
      </c>
      <c r="V268" s="361">
        <f t="shared" ca="1" si="485"/>
        <v>0</v>
      </c>
      <c r="W268" s="362">
        <f t="shared" ca="1" si="485"/>
        <v>0</v>
      </c>
      <c r="X268" s="363">
        <f t="shared" ca="1" si="449"/>
        <v>0</v>
      </c>
      <c r="Y268" s="360">
        <f t="shared" ca="1" si="437"/>
        <v>0</v>
      </c>
      <c r="Z268" s="361">
        <f t="shared" ca="1" si="486"/>
        <v>0</v>
      </c>
      <c r="AA268" s="362">
        <f t="shared" ca="1" si="486"/>
        <v>0</v>
      </c>
      <c r="AB268" s="363">
        <f t="shared" ca="1" si="450"/>
        <v>0</v>
      </c>
      <c r="AC268" s="360">
        <f t="shared" ca="1" si="438"/>
        <v>0</v>
      </c>
      <c r="AD268" s="361">
        <f t="shared" ca="1" si="487"/>
        <v>0</v>
      </c>
      <c r="AE268" s="362">
        <f t="shared" ca="1" si="487"/>
        <v>0</v>
      </c>
      <c r="AF268" s="363">
        <f t="shared" ca="1" si="451"/>
        <v>0</v>
      </c>
      <c r="AG268" s="360">
        <f t="shared" ca="1" si="439"/>
        <v>0</v>
      </c>
      <c r="AH268" s="361">
        <f t="shared" ca="1" si="488"/>
        <v>0</v>
      </c>
      <c r="AI268" s="362">
        <f t="shared" ca="1" si="488"/>
        <v>0</v>
      </c>
      <c r="AJ268" s="363">
        <f t="shared" ca="1" si="452"/>
        <v>0</v>
      </c>
      <c r="AK268" s="360">
        <f t="shared" ca="1" si="440"/>
        <v>0</v>
      </c>
      <c r="AL268" s="361">
        <f t="shared" ca="1" si="489"/>
        <v>0</v>
      </c>
      <c r="AM268" s="362">
        <f t="shared" ca="1" si="489"/>
        <v>0</v>
      </c>
      <c r="AN268" s="363">
        <f t="shared" ca="1" si="453"/>
        <v>0</v>
      </c>
      <c r="AO268" s="360">
        <f t="shared" ca="1" si="441"/>
        <v>0</v>
      </c>
      <c r="AP268" s="361">
        <f t="shared" ca="1" si="490"/>
        <v>0</v>
      </c>
      <c r="AQ268" s="362">
        <f t="shared" ca="1" si="490"/>
        <v>0</v>
      </c>
      <c r="AR268" s="363">
        <f t="shared" ca="1" si="454"/>
        <v>0</v>
      </c>
      <c r="AS268" s="360">
        <f t="shared" ca="1" si="442"/>
        <v>0</v>
      </c>
      <c r="AT268" s="361">
        <f t="shared" ca="1" si="491"/>
        <v>0</v>
      </c>
      <c r="AU268" s="362">
        <f t="shared" ca="1" si="491"/>
        <v>0</v>
      </c>
      <c r="AV268" s="363">
        <f t="shared" ca="1" si="455"/>
        <v>0</v>
      </c>
      <c r="AW268" s="360">
        <f t="shared" ca="1" si="443"/>
        <v>0</v>
      </c>
      <c r="AX268" s="361">
        <f t="shared" ca="1" si="492"/>
        <v>0</v>
      </c>
      <c r="AY268" s="362">
        <f t="shared" ca="1" si="492"/>
        <v>0</v>
      </c>
      <c r="AZ268" s="363">
        <f t="shared" ca="1" si="456"/>
        <v>0</v>
      </c>
      <c r="BA268" s="360">
        <f t="shared" ca="1" si="444"/>
        <v>0</v>
      </c>
      <c r="BB268" s="361">
        <f t="shared" ca="1" si="493"/>
        <v>0</v>
      </c>
      <c r="BC268" s="362">
        <f t="shared" ca="1" si="493"/>
        <v>0</v>
      </c>
      <c r="BD268" s="363">
        <f t="shared" ca="1" si="457"/>
        <v>0</v>
      </c>
      <c r="BE268" s="360">
        <f t="shared" ca="1" si="445"/>
        <v>0</v>
      </c>
      <c r="BF268" s="361">
        <f t="shared" ca="1" si="494"/>
        <v>0</v>
      </c>
      <c r="BG268" s="362">
        <f t="shared" ca="1" si="494"/>
        <v>0</v>
      </c>
      <c r="BH268" s="363">
        <f t="shared" ca="1" si="458"/>
        <v>0</v>
      </c>
      <c r="BI268" s="360">
        <f t="shared" ca="1" si="446"/>
        <v>0</v>
      </c>
      <c r="BJ268" s="361">
        <f t="shared" ca="1" si="495"/>
        <v>0</v>
      </c>
      <c r="BK268" s="362">
        <f t="shared" ca="1" si="495"/>
        <v>0</v>
      </c>
      <c r="BL268" s="363">
        <f t="shared" ca="1" si="459"/>
        <v>0</v>
      </c>
      <c r="BM268" s="360">
        <f t="shared" ca="1" si="447"/>
        <v>0</v>
      </c>
      <c r="BN268" s="360">
        <f t="shared" ca="1" si="447"/>
        <v>0</v>
      </c>
    </row>
    <row r="269" spans="1:68">
      <c r="A269" s="221" t="str">
        <f t="shared" ca="1" si="434"/>
        <v>WP008</v>
      </c>
      <c r="B269" s="221" t="str">
        <f t="shared" ca="1" si="435"/>
        <v>WP008</v>
      </c>
      <c r="C269" s="221">
        <v>7</v>
      </c>
      <c r="D269" s="221" t="s">
        <v>116</v>
      </c>
      <c r="L269" s="221" t="s">
        <v>110</v>
      </c>
      <c r="M269" s="221" t="s">
        <v>80</v>
      </c>
      <c r="N269" s="461"/>
      <c r="O269" s="255"/>
      <c r="P269" s="389"/>
      <c r="Q269" s="254" t="s">
        <v>117</v>
      </c>
      <c r="R269" s="361">
        <f t="shared" ca="1" si="484"/>
        <v>0</v>
      </c>
      <c r="S269" s="362">
        <f t="shared" ca="1" si="484"/>
        <v>0</v>
      </c>
      <c r="T269" s="363">
        <f t="shared" ca="1" si="448"/>
        <v>0</v>
      </c>
      <c r="U269" s="360">
        <f t="shared" ca="1" si="436"/>
        <v>0</v>
      </c>
      <c r="V269" s="361">
        <f t="shared" ca="1" si="485"/>
        <v>0</v>
      </c>
      <c r="W269" s="362">
        <f t="shared" ca="1" si="485"/>
        <v>0</v>
      </c>
      <c r="X269" s="363">
        <f t="shared" ca="1" si="449"/>
        <v>0</v>
      </c>
      <c r="Y269" s="360">
        <f t="shared" ca="1" si="437"/>
        <v>0</v>
      </c>
      <c r="Z269" s="361">
        <f t="shared" ca="1" si="486"/>
        <v>0</v>
      </c>
      <c r="AA269" s="362">
        <f t="shared" ca="1" si="486"/>
        <v>0</v>
      </c>
      <c r="AB269" s="363">
        <f t="shared" ca="1" si="450"/>
        <v>0</v>
      </c>
      <c r="AC269" s="360">
        <f t="shared" ca="1" si="438"/>
        <v>0</v>
      </c>
      <c r="AD269" s="361">
        <f t="shared" ca="1" si="487"/>
        <v>0</v>
      </c>
      <c r="AE269" s="362">
        <f t="shared" ca="1" si="487"/>
        <v>0</v>
      </c>
      <c r="AF269" s="363">
        <f t="shared" ca="1" si="451"/>
        <v>0</v>
      </c>
      <c r="AG269" s="360">
        <f t="shared" ca="1" si="439"/>
        <v>0</v>
      </c>
      <c r="AH269" s="361">
        <f t="shared" ca="1" si="488"/>
        <v>0</v>
      </c>
      <c r="AI269" s="362">
        <f t="shared" ca="1" si="488"/>
        <v>0</v>
      </c>
      <c r="AJ269" s="363">
        <f t="shared" ca="1" si="452"/>
        <v>0</v>
      </c>
      <c r="AK269" s="360">
        <f t="shared" ca="1" si="440"/>
        <v>0</v>
      </c>
      <c r="AL269" s="361">
        <f t="shared" ca="1" si="489"/>
        <v>0</v>
      </c>
      <c r="AM269" s="362">
        <f t="shared" ca="1" si="489"/>
        <v>0</v>
      </c>
      <c r="AN269" s="363">
        <f t="shared" ca="1" si="453"/>
        <v>0</v>
      </c>
      <c r="AO269" s="360">
        <f t="shared" ca="1" si="441"/>
        <v>0</v>
      </c>
      <c r="AP269" s="361">
        <f t="shared" ca="1" si="490"/>
        <v>0</v>
      </c>
      <c r="AQ269" s="362">
        <f t="shared" ca="1" si="490"/>
        <v>0</v>
      </c>
      <c r="AR269" s="363">
        <f t="shared" ca="1" si="454"/>
        <v>0</v>
      </c>
      <c r="AS269" s="360">
        <f t="shared" ca="1" si="442"/>
        <v>0</v>
      </c>
      <c r="AT269" s="361">
        <f t="shared" ca="1" si="491"/>
        <v>0</v>
      </c>
      <c r="AU269" s="362">
        <f t="shared" ca="1" si="491"/>
        <v>0</v>
      </c>
      <c r="AV269" s="363">
        <f t="shared" ca="1" si="455"/>
        <v>0</v>
      </c>
      <c r="AW269" s="360">
        <f t="shared" ca="1" si="443"/>
        <v>0</v>
      </c>
      <c r="AX269" s="361">
        <f t="shared" ca="1" si="492"/>
        <v>0</v>
      </c>
      <c r="AY269" s="362">
        <f t="shared" ca="1" si="492"/>
        <v>0</v>
      </c>
      <c r="AZ269" s="363">
        <f t="shared" ca="1" si="456"/>
        <v>0</v>
      </c>
      <c r="BA269" s="360">
        <f t="shared" ca="1" si="444"/>
        <v>0</v>
      </c>
      <c r="BB269" s="361">
        <f t="shared" ca="1" si="493"/>
        <v>0</v>
      </c>
      <c r="BC269" s="362">
        <f t="shared" ca="1" si="493"/>
        <v>0</v>
      </c>
      <c r="BD269" s="363">
        <f t="shared" ca="1" si="457"/>
        <v>0</v>
      </c>
      <c r="BE269" s="360">
        <f t="shared" ca="1" si="445"/>
        <v>0</v>
      </c>
      <c r="BF269" s="361">
        <f t="shared" ca="1" si="494"/>
        <v>0</v>
      </c>
      <c r="BG269" s="362">
        <f t="shared" ca="1" si="494"/>
        <v>0</v>
      </c>
      <c r="BH269" s="363">
        <f t="shared" ca="1" si="458"/>
        <v>0</v>
      </c>
      <c r="BI269" s="360">
        <f t="shared" ca="1" si="446"/>
        <v>0</v>
      </c>
      <c r="BJ269" s="361">
        <f t="shared" ca="1" si="495"/>
        <v>0</v>
      </c>
      <c r="BK269" s="362">
        <f t="shared" ca="1" si="495"/>
        <v>0</v>
      </c>
      <c r="BL269" s="363">
        <f t="shared" ca="1" si="459"/>
        <v>0</v>
      </c>
      <c r="BM269" s="360">
        <f t="shared" ca="1" si="447"/>
        <v>0</v>
      </c>
      <c r="BN269" s="360">
        <f t="shared" ca="1" si="447"/>
        <v>0</v>
      </c>
    </row>
    <row r="270" spans="1:68">
      <c r="A270" s="221" t="str">
        <f t="shared" ca="1" si="434"/>
        <v>WP008</v>
      </c>
      <c r="B270" s="221" t="str">
        <f t="shared" ca="1" si="435"/>
        <v>WP008</v>
      </c>
      <c r="C270" s="221">
        <v>7</v>
      </c>
      <c r="D270" s="221" t="s">
        <v>118</v>
      </c>
      <c r="L270" s="221" t="s">
        <v>110</v>
      </c>
      <c r="M270" s="221" t="s">
        <v>80</v>
      </c>
      <c r="N270" s="461"/>
      <c r="O270" s="255"/>
      <c r="P270" s="389"/>
      <c r="Q270" s="254" t="s">
        <v>119</v>
      </c>
      <c r="R270" s="361">
        <f t="shared" ca="1" si="484"/>
        <v>0</v>
      </c>
      <c r="S270" s="362">
        <f t="shared" ca="1" si="484"/>
        <v>0</v>
      </c>
      <c r="T270" s="363">
        <f t="shared" ca="1" si="448"/>
        <v>0</v>
      </c>
      <c r="U270" s="360">
        <f t="shared" ca="1" si="436"/>
        <v>0</v>
      </c>
      <c r="V270" s="361">
        <f t="shared" ca="1" si="485"/>
        <v>0</v>
      </c>
      <c r="W270" s="362">
        <f t="shared" ca="1" si="485"/>
        <v>0</v>
      </c>
      <c r="X270" s="363">
        <f t="shared" ca="1" si="449"/>
        <v>0</v>
      </c>
      <c r="Y270" s="360">
        <f t="shared" ca="1" si="437"/>
        <v>0</v>
      </c>
      <c r="Z270" s="361">
        <f t="shared" ca="1" si="486"/>
        <v>0</v>
      </c>
      <c r="AA270" s="362">
        <f t="shared" ca="1" si="486"/>
        <v>0</v>
      </c>
      <c r="AB270" s="363">
        <f t="shared" ca="1" si="450"/>
        <v>0</v>
      </c>
      <c r="AC270" s="360">
        <f t="shared" ca="1" si="438"/>
        <v>0</v>
      </c>
      <c r="AD270" s="361">
        <f t="shared" ca="1" si="487"/>
        <v>0</v>
      </c>
      <c r="AE270" s="362">
        <f t="shared" ca="1" si="487"/>
        <v>0</v>
      </c>
      <c r="AF270" s="363">
        <f t="shared" ca="1" si="451"/>
        <v>0</v>
      </c>
      <c r="AG270" s="360">
        <f t="shared" ca="1" si="439"/>
        <v>0</v>
      </c>
      <c r="AH270" s="361">
        <f t="shared" ca="1" si="488"/>
        <v>0</v>
      </c>
      <c r="AI270" s="362">
        <f t="shared" ca="1" si="488"/>
        <v>0</v>
      </c>
      <c r="AJ270" s="363">
        <f t="shared" ca="1" si="452"/>
        <v>0</v>
      </c>
      <c r="AK270" s="360">
        <f t="shared" ca="1" si="440"/>
        <v>0</v>
      </c>
      <c r="AL270" s="361">
        <f t="shared" ca="1" si="489"/>
        <v>0</v>
      </c>
      <c r="AM270" s="362">
        <f t="shared" ca="1" si="489"/>
        <v>0</v>
      </c>
      <c r="AN270" s="363">
        <f t="shared" ca="1" si="453"/>
        <v>0</v>
      </c>
      <c r="AO270" s="360">
        <f t="shared" ca="1" si="441"/>
        <v>0</v>
      </c>
      <c r="AP270" s="361">
        <f t="shared" ca="1" si="490"/>
        <v>0</v>
      </c>
      <c r="AQ270" s="362">
        <f t="shared" ca="1" si="490"/>
        <v>0</v>
      </c>
      <c r="AR270" s="363">
        <f t="shared" ca="1" si="454"/>
        <v>0</v>
      </c>
      <c r="AS270" s="360">
        <f t="shared" ca="1" si="442"/>
        <v>0</v>
      </c>
      <c r="AT270" s="361">
        <f t="shared" ca="1" si="491"/>
        <v>0</v>
      </c>
      <c r="AU270" s="362">
        <f t="shared" ca="1" si="491"/>
        <v>0</v>
      </c>
      <c r="AV270" s="363">
        <f t="shared" ca="1" si="455"/>
        <v>0</v>
      </c>
      <c r="AW270" s="360">
        <f t="shared" ca="1" si="443"/>
        <v>0</v>
      </c>
      <c r="AX270" s="361">
        <f t="shared" ca="1" si="492"/>
        <v>0</v>
      </c>
      <c r="AY270" s="362">
        <f t="shared" ca="1" si="492"/>
        <v>0</v>
      </c>
      <c r="AZ270" s="363">
        <f t="shared" ca="1" si="456"/>
        <v>0</v>
      </c>
      <c r="BA270" s="360">
        <f t="shared" ca="1" si="444"/>
        <v>0</v>
      </c>
      <c r="BB270" s="361">
        <f t="shared" ca="1" si="493"/>
        <v>0</v>
      </c>
      <c r="BC270" s="362">
        <f t="shared" ca="1" si="493"/>
        <v>0</v>
      </c>
      <c r="BD270" s="363">
        <f t="shared" ca="1" si="457"/>
        <v>0</v>
      </c>
      <c r="BE270" s="360">
        <f t="shared" ca="1" si="445"/>
        <v>0</v>
      </c>
      <c r="BF270" s="361">
        <f t="shared" ca="1" si="494"/>
        <v>0</v>
      </c>
      <c r="BG270" s="362">
        <f t="shared" ca="1" si="494"/>
        <v>0</v>
      </c>
      <c r="BH270" s="363">
        <f t="shared" ca="1" si="458"/>
        <v>0</v>
      </c>
      <c r="BI270" s="360">
        <f t="shared" ca="1" si="446"/>
        <v>0</v>
      </c>
      <c r="BJ270" s="361">
        <f t="shared" ca="1" si="495"/>
        <v>0</v>
      </c>
      <c r="BK270" s="362">
        <f t="shared" ca="1" si="495"/>
        <v>0</v>
      </c>
      <c r="BL270" s="363">
        <f t="shared" ca="1" si="459"/>
        <v>0</v>
      </c>
      <c r="BM270" s="360">
        <f t="shared" ca="1" si="447"/>
        <v>0</v>
      </c>
      <c r="BN270" s="360">
        <f t="shared" ca="1" si="447"/>
        <v>0</v>
      </c>
    </row>
    <row r="271" spans="1:68">
      <c r="A271" s="221" t="str">
        <f t="shared" ca="1" si="434"/>
        <v>WP008</v>
      </c>
      <c r="B271" s="221" t="str">
        <f t="shared" ca="1" si="435"/>
        <v>WP008</v>
      </c>
      <c r="C271" s="221">
        <v>7</v>
      </c>
      <c r="D271" s="221" t="s">
        <v>120</v>
      </c>
      <c r="L271" s="221" t="s">
        <v>110</v>
      </c>
      <c r="M271" s="221" t="s">
        <v>80</v>
      </c>
      <c r="N271" s="461"/>
      <c r="O271" s="255"/>
      <c r="P271" s="389"/>
      <c r="Q271" s="254" t="s">
        <v>121</v>
      </c>
      <c r="R271" s="361">
        <f t="shared" ca="1" si="484"/>
        <v>0</v>
      </c>
      <c r="S271" s="362">
        <f t="shared" ca="1" si="484"/>
        <v>0</v>
      </c>
      <c r="T271" s="363">
        <f t="shared" ca="1" si="448"/>
        <v>0</v>
      </c>
      <c r="U271" s="360">
        <f t="shared" ca="1" si="436"/>
        <v>0</v>
      </c>
      <c r="V271" s="361">
        <f t="shared" ca="1" si="485"/>
        <v>0</v>
      </c>
      <c r="W271" s="362">
        <f t="shared" ca="1" si="485"/>
        <v>0</v>
      </c>
      <c r="X271" s="363">
        <f t="shared" ca="1" si="449"/>
        <v>0</v>
      </c>
      <c r="Y271" s="360">
        <f t="shared" ca="1" si="437"/>
        <v>0</v>
      </c>
      <c r="Z271" s="361">
        <f t="shared" ca="1" si="486"/>
        <v>0</v>
      </c>
      <c r="AA271" s="362">
        <f t="shared" ca="1" si="486"/>
        <v>0</v>
      </c>
      <c r="AB271" s="363">
        <f t="shared" ca="1" si="450"/>
        <v>0</v>
      </c>
      <c r="AC271" s="360">
        <f t="shared" ca="1" si="438"/>
        <v>0</v>
      </c>
      <c r="AD271" s="361">
        <f t="shared" ca="1" si="487"/>
        <v>0</v>
      </c>
      <c r="AE271" s="362">
        <f t="shared" ca="1" si="487"/>
        <v>0</v>
      </c>
      <c r="AF271" s="363">
        <f t="shared" ca="1" si="451"/>
        <v>0</v>
      </c>
      <c r="AG271" s="360">
        <f t="shared" ca="1" si="439"/>
        <v>0</v>
      </c>
      <c r="AH271" s="361">
        <f t="shared" ca="1" si="488"/>
        <v>0</v>
      </c>
      <c r="AI271" s="362">
        <f t="shared" ca="1" si="488"/>
        <v>0</v>
      </c>
      <c r="AJ271" s="363">
        <f t="shared" ca="1" si="452"/>
        <v>0</v>
      </c>
      <c r="AK271" s="360">
        <f t="shared" ca="1" si="440"/>
        <v>0</v>
      </c>
      <c r="AL271" s="361">
        <f t="shared" ca="1" si="489"/>
        <v>0</v>
      </c>
      <c r="AM271" s="362">
        <f t="shared" ca="1" si="489"/>
        <v>0</v>
      </c>
      <c r="AN271" s="363">
        <f t="shared" ca="1" si="453"/>
        <v>0</v>
      </c>
      <c r="AO271" s="360">
        <f t="shared" ca="1" si="441"/>
        <v>0</v>
      </c>
      <c r="AP271" s="361">
        <f t="shared" ca="1" si="490"/>
        <v>0</v>
      </c>
      <c r="AQ271" s="362">
        <f t="shared" ca="1" si="490"/>
        <v>0</v>
      </c>
      <c r="AR271" s="363">
        <f t="shared" ca="1" si="454"/>
        <v>0</v>
      </c>
      <c r="AS271" s="360">
        <f t="shared" ca="1" si="442"/>
        <v>0</v>
      </c>
      <c r="AT271" s="361">
        <f t="shared" ca="1" si="491"/>
        <v>0</v>
      </c>
      <c r="AU271" s="362">
        <f t="shared" ca="1" si="491"/>
        <v>0</v>
      </c>
      <c r="AV271" s="363">
        <f t="shared" ca="1" si="455"/>
        <v>0</v>
      </c>
      <c r="AW271" s="360">
        <f t="shared" ca="1" si="443"/>
        <v>0</v>
      </c>
      <c r="AX271" s="361">
        <f t="shared" ca="1" si="492"/>
        <v>0</v>
      </c>
      <c r="AY271" s="362">
        <f t="shared" ca="1" si="492"/>
        <v>0</v>
      </c>
      <c r="AZ271" s="363">
        <f t="shared" ca="1" si="456"/>
        <v>0</v>
      </c>
      <c r="BA271" s="360">
        <f t="shared" ca="1" si="444"/>
        <v>0</v>
      </c>
      <c r="BB271" s="361">
        <f t="shared" ca="1" si="493"/>
        <v>0</v>
      </c>
      <c r="BC271" s="362">
        <f t="shared" ca="1" si="493"/>
        <v>0</v>
      </c>
      <c r="BD271" s="363">
        <f t="shared" ca="1" si="457"/>
        <v>0</v>
      </c>
      <c r="BE271" s="360">
        <f t="shared" ca="1" si="445"/>
        <v>0</v>
      </c>
      <c r="BF271" s="361">
        <f t="shared" ca="1" si="494"/>
        <v>0</v>
      </c>
      <c r="BG271" s="362">
        <f t="shared" ca="1" si="494"/>
        <v>0</v>
      </c>
      <c r="BH271" s="363">
        <f t="shared" ca="1" si="458"/>
        <v>0</v>
      </c>
      <c r="BI271" s="360">
        <f t="shared" ca="1" si="446"/>
        <v>0</v>
      </c>
      <c r="BJ271" s="361">
        <f t="shared" ca="1" si="495"/>
        <v>0</v>
      </c>
      <c r="BK271" s="362">
        <f t="shared" ca="1" si="495"/>
        <v>0</v>
      </c>
      <c r="BL271" s="363">
        <f t="shared" ca="1" si="459"/>
        <v>0</v>
      </c>
      <c r="BM271" s="360">
        <f t="shared" ca="1" si="447"/>
        <v>0</v>
      </c>
      <c r="BN271" s="360">
        <f t="shared" ca="1" si="447"/>
        <v>0</v>
      </c>
    </row>
    <row r="272" spans="1:68">
      <c r="A272" s="221" t="str">
        <f t="shared" ca="1" si="434"/>
        <v>WP008</v>
      </c>
      <c r="B272" s="221" t="str">
        <f t="shared" ca="1" si="435"/>
        <v>WP008</v>
      </c>
      <c r="C272" s="221">
        <v>7</v>
      </c>
      <c r="D272" s="221" t="s">
        <v>122</v>
      </c>
      <c r="L272" s="221" t="s">
        <v>110</v>
      </c>
      <c r="M272" s="221" t="s">
        <v>80</v>
      </c>
      <c r="N272" s="461"/>
      <c r="O272" s="256"/>
      <c r="P272" s="389"/>
      <c r="Q272" s="254" t="s">
        <v>123</v>
      </c>
      <c r="R272" s="361">
        <f t="shared" ca="1" si="484"/>
        <v>0</v>
      </c>
      <c r="S272" s="362">
        <f t="shared" ca="1" si="484"/>
        <v>0</v>
      </c>
      <c r="T272" s="363">
        <f t="shared" ca="1" si="448"/>
        <v>0</v>
      </c>
      <c r="U272" s="360">
        <f t="shared" ca="1" si="436"/>
        <v>0</v>
      </c>
      <c r="V272" s="361">
        <f t="shared" ca="1" si="485"/>
        <v>0</v>
      </c>
      <c r="W272" s="362">
        <f t="shared" ca="1" si="485"/>
        <v>0</v>
      </c>
      <c r="X272" s="363">
        <f t="shared" ca="1" si="449"/>
        <v>0</v>
      </c>
      <c r="Y272" s="360">
        <f t="shared" ca="1" si="437"/>
        <v>0</v>
      </c>
      <c r="Z272" s="361">
        <f t="shared" ca="1" si="486"/>
        <v>0</v>
      </c>
      <c r="AA272" s="362">
        <f t="shared" ca="1" si="486"/>
        <v>0</v>
      </c>
      <c r="AB272" s="363">
        <f t="shared" ca="1" si="450"/>
        <v>0</v>
      </c>
      <c r="AC272" s="360">
        <f t="shared" ca="1" si="438"/>
        <v>0</v>
      </c>
      <c r="AD272" s="361">
        <f t="shared" ca="1" si="487"/>
        <v>0</v>
      </c>
      <c r="AE272" s="362">
        <f t="shared" ca="1" si="487"/>
        <v>0</v>
      </c>
      <c r="AF272" s="363">
        <f t="shared" ca="1" si="451"/>
        <v>0</v>
      </c>
      <c r="AG272" s="360">
        <f t="shared" ca="1" si="439"/>
        <v>0</v>
      </c>
      <c r="AH272" s="361">
        <f t="shared" ca="1" si="488"/>
        <v>0</v>
      </c>
      <c r="AI272" s="362">
        <f t="shared" ca="1" si="488"/>
        <v>0</v>
      </c>
      <c r="AJ272" s="363">
        <f t="shared" ca="1" si="452"/>
        <v>0</v>
      </c>
      <c r="AK272" s="360">
        <f t="shared" ca="1" si="440"/>
        <v>0</v>
      </c>
      <c r="AL272" s="361">
        <f t="shared" ca="1" si="489"/>
        <v>0</v>
      </c>
      <c r="AM272" s="362">
        <f t="shared" ca="1" si="489"/>
        <v>0</v>
      </c>
      <c r="AN272" s="363">
        <f t="shared" ca="1" si="453"/>
        <v>0</v>
      </c>
      <c r="AO272" s="360">
        <f t="shared" ca="1" si="441"/>
        <v>0</v>
      </c>
      <c r="AP272" s="361">
        <f t="shared" ca="1" si="490"/>
        <v>0</v>
      </c>
      <c r="AQ272" s="362">
        <f t="shared" ca="1" si="490"/>
        <v>0</v>
      </c>
      <c r="AR272" s="363">
        <f t="shared" ca="1" si="454"/>
        <v>0</v>
      </c>
      <c r="AS272" s="360">
        <f t="shared" ca="1" si="442"/>
        <v>0</v>
      </c>
      <c r="AT272" s="361">
        <f t="shared" ca="1" si="491"/>
        <v>0</v>
      </c>
      <c r="AU272" s="362">
        <f t="shared" ca="1" si="491"/>
        <v>0</v>
      </c>
      <c r="AV272" s="363">
        <f t="shared" ca="1" si="455"/>
        <v>0</v>
      </c>
      <c r="AW272" s="360">
        <f t="shared" ca="1" si="443"/>
        <v>0</v>
      </c>
      <c r="AX272" s="361">
        <f t="shared" ca="1" si="492"/>
        <v>0</v>
      </c>
      <c r="AY272" s="362">
        <f t="shared" ca="1" si="492"/>
        <v>0</v>
      </c>
      <c r="AZ272" s="363">
        <f t="shared" ca="1" si="456"/>
        <v>0</v>
      </c>
      <c r="BA272" s="360">
        <f t="shared" ca="1" si="444"/>
        <v>0</v>
      </c>
      <c r="BB272" s="361">
        <f t="shared" ca="1" si="493"/>
        <v>0</v>
      </c>
      <c r="BC272" s="362">
        <f t="shared" ca="1" si="493"/>
        <v>0</v>
      </c>
      <c r="BD272" s="363">
        <f t="shared" ca="1" si="457"/>
        <v>0</v>
      </c>
      <c r="BE272" s="360">
        <f t="shared" ca="1" si="445"/>
        <v>0</v>
      </c>
      <c r="BF272" s="361">
        <f t="shared" ca="1" si="494"/>
        <v>0</v>
      </c>
      <c r="BG272" s="362">
        <f t="shared" ca="1" si="494"/>
        <v>0</v>
      </c>
      <c r="BH272" s="363">
        <f t="shared" ca="1" si="458"/>
        <v>0</v>
      </c>
      <c r="BI272" s="360">
        <f t="shared" ca="1" si="446"/>
        <v>0</v>
      </c>
      <c r="BJ272" s="361">
        <f t="shared" ca="1" si="495"/>
        <v>0</v>
      </c>
      <c r="BK272" s="362">
        <f t="shared" ca="1" si="495"/>
        <v>0</v>
      </c>
      <c r="BL272" s="363">
        <f t="shared" ca="1" si="459"/>
        <v>0</v>
      </c>
      <c r="BM272" s="360">
        <f t="shared" ca="1" si="447"/>
        <v>0</v>
      </c>
      <c r="BN272" s="360">
        <f t="shared" ca="1" si="447"/>
        <v>0</v>
      </c>
    </row>
    <row r="273" spans="1:66">
      <c r="A273" s="221" t="str">
        <f t="shared" ca="1" si="434"/>
        <v>WP008</v>
      </c>
      <c r="B273" s="221" t="str">
        <f t="shared" ca="1" si="435"/>
        <v>WP008</v>
      </c>
      <c r="C273" s="221">
        <v>4</v>
      </c>
      <c r="D273" s="221" t="s">
        <v>124</v>
      </c>
      <c r="H273" s="221" t="s">
        <v>74</v>
      </c>
      <c r="I273" s="221" t="s">
        <v>125</v>
      </c>
      <c r="M273" s="221" t="s">
        <v>46</v>
      </c>
      <c r="N273" s="461"/>
      <c r="O273" s="452" t="s">
        <v>126</v>
      </c>
      <c r="P273" s="453"/>
      <c r="Q273" s="453"/>
      <c r="R273" s="353"/>
      <c r="S273" s="354"/>
      <c r="T273" s="355">
        <f t="shared" ca="1" si="448"/>
        <v>0</v>
      </c>
      <c r="U273" s="356">
        <f t="shared" ca="1" si="436"/>
        <v>0</v>
      </c>
      <c r="V273" s="353"/>
      <c r="W273" s="354"/>
      <c r="X273" s="355">
        <f t="shared" ca="1" si="449"/>
        <v>0</v>
      </c>
      <c r="Y273" s="356">
        <f t="shared" ca="1" si="437"/>
        <v>0</v>
      </c>
      <c r="Z273" s="353"/>
      <c r="AA273" s="354"/>
      <c r="AB273" s="355">
        <f t="shared" ca="1" si="450"/>
        <v>0</v>
      </c>
      <c r="AC273" s="356">
        <f t="shared" ca="1" si="438"/>
        <v>0</v>
      </c>
      <c r="AD273" s="353"/>
      <c r="AE273" s="354"/>
      <c r="AF273" s="355">
        <f t="shared" ca="1" si="451"/>
        <v>0</v>
      </c>
      <c r="AG273" s="356">
        <f t="shared" ca="1" si="439"/>
        <v>0</v>
      </c>
      <c r="AH273" s="353"/>
      <c r="AI273" s="354"/>
      <c r="AJ273" s="355">
        <f t="shared" ca="1" si="452"/>
        <v>0</v>
      </c>
      <c r="AK273" s="356">
        <f t="shared" ca="1" si="440"/>
        <v>0</v>
      </c>
      <c r="AL273" s="353"/>
      <c r="AM273" s="354"/>
      <c r="AN273" s="355">
        <f t="shared" ca="1" si="453"/>
        <v>0</v>
      </c>
      <c r="AO273" s="356">
        <f t="shared" ca="1" si="441"/>
        <v>0</v>
      </c>
      <c r="AP273" s="353"/>
      <c r="AQ273" s="354"/>
      <c r="AR273" s="355">
        <f t="shared" ca="1" si="454"/>
        <v>0</v>
      </c>
      <c r="AS273" s="356">
        <f t="shared" ca="1" si="442"/>
        <v>0</v>
      </c>
      <c r="AT273" s="353"/>
      <c r="AU273" s="354"/>
      <c r="AV273" s="355">
        <f t="shared" ca="1" si="455"/>
        <v>0</v>
      </c>
      <c r="AW273" s="356">
        <f t="shared" ca="1" si="443"/>
        <v>0</v>
      </c>
      <c r="AX273" s="353"/>
      <c r="AY273" s="354"/>
      <c r="AZ273" s="355">
        <f t="shared" ca="1" si="456"/>
        <v>0</v>
      </c>
      <c r="BA273" s="356">
        <f t="shared" ca="1" si="444"/>
        <v>0</v>
      </c>
      <c r="BB273" s="353"/>
      <c r="BC273" s="354"/>
      <c r="BD273" s="355">
        <f t="shared" ca="1" si="457"/>
        <v>0</v>
      </c>
      <c r="BE273" s="356">
        <f t="shared" ca="1" si="445"/>
        <v>0</v>
      </c>
      <c r="BF273" s="353"/>
      <c r="BG273" s="354"/>
      <c r="BH273" s="355">
        <f t="shared" ca="1" si="458"/>
        <v>0</v>
      </c>
      <c r="BI273" s="356">
        <f t="shared" ca="1" si="446"/>
        <v>0</v>
      </c>
      <c r="BJ273" s="353"/>
      <c r="BK273" s="354"/>
      <c r="BL273" s="355">
        <f t="shared" ca="1" si="459"/>
        <v>0</v>
      </c>
      <c r="BM273" s="356">
        <f t="shared" ca="1" si="447"/>
        <v>0</v>
      </c>
      <c r="BN273" s="356">
        <f t="shared" ca="1" si="447"/>
        <v>0</v>
      </c>
    </row>
    <row r="274" spans="1:66">
      <c r="A274" s="221" t="str">
        <f t="shared" ca="1" si="434"/>
        <v>WP008</v>
      </c>
      <c r="B274" s="221" t="str">
        <f t="shared" ca="1" si="435"/>
        <v>WP008</v>
      </c>
      <c r="C274" s="221">
        <v>5</v>
      </c>
      <c r="D274" s="221" t="s">
        <v>127</v>
      </c>
      <c r="J274" s="222" t="s">
        <v>125</v>
      </c>
      <c r="M274" s="221" t="s">
        <v>80</v>
      </c>
      <c r="N274" s="461"/>
      <c r="O274" s="257"/>
      <c r="P274" s="457" t="s">
        <v>128</v>
      </c>
      <c r="Q274" s="458"/>
      <c r="R274" s="361">
        <f ca="1">INDIRECT("'"&amp; MID(OFFSET(R274,ROW(R$3)-ROW(R274),IF(OFFSET(R274,ROW(R$2)-ROW(R274),2)="T",0,IF(OFFSET(R274,ROW(R$2)-ROW(R274),1)="T",-1,-2))),1,6) &amp; "'!" &amp; ADDRESS(ROW(R274),MATCH(INDIRECT(ADDRESS(2,COLUMN(R274)+IF(OFFSET(R274,ROW(R$2)-ROW(R274),2)="T",1,IF(OFFSET(R274,ROW(R$2)-ROW(R274),1)="T",0,-1))),TRUE),INDIRECT("'"&amp; MID(OFFSET(R274,ROW(R$3)-ROW(R274),IF(OFFSET(R274,ROW(R$2)-ROW(R274),2)="T",0,IF(OFFSET(R274,ROW(R$2)-ROW(R274),1)="T",-1,-2))),1,6) &amp; "'!2:2",TRUE),0)-IF(OFFSET(R274,ROW(R$2)-ROW(R274),2)="T",1,IF(OFFSET(R274,ROW(R$2)-ROW(R274),1)="T",0,-1))),TRUE)</f>
        <v>0</v>
      </c>
      <c r="S274" s="362">
        <f ca="1">INDIRECT("'"&amp; MID(OFFSET(S274,ROW(S$3)-ROW(S274),IF(OFFSET(S274,ROW(S$2)-ROW(S274),2)="T",0,IF(OFFSET(S274,ROW(S$2)-ROW(S274),1)="T",-1,-2))),1,6) &amp; "'!" &amp; ADDRESS(ROW(S274),MATCH(INDIRECT(ADDRESS(2,COLUMN(S274)+IF(OFFSET(S274,ROW(S$2)-ROW(S274),2)="T",1,IF(OFFSET(S274,ROW(S$2)-ROW(S274),1)="T",0,-1))),TRUE),INDIRECT("'"&amp; MID(OFFSET(S274,ROW(S$3)-ROW(S274),IF(OFFSET(S274,ROW(S$2)-ROW(S274),2)="T",0,IF(OFFSET(S274,ROW(S$2)-ROW(S274),1)="T",-1,-2))),1,6) &amp; "'!2:2",TRUE),0)-IF(OFFSET(S274,ROW(S$2)-ROW(S274),2)="T",1,IF(OFFSET(S274,ROW(S$2)-ROW(S274),1)="T",0,-1))),TRUE)</f>
        <v>0</v>
      </c>
      <c r="T274" s="363">
        <f t="shared" ca="1" si="448"/>
        <v>0</v>
      </c>
      <c r="U274" s="360">
        <f t="shared" ca="1" si="436"/>
        <v>0</v>
      </c>
      <c r="V274" s="361">
        <f ca="1">INDIRECT("'"&amp; MID(OFFSET(V274,ROW(V$3)-ROW(V274),IF(OFFSET(V274,ROW(V$2)-ROW(V274),2)="T",0,IF(OFFSET(V274,ROW(V$2)-ROW(V274),1)="T",-1,-2))),1,6) &amp; "'!" &amp; ADDRESS(ROW(V274),MATCH(INDIRECT(ADDRESS(2,COLUMN(V274)+IF(OFFSET(V274,ROW(V$2)-ROW(V274),2)="T",1,IF(OFFSET(V274,ROW(V$2)-ROW(V274),1)="T",0,-1))),TRUE),INDIRECT("'"&amp; MID(OFFSET(V274,ROW(V$3)-ROW(V274),IF(OFFSET(V274,ROW(V$2)-ROW(V274),2)="T",0,IF(OFFSET(V274,ROW(V$2)-ROW(V274),1)="T",-1,-2))),1,6) &amp; "'!2:2",TRUE),0)-IF(OFFSET(V274,ROW(V$2)-ROW(V274),2)="T",1,IF(OFFSET(V274,ROW(V$2)-ROW(V274),1)="T",0,-1))),TRUE)</f>
        <v>0</v>
      </c>
      <c r="W274" s="362">
        <f ca="1">INDIRECT("'"&amp; MID(OFFSET(W274,ROW(W$3)-ROW(W274),IF(OFFSET(W274,ROW(W$2)-ROW(W274),2)="T",0,IF(OFFSET(W274,ROW(W$2)-ROW(W274),1)="T",-1,-2))),1,6) &amp; "'!" &amp; ADDRESS(ROW(W274),MATCH(INDIRECT(ADDRESS(2,COLUMN(W274)+IF(OFFSET(W274,ROW(W$2)-ROW(W274),2)="T",1,IF(OFFSET(W274,ROW(W$2)-ROW(W274),1)="T",0,-1))),TRUE),INDIRECT("'"&amp; MID(OFFSET(W274,ROW(W$3)-ROW(W274),IF(OFFSET(W274,ROW(W$2)-ROW(W274),2)="T",0,IF(OFFSET(W274,ROW(W$2)-ROW(W274),1)="T",-1,-2))),1,6) &amp; "'!2:2",TRUE),0)-IF(OFFSET(W274,ROW(W$2)-ROW(W274),2)="T",1,IF(OFFSET(W274,ROW(W$2)-ROW(W274),1)="T",0,-1))),TRUE)</f>
        <v>0</v>
      </c>
      <c r="X274" s="363">
        <f t="shared" ca="1" si="449"/>
        <v>0</v>
      </c>
      <c r="Y274" s="360">
        <f t="shared" ca="1" si="437"/>
        <v>0</v>
      </c>
      <c r="Z274" s="361">
        <f ca="1">INDIRECT("'"&amp; MID(OFFSET(Z274,ROW(Z$3)-ROW(Z274),IF(OFFSET(Z274,ROW(Z$2)-ROW(Z274),2)="T",0,IF(OFFSET(Z274,ROW(Z$2)-ROW(Z274),1)="T",-1,-2))),1,6) &amp; "'!" &amp; ADDRESS(ROW(Z274),MATCH(INDIRECT(ADDRESS(2,COLUMN(Z274)+IF(OFFSET(Z274,ROW(Z$2)-ROW(Z274),2)="T",1,IF(OFFSET(Z274,ROW(Z$2)-ROW(Z274),1)="T",0,-1))),TRUE),INDIRECT("'"&amp; MID(OFFSET(Z274,ROW(Z$3)-ROW(Z274),IF(OFFSET(Z274,ROW(Z$2)-ROW(Z274),2)="T",0,IF(OFFSET(Z274,ROW(Z$2)-ROW(Z274),1)="T",-1,-2))),1,6) &amp; "'!2:2",TRUE),0)-IF(OFFSET(Z274,ROW(Z$2)-ROW(Z274),2)="T",1,IF(OFFSET(Z274,ROW(Z$2)-ROW(Z274),1)="T",0,-1))),TRUE)</f>
        <v>0</v>
      </c>
      <c r="AA274" s="362">
        <f ca="1">INDIRECT("'"&amp; MID(OFFSET(AA274,ROW(AA$3)-ROW(AA274),IF(OFFSET(AA274,ROW(AA$2)-ROW(AA274),2)="T",0,IF(OFFSET(AA274,ROW(AA$2)-ROW(AA274),1)="T",-1,-2))),1,6) &amp; "'!" &amp; ADDRESS(ROW(AA274),MATCH(INDIRECT(ADDRESS(2,COLUMN(AA274)+IF(OFFSET(AA274,ROW(AA$2)-ROW(AA274),2)="T",1,IF(OFFSET(AA274,ROW(AA$2)-ROW(AA274),1)="T",0,-1))),TRUE),INDIRECT("'"&amp; MID(OFFSET(AA274,ROW(AA$3)-ROW(AA274),IF(OFFSET(AA274,ROW(AA$2)-ROW(AA274),2)="T",0,IF(OFFSET(AA274,ROW(AA$2)-ROW(AA274),1)="T",-1,-2))),1,6) &amp; "'!2:2",TRUE),0)-IF(OFFSET(AA274,ROW(AA$2)-ROW(AA274),2)="T",1,IF(OFFSET(AA274,ROW(AA$2)-ROW(AA274),1)="T",0,-1))),TRUE)</f>
        <v>0</v>
      </c>
      <c r="AB274" s="363">
        <f t="shared" ca="1" si="450"/>
        <v>0</v>
      </c>
      <c r="AC274" s="360">
        <f t="shared" ca="1" si="438"/>
        <v>0</v>
      </c>
      <c r="AD274" s="361">
        <f ca="1">INDIRECT("'"&amp; MID(OFFSET(AD274,ROW(AD$3)-ROW(AD274),IF(OFFSET(AD274,ROW(AD$2)-ROW(AD274),2)="T",0,IF(OFFSET(AD274,ROW(AD$2)-ROW(AD274),1)="T",-1,-2))),1,6) &amp; "'!" &amp; ADDRESS(ROW(AD274),MATCH(INDIRECT(ADDRESS(2,COLUMN(AD274)+IF(OFFSET(AD274,ROW(AD$2)-ROW(AD274),2)="T",1,IF(OFFSET(AD274,ROW(AD$2)-ROW(AD274),1)="T",0,-1))),TRUE),INDIRECT("'"&amp; MID(OFFSET(AD274,ROW(AD$3)-ROW(AD274),IF(OFFSET(AD274,ROW(AD$2)-ROW(AD274),2)="T",0,IF(OFFSET(AD274,ROW(AD$2)-ROW(AD274),1)="T",-1,-2))),1,6) &amp; "'!2:2",TRUE),0)-IF(OFFSET(AD274,ROW(AD$2)-ROW(AD274),2)="T",1,IF(OFFSET(AD274,ROW(AD$2)-ROW(AD274),1)="T",0,-1))),TRUE)</f>
        <v>0</v>
      </c>
      <c r="AE274" s="362">
        <f ca="1">INDIRECT("'"&amp; MID(OFFSET(AE274,ROW(AE$3)-ROW(AE274),IF(OFFSET(AE274,ROW(AE$2)-ROW(AE274),2)="T",0,IF(OFFSET(AE274,ROW(AE$2)-ROW(AE274),1)="T",-1,-2))),1,6) &amp; "'!" &amp; ADDRESS(ROW(AE274),MATCH(INDIRECT(ADDRESS(2,COLUMN(AE274)+IF(OFFSET(AE274,ROW(AE$2)-ROW(AE274),2)="T",1,IF(OFFSET(AE274,ROW(AE$2)-ROW(AE274),1)="T",0,-1))),TRUE),INDIRECT("'"&amp; MID(OFFSET(AE274,ROW(AE$3)-ROW(AE274),IF(OFFSET(AE274,ROW(AE$2)-ROW(AE274),2)="T",0,IF(OFFSET(AE274,ROW(AE$2)-ROW(AE274),1)="T",-1,-2))),1,6) &amp; "'!2:2",TRUE),0)-IF(OFFSET(AE274,ROW(AE$2)-ROW(AE274),2)="T",1,IF(OFFSET(AE274,ROW(AE$2)-ROW(AE274),1)="T",0,-1))),TRUE)</f>
        <v>0</v>
      </c>
      <c r="AF274" s="363">
        <f t="shared" ca="1" si="451"/>
        <v>0</v>
      </c>
      <c r="AG274" s="360">
        <f t="shared" ca="1" si="439"/>
        <v>0</v>
      </c>
      <c r="AH274" s="361">
        <f ca="1">INDIRECT("'"&amp; MID(OFFSET(AH274,ROW(AH$3)-ROW(AH274),IF(OFFSET(AH274,ROW(AH$2)-ROW(AH274),2)="T",0,IF(OFFSET(AH274,ROW(AH$2)-ROW(AH274),1)="T",-1,-2))),1,6) &amp; "'!" &amp; ADDRESS(ROW(AH274),MATCH(INDIRECT(ADDRESS(2,COLUMN(AH274)+IF(OFFSET(AH274,ROW(AH$2)-ROW(AH274),2)="T",1,IF(OFFSET(AH274,ROW(AH$2)-ROW(AH274),1)="T",0,-1))),TRUE),INDIRECT("'"&amp; MID(OFFSET(AH274,ROW(AH$3)-ROW(AH274),IF(OFFSET(AH274,ROW(AH$2)-ROW(AH274),2)="T",0,IF(OFFSET(AH274,ROW(AH$2)-ROW(AH274),1)="T",-1,-2))),1,6) &amp; "'!2:2",TRUE),0)-IF(OFFSET(AH274,ROW(AH$2)-ROW(AH274),2)="T",1,IF(OFFSET(AH274,ROW(AH$2)-ROW(AH274),1)="T",0,-1))),TRUE)</f>
        <v>0</v>
      </c>
      <c r="AI274" s="362">
        <f ca="1">INDIRECT("'"&amp; MID(OFFSET(AI274,ROW(AI$3)-ROW(AI274),IF(OFFSET(AI274,ROW(AI$2)-ROW(AI274),2)="T",0,IF(OFFSET(AI274,ROW(AI$2)-ROW(AI274),1)="T",-1,-2))),1,6) &amp; "'!" &amp; ADDRESS(ROW(AI274),MATCH(INDIRECT(ADDRESS(2,COLUMN(AI274)+IF(OFFSET(AI274,ROW(AI$2)-ROW(AI274),2)="T",1,IF(OFFSET(AI274,ROW(AI$2)-ROW(AI274),1)="T",0,-1))),TRUE),INDIRECT("'"&amp; MID(OFFSET(AI274,ROW(AI$3)-ROW(AI274),IF(OFFSET(AI274,ROW(AI$2)-ROW(AI274),2)="T",0,IF(OFFSET(AI274,ROW(AI$2)-ROW(AI274),1)="T",-1,-2))),1,6) &amp; "'!2:2",TRUE),0)-IF(OFFSET(AI274,ROW(AI$2)-ROW(AI274),2)="T",1,IF(OFFSET(AI274,ROW(AI$2)-ROW(AI274),1)="T",0,-1))),TRUE)</f>
        <v>0</v>
      </c>
      <c r="AJ274" s="363">
        <f t="shared" ca="1" si="452"/>
        <v>0</v>
      </c>
      <c r="AK274" s="360">
        <f t="shared" ca="1" si="440"/>
        <v>0</v>
      </c>
      <c r="AL274" s="361">
        <f ca="1">INDIRECT("'"&amp; MID(OFFSET(AL274,ROW(AL$3)-ROW(AL274),IF(OFFSET(AL274,ROW(AL$2)-ROW(AL274),2)="T",0,IF(OFFSET(AL274,ROW(AL$2)-ROW(AL274),1)="T",-1,-2))),1,6) &amp; "'!" &amp; ADDRESS(ROW(AL274),MATCH(INDIRECT(ADDRESS(2,COLUMN(AL274)+IF(OFFSET(AL274,ROW(AL$2)-ROW(AL274),2)="T",1,IF(OFFSET(AL274,ROW(AL$2)-ROW(AL274),1)="T",0,-1))),TRUE),INDIRECT("'"&amp; MID(OFFSET(AL274,ROW(AL$3)-ROW(AL274),IF(OFFSET(AL274,ROW(AL$2)-ROW(AL274),2)="T",0,IF(OFFSET(AL274,ROW(AL$2)-ROW(AL274),1)="T",-1,-2))),1,6) &amp; "'!2:2",TRUE),0)-IF(OFFSET(AL274,ROW(AL$2)-ROW(AL274),2)="T",1,IF(OFFSET(AL274,ROW(AL$2)-ROW(AL274),1)="T",0,-1))),TRUE)</f>
        <v>0</v>
      </c>
      <c r="AM274" s="362">
        <f ca="1">INDIRECT("'"&amp; MID(OFFSET(AM274,ROW(AM$3)-ROW(AM274),IF(OFFSET(AM274,ROW(AM$2)-ROW(AM274),2)="T",0,IF(OFFSET(AM274,ROW(AM$2)-ROW(AM274),1)="T",-1,-2))),1,6) &amp; "'!" &amp; ADDRESS(ROW(AM274),MATCH(INDIRECT(ADDRESS(2,COLUMN(AM274)+IF(OFFSET(AM274,ROW(AM$2)-ROW(AM274),2)="T",1,IF(OFFSET(AM274,ROW(AM$2)-ROW(AM274),1)="T",0,-1))),TRUE),INDIRECT("'"&amp; MID(OFFSET(AM274,ROW(AM$3)-ROW(AM274),IF(OFFSET(AM274,ROW(AM$2)-ROW(AM274),2)="T",0,IF(OFFSET(AM274,ROW(AM$2)-ROW(AM274),1)="T",-1,-2))),1,6) &amp; "'!2:2",TRUE),0)-IF(OFFSET(AM274,ROW(AM$2)-ROW(AM274),2)="T",1,IF(OFFSET(AM274,ROW(AM$2)-ROW(AM274),1)="T",0,-1))),TRUE)</f>
        <v>0</v>
      </c>
      <c r="AN274" s="363">
        <f t="shared" ca="1" si="453"/>
        <v>0</v>
      </c>
      <c r="AO274" s="360">
        <f t="shared" ca="1" si="441"/>
        <v>0</v>
      </c>
      <c r="AP274" s="361">
        <f ca="1">INDIRECT("'"&amp; MID(OFFSET(AP274,ROW(AP$3)-ROW(AP274),IF(OFFSET(AP274,ROW(AP$2)-ROW(AP274),2)="T",0,IF(OFFSET(AP274,ROW(AP$2)-ROW(AP274),1)="T",-1,-2))),1,6) &amp; "'!" &amp; ADDRESS(ROW(AP274),MATCH(INDIRECT(ADDRESS(2,COLUMN(AP274)+IF(OFFSET(AP274,ROW(AP$2)-ROW(AP274),2)="T",1,IF(OFFSET(AP274,ROW(AP$2)-ROW(AP274),1)="T",0,-1))),TRUE),INDIRECT("'"&amp; MID(OFFSET(AP274,ROW(AP$3)-ROW(AP274),IF(OFFSET(AP274,ROW(AP$2)-ROW(AP274),2)="T",0,IF(OFFSET(AP274,ROW(AP$2)-ROW(AP274),1)="T",-1,-2))),1,6) &amp; "'!2:2",TRUE),0)-IF(OFFSET(AP274,ROW(AP$2)-ROW(AP274),2)="T",1,IF(OFFSET(AP274,ROW(AP$2)-ROW(AP274),1)="T",0,-1))),TRUE)</f>
        <v>0</v>
      </c>
      <c r="AQ274" s="362">
        <f ca="1">INDIRECT("'"&amp; MID(OFFSET(AQ274,ROW(AQ$3)-ROW(AQ274),IF(OFFSET(AQ274,ROW(AQ$2)-ROW(AQ274),2)="T",0,IF(OFFSET(AQ274,ROW(AQ$2)-ROW(AQ274),1)="T",-1,-2))),1,6) &amp; "'!" &amp; ADDRESS(ROW(AQ274),MATCH(INDIRECT(ADDRESS(2,COLUMN(AQ274)+IF(OFFSET(AQ274,ROW(AQ$2)-ROW(AQ274),2)="T",1,IF(OFFSET(AQ274,ROW(AQ$2)-ROW(AQ274),1)="T",0,-1))),TRUE),INDIRECT("'"&amp; MID(OFFSET(AQ274,ROW(AQ$3)-ROW(AQ274),IF(OFFSET(AQ274,ROW(AQ$2)-ROW(AQ274),2)="T",0,IF(OFFSET(AQ274,ROW(AQ$2)-ROW(AQ274),1)="T",-1,-2))),1,6) &amp; "'!2:2",TRUE),0)-IF(OFFSET(AQ274,ROW(AQ$2)-ROW(AQ274),2)="T",1,IF(OFFSET(AQ274,ROW(AQ$2)-ROW(AQ274),1)="T",0,-1))),TRUE)</f>
        <v>0</v>
      </c>
      <c r="AR274" s="363">
        <f t="shared" ca="1" si="454"/>
        <v>0</v>
      </c>
      <c r="AS274" s="360">
        <f t="shared" ca="1" si="442"/>
        <v>0</v>
      </c>
      <c r="AT274" s="361">
        <f ca="1">INDIRECT("'"&amp; MID(OFFSET(AT274,ROW(AT$3)-ROW(AT274),IF(OFFSET(AT274,ROW(AT$2)-ROW(AT274),2)="T",0,IF(OFFSET(AT274,ROW(AT$2)-ROW(AT274),1)="T",-1,-2))),1,6) &amp; "'!" &amp; ADDRESS(ROW(AT274),MATCH(INDIRECT(ADDRESS(2,COLUMN(AT274)+IF(OFFSET(AT274,ROW(AT$2)-ROW(AT274),2)="T",1,IF(OFFSET(AT274,ROW(AT$2)-ROW(AT274),1)="T",0,-1))),TRUE),INDIRECT("'"&amp; MID(OFFSET(AT274,ROW(AT$3)-ROW(AT274),IF(OFFSET(AT274,ROW(AT$2)-ROW(AT274),2)="T",0,IF(OFFSET(AT274,ROW(AT$2)-ROW(AT274),1)="T",-1,-2))),1,6) &amp; "'!2:2",TRUE),0)-IF(OFFSET(AT274,ROW(AT$2)-ROW(AT274),2)="T",1,IF(OFFSET(AT274,ROW(AT$2)-ROW(AT274),1)="T",0,-1))),TRUE)</f>
        <v>0</v>
      </c>
      <c r="AU274" s="362">
        <f ca="1">INDIRECT("'"&amp; MID(OFFSET(AU274,ROW(AU$3)-ROW(AU274),IF(OFFSET(AU274,ROW(AU$2)-ROW(AU274),2)="T",0,IF(OFFSET(AU274,ROW(AU$2)-ROW(AU274),1)="T",-1,-2))),1,6) &amp; "'!" &amp; ADDRESS(ROW(AU274),MATCH(INDIRECT(ADDRESS(2,COLUMN(AU274)+IF(OFFSET(AU274,ROW(AU$2)-ROW(AU274),2)="T",1,IF(OFFSET(AU274,ROW(AU$2)-ROW(AU274),1)="T",0,-1))),TRUE),INDIRECT("'"&amp; MID(OFFSET(AU274,ROW(AU$3)-ROW(AU274),IF(OFFSET(AU274,ROW(AU$2)-ROW(AU274),2)="T",0,IF(OFFSET(AU274,ROW(AU$2)-ROW(AU274),1)="T",-1,-2))),1,6) &amp; "'!2:2",TRUE),0)-IF(OFFSET(AU274,ROW(AU$2)-ROW(AU274),2)="T",1,IF(OFFSET(AU274,ROW(AU$2)-ROW(AU274),1)="T",0,-1))),TRUE)</f>
        <v>0</v>
      </c>
      <c r="AV274" s="363">
        <f t="shared" ca="1" si="455"/>
        <v>0</v>
      </c>
      <c r="AW274" s="360">
        <f t="shared" ca="1" si="443"/>
        <v>0</v>
      </c>
      <c r="AX274" s="361">
        <f ca="1">INDIRECT("'"&amp; MID(OFFSET(AX274,ROW(AX$3)-ROW(AX274),IF(OFFSET(AX274,ROW(AX$2)-ROW(AX274),2)="T",0,IF(OFFSET(AX274,ROW(AX$2)-ROW(AX274),1)="T",-1,-2))),1,6) &amp; "'!" &amp; ADDRESS(ROW(AX274),MATCH(INDIRECT(ADDRESS(2,COLUMN(AX274)+IF(OFFSET(AX274,ROW(AX$2)-ROW(AX274),2)="T",1,IF(OFFSET(AX274,ROW(AX$2)-ROW(AX274),1)="T",0,-1))),TRUE),INDIRECT("'"&amp; MID(OFFSET(AX274,ROW(AX$3)-ROW(AX274),IF(OFFSET(AX274,ROW(AX$2)-ROW(AX274),2)="T",0,IF(OFFSET(AX274,ROW(AX$2)-ROW(AX274),1)="T",-1,-2))),1,6) &amp; "'!2:2",TRUE),0)-IF(OFFSET(AX274,ROW(AX$2)-ROW(AX274),2)="T",1,IF(OFFSET(AX274,ROW(AX$2)-ROW(AX274),1)="T",0,-1))),TRUE)</f>
        <v>0</v>
      </c>
      <c r="AY274" s="362">
        <f ca="1">INDIRECT("'"&amp; MID(OFFSET(AY274,ROW(AY$3)-ROW(AY274),IF(OFFSET(AY274,ROW(AY$2)-ROW(AY274),2)="T",0,IF(OFFSET(AY274,ROW(AY$2)-ROW(AY274),1)="T",-1,-2))),1,6) &amp; "'!" &amp; ADDRESS(ROW(AY274),MATCH(INDIRECT(ADDRESS(2,COLUMN(AY274)+IF(OFFSET(AY274,ROW(AY$2)-ROW(AY274),2)="T",1,IF(OFFSET(AY274,ROW(AY$2)-ROW(AY274),1)="T",0,-1))),TRUE),INDIRECT("'"&amp; MID(OFFSET(AY274,ROW(AY$3)-ROW(AY274),IF(OFFSET(AY274,ROW(AY$2)-ROW(AY274),2)="T",0,IF(OFFSET(AY274,ROW(AY$2)-ROW(AY274),1)="T",-1,-2))),1,6) &amp; "'!2:2",TRUE),0)-IF(OFFSET(AY274,ROW(AY$2)-ROW(AY274),2)="T",1,IF(OFFSET(AY274,ROW(AY$2)-ROW(AY274),1)="T",0,-1))),TRUE)</f>
        <v>0</v>
      </c>
      <c r="AZ274" s="363">
        <f t="shared" ca="1" si="456"/>
        <v>0</v>
      </c>
      <c r="BA274" s="360">
        <f t="shared" ca="1" si="444"/>
        <v>0</v>
      </c>
      <c r="BB274" s="361">
        <f ca="1">INDIRECT("'"&amp; MID(OFFSET(BB274,ROW(BB$3)-ROW(BB274),IF(OFFSET(BB274,ROW(BB$2)-ROW(BB274),2)="T",0,IF(OFFSET(BB274,ROW(BB$2)-ROW(BB274),1)="T",-1,-2))),1,6) &amp; "'!" &amp; ADDRESS(ROW(BB274),MATCH(INDIRECT(ADDRESS(2,COLUMN(BB274)+IF(OFFSET(BB274,ROW(BB$2)-ROW(BB274),2)="T",1,IF(OFFSET(BB274,ROW(BB$2)-ROW(BB274),1)="T",0,-1))),TRUE),INDIRECT("'"&amp; MID(OFFSET(BB274,ROW(BB$3)-ROW(BB274),IF(OFFSET(BB274,ROW(BB$2)-ROW(BB274),2)="T",0,IF(OFFSET(BB274,ROW(BB$2)-ROW(BB274),1)="T",-1,-2))),1,6) &amp; "'!2:2",TRUE),0)-IF(OFFSET(BB274,ROW(BB$2)-ROW(BB274),2)="T",1,IF(OFFSET(BB274,ROW(BB$2)-ROW(BB274),1)="T",0,-1))),TRUE)</f>
        <v>0</v>
      </c>
      <c r="BC274" s="362">
        <f ca="1">INDIRECT("'"&amp; MID(OFFSET(BC274,ROW(BC$3)-ROW(BC274),IF(OFFSET(BC274,ROW(BC$2)-ROW(BC274),2)="T",0,IF(OFFSET(BC274,ROW(BC$2)-ROW(BC274),1)="T",-1,-2))),1,6) &amp; "'!" &amp; ADDRESS(ROW(BC274),MATCH(INDIRECT(ADDRESS(2,COLUMN(BC274)+IF(OFFSET(BC274,ROW(BC$2)-ROW(BC274),2)="T",1,IF(OFFSET(BC274,ROW(BC$2)-ROW(BC274),1)="T",0,-1))),TRUE),INDIRECT("'"&amp; MID(OFFSET(BC274,ROW(BC$3)-ROW(BC274),IF(OFFSET(BC274,ROW(BC$2)-ROW(BC274),2)="T",0,IF(OFFSET(BC274,ROW(BC$2)-ROW(BC274),1)="T",-1,-2))),1,6) &amp; "'!2:2",TRUE),0)-IF(OFFSET(BC274,ROW(BC$2)-ROW(BC274),2)="T",1,IF(OFFSET(BC274,ROW(BC$2)-ROW(BC274),1)="T",0,-1))),TRUE)</f>
        <v>0</v>
      </c>
      <c r="BD274" s="363">
        <f t="shared" ca="1" si="457"/>
        <v>0</v>
      </c>
      <c r="BE274" s="360">
        <f t="shared" ca="1" si="445"/>
        <v>0</v>
      </c>
      <c r="BF274" s="361">
        <f ca="1">INDIRECT("'"&amp; MID(OFFSET(BF274,ROW(BF$3)-ROW(BF274),IF(OFFSET(BF274,ROW(BF$2)-ROW(BF274),2)="T",0,IF(OFFSET(BF274,ROW(BF$2)-ROW(BF274),1)="T",-1,-2))),1,6) &amp; "'!" &amp; ADDRESS(ROW(BF274),MATCH(INDIRECT(ADDRESS(2,COLUMN(BF274)+IF(OFFSET(BF274,ROW(BF$2)-ROW(BF274),2)="T",1,IF(OFFSET(BF274,ROW(BF$2)-ROW(BF274),1)="T",0,-1))),TRUE),INDIRECT("'"&amp; MID(OFFSET(BF274,ROW(BF$3)-ROW(BF274),IF(OFFSET(BF274,ROW(BF$2)-ROW(BF274),2)="T",0,IF(OFFSET(BF274,ROW(BF$2)-ROW(BF274),1)="T",-1,-2))),1,6) &amp; "'!2:2",TRUE),0)-IF(OFFSET(BF274,ROW(BF$2)-ROW(BF274),2)="T",1,IF(OFFSET(BF274,ROW(BF$2)-ROW(BF274),1)="T",0,-1))),TRUE)</f>
        <v>0</v>
      </c>
      <c r="BG274" s="362">
        <f ca="1">INDIRECT("'"&amp; MID(OFFSET(BG274,ROW(BG$3)-ROW(BG274),IF(OFFSET(BG274,ROW(BG$2)-ROW(BG274),2)="T",0,IF(OFFSET(BG274,ROW(BG$2)-ROW(BG274),1)="T",-1,-2))),1,6) &amp; "'!" &amp; ADDRESS(ROW(BG274),MATCH(INDIRECT(ADDRESS(2,COLUMN(BG274)+IF(OFFSET(BG274,ROW(BG$2)-ROW(BG274),2)="T",1,IF(OFFSET(BG274,ROW(BG$2)-ROW(BG274),1)="T",0,-1))),TRUE),INDIRECT("'"&amp; MID(OFFSET(BG274,ROW(BG$3)-ROW(BG274),IF(OFFSET(BG274,ROW(BG$2)-ROW(BG274),2)="T",0,IF(OFFSET(BG274,ROW(BG$2)-ROW(BG274),1)="T",-1,-2))),1,6) &amp; "'!2:2",TRUE),0)-IF(OFFSET(BG274,ROW(BG$2)-ROW(BG274),2)="T",1,IF(OFFSET(BG274,ROW(BG$2)-ROW(BG274),1)="T",0,-1))),TRUE)</f>
        <v>0</v>
      </c>
      <c r="BH274" s="363">
        <f t="shared" ca="1" si="458"/>
        <v>0</v>
      </c>
      <c r="BI274" s="360">
        <f t="shared" ca="1" si="446"/>
        <v>0</v>
      </c>
      <c r="BJ274" s="361">
        <f ca="1">INDIRECT("'"&amp; MID(OFFSET(BJ274,ROW(BJ$3)-ROW(BJ274),IF(OFFSET(BJ274,ROW(BJ$2)-ROW(BJ274),2)="T",0,IF(OFFSET(BJ274,ROW(BJ$2)-ROW(BJ274),1)="T",-1,-2))),1,6) &amp; "'!" &amp; ADDRESS(ROW(BJ274),MATCH(INDIRECT(ADDRESS(2,COLUMN(BJ274)+IF(OFFSET(BJ274,ROW(BJ$2)-ROW(BJ274),2)="T",1,IF(OFFSET(BJ274,ROW(BJ$2)-ROW(BJ274),1)="T",0,-1))),TRUE),INDIRECT("'"&amp; MID(OFFSET(BJ274,ROW(BJ$3)-ROW(BJ274),IF(OFFSET(BJ274,ROW(BJ$2)-ROW(BJ274),2)="T",0,IF(OFFSET(BJ274,ROW(BJ$2)-ROW(BJ274),1)="T",-1,-2))),1,6) &amp; "'!2:2",TRUE),0)-IF(OFFSET(BJ274,ROW(BJ$2)-ROW(BJ274),2)="T",1,IF(OFFSET(BJ274,ROW(BJ$2)-ROW(BJ274),1)="T",0,-1))),TRUE)</f>
        <v>0</v>
      </c>
      <c r="BK274" s="362">
        <f ca="1">INDIRECT("'"&amp; MID(OFFSET(BK274,ROW(BK$3)-ROW(BK274),IF(OFFSET(BK274,ROW(BK$2)-ROW(BK274),2)="T",0,IF(OFFSET(BK274,ROW(BK$2)-ROW(BK274),1)="T",-1,-2))),1,6) &amp; "'!" &amp; ADDRESS(ROW(BK274),MATCH(INDIRECT(ADDRESS(2,COLUMN(BK274)+IF(OFFSET(BK274,ROW(BK$2)-ROW(BK274),2)="T",1,IF(OFFSET(BK274,ROW(BK$2)-ROW(BK274),1)="T",0,-1))),TRUE),INDIRECT("'"&amp; MID(OFFSET(BK274,ROW(BK$3)-ROW(BK274),IF(OFFSET(BK274,ROW(BK$2)-ROW(BK274),2)="T",0,IF(OFFSET(BK274,ROW(BK$2)-ROW(BK274),1)="T",-1,-2))),1,6) &amp; "'!2:2",TRUE),0)-IF(OFFSET(BK274,ROW(BK$2)-ROW(BK274),2)="T",1,IF(OFFSET(BK274,ROW(BK$2)-ROW(BK274),1)="T",0,-1))),TRUE)</f>
        <v>0</v>
      </c>
      <c r="BL274" s="363">
        <f t="shared" ca="1" si="459"/>
        <v>0</v>
      </c>
      <c r="BM274" s="360">
        <f t="shared" ca="1" si="447"/>
        <v>0</v>
      </c>
      <c r="BN274" s="360">
        <f t="shared" ca="1" si="447"/>
        <v>0</v>
      </c>
    </row>
    <row r="275" spans="1:66">
      <c r="A275" s="221" t="str">
        <f t="shared" ca="1" si="434"/>
        <v>WP008</v>
      </c>
      <c r="B275" s="221" t="str">
        <f t="shared" ca="1" si="435"/>
        <v>WP008</v>
      </c>
      <c r="C275" s="221">
        <v>2</v>
      </c>
      <c r="D275" s="221" t="s">
        <v>129</v>
      </c>
      <c r="F275" s="221" t="s">
        <v>130</v>
      </c>
      <c r="G275" s="221" t="s">
        <v>74</v>
      </c>
      <c r="M275" s="221" t="s">
        <v>46</v>
      </c>
      <c r="N275" s="461"/>
      <c r="O275" s="450" t="s">
        <v>131</v>
      </c>
      <c r="P275" s="451"/>
      <c r="Q275" s="451"/>
      <c r="R275" s="366"/>
      <c r="S275" s="367"/>
      <c r="T275" s="368">
        <f t="shared" ca="1" si="448"/>
        <v>0</v>
      </c>
      <c r="U275" s="369">
        <f t="shared" ca="1" si="436"/>
        <v>0</v>
      </c>
      <c r="V275" s="366"/>
      <c r="W275" s="367"/>
      <c r="X275" s="368">
        <f t="shared" ca="1" si="449"/>
        <v>0</v>
      </c>
      <c r="Y275" s="369">
        <f t="shared" ca="1" si="437"/>
        <v>0</v>
      </c>
      <c r="Z275" s="366"/>
      <c r="AA275" s="367"/>
      <c r="AB275" s="368">
        <f t="shared" ca="1" si="450"/>
        <v>0</v>
      </c>
      <c r="AC275" s="369">
        <f t="shared" ca="1" si="438"/>
        <v>0</v>
      </c>
      <c r="AD275" s="366"/>
      <c r="AE275" s="367"/>
      <c r="AF275" s="368">
        <f t="shared" ca="1" si="451"/>
        <v>0</v>
      </c>
      <c r="AG275" s="369">
        <f t="shared" ca="1" si="439"/>
        <v>0</v>
      </c>
      <c r="AH275" s="366"/>
      <c r="AI275" s="367"/>
      <c r="AJ275" s="368">
        <f t="shared" ca="1" si="452"/>
        <v>0</v>
      </c>
      <c r="AK275" s="369">
        <f t="shared" ca="1" si="440"/>
        <v>0</v>
      </c>
      <c r="AL275" s="366"/>
      <c r="AM275" s="367"/>
      <c r="AN275" s="368">
        <f t="shared" ca="1" si="453"/>
        <v>0</v>
      </c>
      <c r="AO275" s="369">
        <f t="shared" ca="1" si="441"/>
        <v>0</v>
      </c>
      <c r="AP275" s="366"/>
      <c r="AQ275" s="367"/>
      <c r="AR275" s="368">
        <f t="shared" ca="1" si="454"/>
        <v>0</v>
      </c>
      <c r="AS275" s="369">
        <f t="shared" ca="1" si="442"/>
        <v>0</v>
      </c>
      <c r="AT275" s="366"/>
      <c r="AU275" s="367"/>
      <c r="AV275" s="368">
        <f t="shared" ca="1" si="455"/>
        <v>0</v>
      </c>
      <c r="AW275" s="369">
        <f t="shared" ca="1" si="443"/>
        <v>0</v>
      </c>
      <c r="AX275" s="366"/>
      <c r="AY275" s="367"/>
      <c r="AZ275" s="368">
        <f t="shared" ca="1" si="456"/>
        <v>0</v>
      </c>
      <c r="BA275" s="369">
        <f t="shared" ca="1" si="444"/>
        <v>0</v>
      </c>
      <c r="BB275" s="366"/>
      <c r="BC275" s="367"/>
      <c r="BD275" s="368">
        <f t="shared" ca="1" si="457"/>
        <v>0</v>
      </c>
      <c r="BE275" s="369">
        <f t="shared" ca="1" si="445"/>
        <v>0</v>
      </c>
      <c r="BF275" s="366"/>
      <c r="BG275" s="367"/>
      <c r="BH275" s="368">
        <f t="shared" ca="1" si="458"/>
        <v>0</v>
      </c>
      <c r="BI275" s="369">
        <f t="shared" ca="1" si="446"/>
        <v>0</v>
      </c>
      <c r="BJ275" s="366"/>
      <c r="BK275" s="367"/>
      <c r="BL275" s="368">
        <f t="shared" ca="1" si="459"/>
        <v>0</v>
      </c>
      <c r="BM275" s="369">
        <f t="shared" ca="1" si="447"/>
        <v>0</v>
      </c>
      <c r="BN275" s="369">
        <f t="shared" ca="1" si="447"/>
        <v>0</v>
      </c>
    </row>
    <row r="276" spans="1:66">
      <c r="A276" s="221" t="str">
        <f t="shared" ca="1" si="434"/>
        <v>WP008</v>
      </c>
      <c r="B276" s="221" t="str">
        <f t="shared" ca="1" si="435"/>
        <v>WP008</v>
      </c>
      <c r="C276" s="221">
        <v>1</v>
      </c>
      <c r="N276" s="461"/>
      <c r="O276" s="258"/>
      <c r="P276" s="249"/>
      <c r="Q276" s="249"/>
      <c r="R276" s="361"/>
      <c r="S276" s="362"/>
      <c r="T276" s="363"/>
      <c r="U276" s="360"/>
      <c r="V276" s="361"/>
      <c r="W276" s="362"/>
      <c r="X276" s="363"/>
      <c r="Y276" s="360"/>
      <c r="Z276" s="361"/>
      <c r="AA276" s="362"/>
      <c r="AB276" s="363"/>
      <c r="AC276" s="360"/>
      <c r="AD276" s="361"/>
      <c r="AE276" s="362"/>
      <c r="AF276" s="363"/>
      <c r="AG276" s="360"/>
      <c r="AH276" s="361"/>
      <c r="AI276" s="362"/>
      <c r="AJ276" s="363"/>
      <c r="AK276" s="360"/>
      <c r="AL276" s="361"/>
      <c r="AM276" s="362"/>
      <c r="AN276" s="363"/>
      <c r="AO276" s="360"/>
      <c r="AP276" s="361"/>
      <c r="AQ276" s="362"/>
      <c r="AR276" s="363"/>
      <c r="AS276" s="360"/>
      <c r="AT276" s="361"/>
      <c r="AU276" s="362"/>
      <c r="AV276" s="363"/>
      <c r="AW276" s="360"/>
      <c r="AX276" s="361"/>
      <c r="AY276" s="362"/>
      <c r="AZ276" s="363"/>
      <c r="BA276" s="360"/>
      <c r="BB276" s="361"/>
      <c r="BC276" s="362"/>
      <c r="BD276" s="363"/>
      <c r="BE276" s="360"/>
      <c r="BF276" s="361"/>
      <c r="BG276" s="362"/>
      <c r="BH276" s="363"/>
      <c r="BI276" s="360"/>
      <c r="BJ276" s="361"/>
      <c r="BK276" s="362"/>
      <c r="BL276" s="363"/>
      <c r="BM276" s="360"/>
      <c r="BN276" s="360"/>
    </row>
    <row r="277" spans="1:66">
      <c r="A277" s="221" t="str">
        <f t="shared" ca="1" si="434"/>
        <v>WP008</v>
      </c>
      <c r="B277" s="221" t="str">
        <f t="shared" ca="1" si="435"/>
        <v>WP008</v>
      </c>
      <c r="C277" s="221">
        <v>2</v>
      </c>
      <c r="D277" s="221" t="s">
        <v>132</v>
      </c>
      <c r="F277" s="221" t="s">
        <v>130</v>
      </c>
      <c r="M277" s="221" t="s">
        <v>133</v>
      </c>
      <c r="N277" s="461"/>
      <c r="O277" s="452" t="s">
        <v>134</v>
      </c>
      <c r="P277" s="453"/>
      <c r="Q277" s="453"/>
      <c r="R277" s="370"/>
      <c r="S277" s="371"/>
      <c r="T277" s="372">
        <f ca="1">IF(OFFSET(T277,ROW(T$2)-ROW(T277),0)="TT","TT",IF(OFFSET(T277,0,COLUMN($M277)-COLUMN(T277))="%",ROUND((OFFSET(T277,-2,0)-OFFSET(T277,-19,0))*0.07,2),IF(OFFSET(T277,0,COLUMN($M277)-COLUMN(T277))="V",ROUND(OFFSET(T277,0,-2)*OFFSET(T277,0,-1),2),SUMIF(INDIRECT(ADDRESS(MATCH("START"&amp;OFFSET(T277,0,COLUMN($B277)-COLUMN(T277)),$A:$A,0),$C277+COLUMN($E277)+1)&amp;":"&amp;ADDRESS(MATCH("END"&amp;OFFSET(T277,0,COLUMN($B277)-COLUMN(T277)),$A:$A,0),$C277+COLUMN($E277)+1),TRUE),INDIRECT(ADDRESS(ROW(T277),$C277+COLUMN($E277)),TRUE),INDIRECT(ADDRESS(MATCH("START"&amp;OFFSET(T277,0,COLUMN($B277)-COLUMN(T277)),$A:$A,0),COLUMN(T277))&amp;":"&amp;ADDRESS(MATCH("END"&amp;OFFSET(T277,0,COLUMN($B277)-COLUMN(T277)),$A:$A,0),COLUMN(T277)),TRUE)))))</f>
        <v>0</v>
      </c>
      <c r="U277" s="356">
        <f ca="1">IF(OFFSET(U277,ROW(U$2)-ROW(U277),0)="TT",SUMIF(INDIRECT(ADDRESS(2,COLUMN($Q277)+1) &amp; ":" &amp; ADDRESS(2,COLUMN(U277)-1),TRUE),"TBE",INDIRECT(ADDRESS(ROW(U277), COLUMN($Q277)+1) &amp; ":" &amp; ADDRESS(ROW(U277),COLUMN(U277)-1),TRUE)),IF(OFFSET(U277,ROW(U$2)-ROW(U277),0)="TBE",SUMIF(INDIRECT(ADDRESS(2,MATCH(INT(OFFSET(U277,ROW(U$2)-ROW(U277),-2)),$2:$2,0)) &amp; ":" &amp; ADDRESS(2,COLUMN(U277)-1),TRUE),"T",INDIRECT(ADDRESS(ROW(U277), MATCH(INT(OFFSET(U277,ROW(U$2)-ROW(U277),-2)),$2:$2,0)) &amp; ":" &amp; ADDRESS(ROW(U277),COLUMN(U277)-1),TRUE)),IF(OFFSET(U277,0,COLUMN($M277)-COLUMN(U277))="V",OFFSET(U277,0,-2)*OFFSET(U277,0,-1),"TOTAL")))</f>
        <v>0</v>
      </c>
      <c r="V277" s="370"/>
      <c r="W277" s="371"/>
      <c r="X277" s="372">
        <f ca="1">IF(OFFSET(X277,ROW(X$2)-ROW(X277),0)="TT","TT",IF(OFFSET(X277,0,COLUMN($M277)-COLUMN(X277))="%",ROUND((OFFSET(X277,-2,0)-OFFSET(X277,-19,0))*0.07,2),IF(OFFSET(X277,0,COLUMN($M277)-COLUMN(X277))="V",ROUND(OFFSET(X277,0,-2)*OFFSET(X277,0,-1),2),SUMIF(INDIRECT(ADDRESS(MATCH("START"&amp;OFFSET(X277,0,COLUMN($B277)-COLUMN(X277)),$A:$A,0),$C277+COLUMN($E277)+1)&amp;":"&amp;ADDRESS(MATCH("END"&amp;OFFSET(X277,0,COLUMN($B277)-COLUMN(X277)),$A:$A,0),$C277+COLUMN($E277)+1),TRUE),INDIRECT(ADDRESS(ROW(X277),$C277+COLUMN($E277)),TRUE),INDIRECT(ADDRESS(MATCH("START"&amp;OFFSET(X277,0,COLUMN($B277)-COLUMN(X277)),$A:$A,0),COLUMN(X277))&amp;":"&amp;ADDRESS(MATCH("END"&amp;OFFSET(X277,0,COLUMN($B277)-COLUMN(X277)),$A:$A,0),COLUMN(X277)),TRUE)))))</f>
        <v>0</v>
      </c>
      <c r="Y277" s="356">
        <f ca="1">IF(OFFSET(Y277,ROW(Y$2)-ROW(Y277),0)="TT",SUMIF(INDIRECT(ADDRESS(2,COLUMN($Q277)+1) &amp; ":" &amp; ADDRESS(2,COLUMN(Y277)-1),TRUE),"TBE",INDIRECT(ADDRESS(ROW(Y277), COLUMN($Q277)+1) &amp; ":" &amp; ADDRESS(ROW(Y277),COLUMN(Y277)-1),TRUE)),IF(OFFSET(Y277,ROW(Y$2)-ROW(Y277),0)="TBE",SUMIF(INDIRECT(ADDRESS(2,MATCH(INT(OFFSET(Y277,ROW(Y$2)-ROW(Y277),-2)),$2:$2,0)) &amp; ":" &amp; ADDRESS(2,COLUMN(Y277)-1),TRUE),"T",INDIRECT(ADDRESS(ROW(Y277), MATCH(INT(OFFSET(Y277,ROW(Y$2)-ROW(Y277),-2)),$2:$2,0)) &amp; ":" &amp; ADDRESS(ROW(Y277),COLUMN(Y277)-1),TRUE)),IF(OFFSET(Y277,0,COLUMN($M277)-COLUMN(Y277))="V",OFFSET(Y277,0,-2)*OFFSET(Y277,0,-1),"TOTAL")))</f>
        <v>0</v>
      </c>
      <c r="Z277" s="370"/>
      <c r="AA277" s="371"/>
      <c r="AB277" s="372">
        <f ca="1">IF(OFFSET(AB277,ROW(AB$2)-ROW(AB277),0)="TT","TT",IF(OFFSET(AB277,0,COLUMN($M277)-COLUMN(AB277))="%",ROUND((OFFSET(AB277,-2,0)-OFFSET(AB277,-19,0))*0.07,2),IF(OFFSET(AB277,0,COLUMN($M277)-COLUMN(AB277))="V",ROUND(OFFSET(AB277,0,-2)*OFFSET(AB277,0,-1),2),SUMIF(INDIRECT(ADDRESS(MATCH("START"&amp;OFFSET(AB277,0,COLUMN($B277)-COLUMN(AB277)),$A:$A,0),$C277+COLUMN($E277)+1)&amp;":"&amp;ADDRESS(MATCH("END"&amp;OFFSET(AB277,0,COLUMN($B277)-COLUMN(AB277)),$A:$A,0),$C277+COLUMN($E277)+1),TRUE),INDIRECT(ADDRESS(ROW(AB277),$C277+COLUMN($E277)),TRUE),INDIRECT(ADDRESS(MATCH("START"&amp;OFFSET(AB277,0,COLUMN($B277)-COLUMN(AB277)),$A:$A,0),COLUMN(AB277))&amp;":"&amp;ADDRESS(MATCH("END"&amp;OFFSET(AB277,0,COLUMN($B277)-COLUMN(AB277)),$A:$A,0),COLUMN(AB277)),TRUE)))))</f>
        <v>0</v>
      </c>
      <c r="AC277" s="356">
        <f ca="1">IF(OFFSET(AC277,ROW(AC$2)-ROW(AC277),0)="TT",SUMIF(INDIRECT(ADDRESS(2,COLUMN($Q277)+1) &amp; ":" &amp; ADDRESS(2,COLUMN(AC277)-1),TRUE),"TBE",INDIRECT(ADDRESS(ROW(AC277), COLUMN($Q277)+1) &amp; ":" &amp; ADDRESS(ROW(AC277),COLUMN(AC277)-1),TRUE)),IF(OFFSET(AC277,ROW(AC$2)-ROW(AC277),0)="TBE",SUMIF(INDIRECT(ADDRESS(2,MATCH(INT(OFFSET(AC277,ROW(AC$2)-ROW(AC277),-2)),$2:$2,0)) &amp; ":" &amp; ADDRESS(2,COLUMN(AC277)-1),TRUE),"T",INDIRECT(ADDRESS(ROW(AC277), MATCH(INT(OFFSET(AC277,ROW(AC$2)-ROW(AC277),-2)),$2:$2,0)) &amp; ":" &amp; ADDRESS(ROW(AC277),COLUMN(AC277)-1),TRUE)),IF(OFFSET(AC277,0,COLUMN($M277)-COLUMN(AC277))="V",OFFSET(AC277,0,-2)*OFFSET(AC277,0,-1),"TOTAL")))</f>
        <v>0</v>
      </c>
      <c r="AD277" s="370"/>
      <c r="AE277" s="371"/>
      <c r="AF277" s="372">
        <f ca="1">IF(OFFSET(AF277,ROW(AF$2)-ROW(AF277),0)="TT","TT",IF(OFFSET(AF277,0,COLUMN($M277)-COLUMN(AF277))="%",ROUND((OFFSET(AF277,-2,0)-OFFSET(AF277,-19,0))*0.07,2),IF(OFFSET(AF277,0,COLUMN($M277)-COLUMN(AF277))="V",ROUND(OFFSET(AF277,0,-2)*OFFSET(AF277,0,-1),2),SUMIF(INDIRECT(ADDRESS(MATCH("START"&amp;OFFSET(AF277,0,COLUMN($B277)-COLUMN(AF277)),$A:$A,0),$C277+COLUMN($E277)+1)&amp;":"&amp;ADDRESS(MATCH("END"&amp;OFFSET(AF277,0,COLUMN($B277)-COLUMN(AF277)),$A:$A,0),$C277+COLUMN($E277)+1),TRUE),INDIRECT(ADDRESS(ROW(AF277),$C277+COLUMN($E277)),TRUE),INDIRECT(ADDRESS(MATCH("START"&amp;OFFSET(AF277,0,COLUMN($B277)-COLUMN(AF277)),$A:$A,0),COLUMN(AF277))&amp;":"&amp;ADDRESS(MATCH("END"&amp;OFFSET(AF277,0,COLUMN($B277)-COLUMN(AF277)),$A:$A,0),COLUMN(AF277)),TRUE)))))</f>
        <v>0</v>
      </c>
      <c r="AG277" s="356">
        <f ca="1">IF(OFFSET(AG277,ROW(AG$2)-ROW(AG277),0)="TT",SUMIF(INDIRECT(ADDRESS(2,COLUMN($Q277)+1) &amp; ":" &amp; ADDRESS(2,COLUMN(AG277)-1),TRUE),"TBE",INDIRECT(ADDRESS(ROW(AG277), COLUMN($Q277)+1) &amp; ":" &amp; ADDRESS(ROW(AG277),COLUMN(AG277)-1),TRUE)),IF(OFFSET(AG277,ROW(AG$2)-ROW(AG277),0)="TBE",SUMIF(INDIRECT(ADDRESS(2,MATCH(INT(OFFSET(AG277,ROW(AG$2)-ROW(AG277),-2)),$2:$2,0)) &amp; ":" &amp; ADDRESS(2,COLUMN(AG277)-1),TRUE),"T",INDIRECT(ADDRESS(ROW(AG277), MATCH(INT(OFFSET(AG277,ROW(AG$2)-ROW(AG277),-2)),$2:$2,0)) &amp; ":" &amp; ADDRESS(ROW(AG277),COLUMN(AG277)-1),TRUE)),IF(OFFSET(AG277,0,COLUMN($M277)-COLUMN(AG277))="V",OFFSET(AG277,0,-2)*OFFSET(AG277,0,-1),"TOTAL")))</f>
        <v>0</v>
      </c>
      <c r="AH277" s="370"/>
      <c r="AI277" s="371"/>
      <c r="AJ277" s="372">
        <f ca="1">IF(OFFSET(AJ277,ROW(AJ$2)-ROW(AJ277),0)="TT","TT",IF(OFFSET(AJ277,0,COLUMN($M277)-COLUMN(AJ277))="%",ROUND((OFFSET(AJ277,-2,0)-OFFSET(AJ277,-19,0))*0.07,2),IF(OFFSET(AJ277,0,COLUMN($M277)-COLUMN(AJ277))="V",ROUND(OFFSET(AJ277,0,-2)*OFFSET(AJ277,0,-1),2),SUMIF(INDIRECT(ADDRESS(MATCH("START"&amp;OFFSET(AJ277,0,COLUMN($B277)-COLUMN(AJ277)),$A:$A,0),$C277+COLUMN($E277)+1)&amp;":"&amp;ADDRESS(MATCH("END"&amp;OFFSET(AJ277,0,COLUMN($B277)-COLUMN(AJ277)),$A:$A,0),$C277+COLUMN($E277)+1),TRUE),INDIRECT(ADDRESS(ROW(AJ277),$C277+COLUMN($E277)),TRUE),INDIRECT(ADDRESS(MATCH("START"&amp;OFFSET(AJ277,0,COLUMN($B277)-COLUMN(AJ277)),$A:$A,0),COLUMN(AJ277))&amp;":"&amp;ADDRESS(MATCH("END"&amp;OFFSET(AJ277,0,COLUMN($B277)-COLUMN(AJ277)),$A:$A,0),COLUMN(AJ277)),TRUE)))))</f>
        <v>0</v>
      </c>
      <c r="AK277" s="356">
        <f ca="1">IF(OFFSET(AK277,ROW(AK$2)-ROW(AK277),0)="TT",SUMIF(INDIRECT(ADDRESS(2,COLUMN($Q277)+1) &amp; ":" &amp; ADDRESS(2,COLUMN(AK277)-1),TRUE),"TBE",INDIRECT(ADDRESS(ROW(AK277), COLUMN($Q277)+1) &amp; ":" &amp; ADDRESS(ROW(AK277),COLUMN(AK277)-1),TRUE)),IF(OFFSET(AK277,ROW(AK$2)-ROW(AK277),0)="TBE",SUMIF(INDIRECT(ADDRESS(2,MATCH(INT(OFFSET(AK277,ROW(AK$2)-ROW(AK277),-2)),$2:$2,0)) &amp; ":" &amp; ADDRESS(2,COLUMN(AK277)-1),TRUE),"T",INDIRECT(ADDRESS(ROW(AK277), MATCH(INT(OFFSET(AK277,ROW(AK$2)-ROW(AK277),-2)),$2:$2,0)) &amp; ":" &amp; ADDRESS(ROW(AK277),COLUMN(AK277)-1),TRUE)),IF(OFFSET(AK277,0,COLUMN($M277)-COLUMN(AK277))="V",OFFSET(AK277,0,-2)*OFFSET(AK277,0,-1),"TOTAL")))</f>
        <v>0</v>
      </c>
      <c r="AL277" s="370"/>
      <c r="AM277" s="371"/>
      <c r="AN277" s="372">
        <f ca="1">IF(OFFSET(AN277,ROW(AN$2)-ROW(AN277),0)="TT","TT",IF(OFFSET(AN277,0,COLUMN($M277)-COLUMN(AN277))="%",ROUND((OFFSET(AN277,-2,0)-OFFSET(AN277,-19,0))*0.07,2),IF(OFFSET(AN277,0,COLUMN($M277)-COLUMN(AN277))="V",ROUND(OFFSET(AN277,0,-2)*OFFSET(AN277,0,-1),2),SUMIF(INDIRECT(ADDRESS(MATCH("START"&amp;OFFSET(AN277,0,COLUMN($B277)-COLUMN(AN277)),$A:$A,0),$C277+COLUMN($E277)+1)&amp;":"&amp;ADDRESS(MATCH("END"&amp;OFFSET(AN277,0,COLUMN($B277)-COLUMN(AN277)),$A:$A,0),$C277+COLUMN($E277)+1),TRUE),INDIRECT(ADDRESS(ROW(AN277),$C277+COLUMN($E277)),TRUE),INDIRECT(ADDRESS(MATCH("START"&amp;OFFSET(AN277,0,COLUMN($B277)-COLUMN(AN277)),$A:$A,0),COLUMN(AN277))&amp;":"&amp;ADDRESS(MATCH("END"&amp;OFFSET(AN277,0,COLUMN($B277)-COLUMN(AN277)),$A:$A,0),COLUMN(AN277)),TRUE)))))</f>
        <v>0</v>
      </c>
      <c r="AO277" s="356">
        <f ca="1">IF(OFFSET(AO277,ROW(AO$2)-ROW(AO277),0)="TT",SUMIF(INDIRECT(ADDRESS(2,COLUMN($Q277)+1) &amp; ":" &amp; ADDRESS(2,COLUMN(AO277)-1),TRUE),"TBE",INDIRECT(ADDRESS(ROW(AO277), COLUMN($Q277)+1) &amp; ":" &amp; ADDRESS(ROW(AO277),COLUMN(AO277)-1),TRUE)),IF(OFFSET(AO277,ROW(AO$2)-ROW(AO277),0)="TBE",SUMIF(INDIRECT(ADDRESS(2,MATCH(INT(OFFSET(AO277,ROW(AO$2)-ROW(AO277),-2)),$2:$2,0)) &amp; ":" &amp; ADDRESS(2,COLUMN(AO277)-1),TRUE),"T",INDIRECT(ADDRESS(ROW(AO277), MATCH(INT(OFFSET(AO277,ROW(AO$2)-ROW(AO277),-2)),$2:$2,0)) &amp; ":" &amp; ADDRESS(ROW(AO277),COLUMN(AO277)-1),TRUE)),IF(OFFSET(AO277,0,COLUMN($M277)-COLUMN(AO277))="V",OFFSET(AO277,0,-2)*OFFSET(AO277,0,-1),"TOTAL")))</f>
        <v>0</v>
      </c>
      <c r="AP277" s="370"/>
      <c r="AQ277" s="371"/>
      <c r="AR277" s="372">
        <f ca="1">IF(OFFSET(AR277,ROW(AR$2)-ROW(AR277),0)="TT","TT",IF(OFFSET(AR277,0,COLUMN($M277)-COLUMN(AR277))="%",ROUND((OFFSET(AR277,-2,0)-OFFSET(AR277,-19,0))*0.07,2),IF(OFFSET(AR277,0,COLUMN($M277)-COLUMN(AR277))="V",ROUND(OFFSET(AR277,0,-2)*OFFSET(AR277,0,-1),2),SUMIF(INDIRECT(ADDRESS(MATCH("START"&amp;OFFSET(AR277,0,COLUMN($B277)-COLUMN(AR277)),$A:$A,0),$C277+COLUMN($E277)+1)&amp;":"&amp;ADDRESS(MATCH("END"&amp;OFFSET(AR277,0,COLUMN($B277)-COLUMN(AR277)),$A:$A,0),$C277+COLUMN($E277)+1),TRUE),INDIRECT(ADDRESS(ROW(AR277),$C277+COLUMN($E277)),TRUE),INDIRECT(ADDRESS(MATCH("START"&amp;OFFSET(AR277,0,COLUMN($B277)-COLUMN(AR277)),$A:$A,0),COLUMN(AR277))&amp;":"&amp;ADDRESS(MATCH("END"&amp;OFFSET(AR277,0,COLUMN($B277)-COLUMN(AR277)),$A:$A,0),COLUMN(AR277)),TRUE)))))</f>
        <v>0</v>
      </c>
      <c r="AS277" s="356">
        <f ca="1">IF(OFFSET(AS277,ROW(AS$2)-ROW(AS277),0)="TT",SUMIF(INDIRECT(ADDRESS(2,COLUMN($Q277)+1) &amp; ":" &amp; ADDRESS(2,COLUMN(AS277)-1),TRUE),"TBE",INDIRECT(ADDRESS(ROW(AS277), COLUMN($Q277)+1) &amp; ":" &amp; ADDRESS(ROW(AS277),COLUMN(AS277)-1),TRUE)),IF(OFFSET(AS277,ROW(AS$2)-ROW(AS277),0)="TBE",SUMIF(INDIRECT(ADDRESS(2,MATCH(INT(OFFSET(AS277,ROW(AS$2)-ROW(AS277),-2)),$2:$2,0)) &amp; ":" &amp; ADDRESS(2,COLUMN(AS277)-1),TRUE),"T",INDIRECT(ADDRESS(ROW(AS277), MATCH(INT(OFFSET(AS277,ROW(AS$2)-ROW(AS277),-2)),$2:$2,0)) &amp; ":" &amp; ADDRESS(ROW(AS277),COLUMN(AS277)-1),TRUE)),IF(OFFSET(AS277,0,COLUMN($M277)-COLUMN(AS277))="V",OFFSET(AS277,0,-2)*OFFSET(AS277,0,-1),"TOTAL")))</f>
        <v>0</v>
      </c>
      <c r="AT277" s="370"/>
      <c r="AU277" s="371"/>
      <c r="AV277" s="372">
        <f ca="1">IF(OFFSET(AV277,ROW(AV$2)-ROW(AV277),0)="TT","TT",IF(OFFSET(AV277,0,COLUMN($M277)-COLUMN(AV277))="%",ROUND((OFFSET(AV277,-2,0)-OFFSET(AV277,-19,0))*0.07,2),IF(OFFSET(AV277,0,COLUMN($M277)-COLUMN(AV277))="V",ROUND(OFFSET(AV277,0,-2)*OFFSET(AV277,0,-1),2),SUMIF(INDIRECT(ADDRESS(MATCH("START"&amp;OFFSET(AV277,0,COLUMN($B277)-COLUMN(AV277)),$A:$A,0),$C277+COLUMN($E277)+1)&amp;":"&amp;ADDRESS(MATCH("END"&amp;OFFSET(AV277,0,COLUMN($B277)-COLUMN(AV277)),$A:$A,0),$C277+COLUMN($E277)+1),TRUE),INDIRECT(ADDRESS(ROW(AV277),$C277+COLUMN($E277)),TRUE),INDIRECT(ADDRESS(MATCH("START"&amp;OFFSET(AV277,0,COLUMN($B277)-COLUMN(AV277)),$A:$A,0),COLUMN(AV277))&amp;":"&amp;ADDRESS(MATCH("END"&amp;OFFSET(AV277,0,COLUMN($B277)-COLUMN(AV277)),$A:$A,0),COLUMN(AV277)),TRUE)))))</f>
        <v>0</v>
      </c>
      <c r="AW277" s="356">
        <f ca="1">IF(OFFSET(AW277,ROW(AW$2)-ROW(AW277),0)="TT",SUMIF(INDIRECT(ADDRESS(2,COLUMN($Q277)+1) &amp; ":" &amp; ADDRESS(2,COLUMN(AW277)-1),TRUE),"TBE",INDIRECT(ADDRESS(ROW(AW277), COLUMN($Q277)+1) &amp; ":" &amp; ADDRESS(ROW(AW277),COLUMN(AW277)-1),TRUE)),IF(OFFSET(AW277,ROW(AW$2)-ROW(AW277),0)="TBE",SUMIF(INDIRECT(ADDRESS(2,MATCH(INT(OFFSET(AW277,ROW(AW$2)-ROW(AW277),-2)),$2:$2,0)) &amp; ":" &amp; ADDRESS(2,COLUMN(AW277)-1),TRUE),"T",INDIRECT(ADDRESS(ROW(AW277), MATCH(INT(OFFSET(AW277,ROW(AW$2)-ROW(AW277),-2)),$2:$2,0)) &amp; ":" &amp; ADDRESS(ROW(AW277),COLUMN(AW277)-1),TRUE)),IF(OFFSET(AW277,0,COLUMN($M277)-COLUMN(AW277))="V",OFFSET(AW277,0,-2)*OFFSET(AW277,0,-1),"TOTAL")))</f>
        <v>0</v>
      </c>
      <c r="AX277" s="370"/>
      <c r="AY277" s="371"/>
      <c r="AZ277" s="372">
        <f ca="1">IF(OFFSET(AZ277,ROW(AZ$2)-ROW(AZ277),0)="TT","TT",IF(OFFSET(AZ277,0,COLUMN($M277)-COLUMN(AZ277))="%",ROUND((OFFSET(AZ277,-2,0)-OFFSET(AZ277,-19,0))*0.07,2),IF(OFFSET(AZ277,0,COLUMN($M277)-COLUMN(AZ277))="V",ROUND(OFFSET(AZ277,0,-2)*OFFSET(AZ277,0,-1),2),SUMIF(INDIRECT(ADDRESS(MATCH("START"&amp;OFFSET(AZ277,0,COLUMN($B277)-COLUMN(AZ277)),$A:$A,0),$C277+COLUMN($E277)+1)&amp;":"&amp;ADDRESS(MATCH("END"&amp;OFFSET(AZ277,0,COLUMN($B277)-COLUMN(AZ277)),$A:$A,0),$C277+COLUMN($E277)+1),TRUE),INDIRECT(ADDRESS(ROW(AZ277),$C277+COLUMN($E277)),TRUE),INDIRECT(ADDRESS(MATCH("START"&amp;OFFSET(AZ277,0,COLUMN($B277)-COLUMN(AZ277)),$A:$A,0),COLUMN(AZ277))&amp;":"&amp;ADDRESS(MATCH("END"&amp;OFFSET(AZ277,0,COLUMN($B277)-COLUMN(AZ277)),$A:$A,0),COLUMN(AZ277)),TRUE)))))</f>
        <v>0</v>
      </c>
      <c r="BA277" s="356">
        <f ca="1">IF(OFFSET(BA277,ROW(BA$2)-ROW(BA277),0)="TT",SUMIF(INDIRECT(ADDRESS(2,COLUMN($Q277)+1) &amp; ":" &amp; ADDRESS(2,COLUMN(BA277)-1),TRUE),"TBE",INDIRECT(ADDRESS(ROW(BA277), COLUMN($Q277)+1) &amp; ":" &amp; ADDRESS(ROW(BA277),COLUMN(BA277)-1),TRUE)),IF(OFFSET(BA277,ROW(BA$2)-ROW(BA277),0)="TBE",SUMIF(INDIRECT(ADDRESS(2,MATCH(INT(OFFSET(BA277,ROW(BA$2)-ROW(BA277),-2)),$2:$2,0)) &amp; ":" &amp; ADDRESS(2,COLUMN(BA277)-1),TRUE),"T",INDIRECT(ADDRESS(ROW(BA277), MATCH(INT(OFFSET(BA277,ROW(BA$2)-ROW(BA277),-2)),$2:$2,0)) &amp; ":" &amp; ADDRESS(ROW(BA277),COLUMN(BA277)-1),TRUE)),IF(OFFSET(BA277,0,COLUMN($M277)-COLUMN(BA277))="V",OFFSET(BA277,0,-2)*OFFSET(BA277,0,-1),"TOTAL")))</f>
        <v>0</v>
      </c>
      <c r="BB277" s="370"/>
      <c r="BC277" s="371"/>
      <c r="BD277" s="372">
        <f ca="1">IF(OFFSET(BD277,ROW(BD$2)-ROW(BD277),0)="TT","TT",IF(OFFSET(BD277,0,COLUMN($M277)-COLUMN(BD277))="%",ROUND((OFFSET(BD277,-2,0)-OFFSET(BD277,-19,0))*0.07,2),IF(OFFSET(BD277,0,COLUMN($M277)-COLUMN(BD277))="V",ROUND(OFFSET(BD277,0,-2)*OFFSET(BD277,0,-1),2),SUMIF(INDIRECT(ADDRESS(MATCH("START"&amp;OFFSET(BD277,0,COLUMN($B277)-COLUMN(BD277)),$A:$A,0),$C277+COLUMN($E277)+1)&amp;":"&amp;ADDRESS(MATCH("END"&amp;OFFSET(BD277,0,COLUMN($B277)-COLUMN(BD277)),$A:$A,0),$C277+COLUMN($E277)+1),TRUE),INDIRECT(ADDRESS(ROW(BD277),$C277+COLUMN($E277)),TRUE),INDIRECT(ADDRESS(MATCH("START"&amp;OFFSET(BD277,0,COLUMN($B277)-COLUMN(BD277)),$A:$A,0),COLUMN(BD277))&amp;":"&amp;ADDRESS(MATCH("END"&amp;OFFSET(BD277,0,COLUMN($B277)-COLUMN(BD277)),$A:$A,0),COLUMN(BD277)),TRUE)))))</f>
        <v>0</v>
      </c>
      <c r="BE277" s="356">
        <f ca="1">IF(OFFSET(BE277,ROW(BE$2)-ROW(BE277),0)="TT",SUMIF(INDIRECT(ADDRESS(2,COLUMN($Q277)+1) &amp; ":" &amp; ADDRESS(2,COLUMN(BE277)-1),TRUE),"TBE",INDIRECT(ADDRESS(ROW(BE277), COLUMN($Q277)+1) &amp; ":" &amp; ADDRESS(ROW(BE277),COLUMN(BE277)-1),TRUE)),IF(OFFSET(BE277,ROW(BE$2)-ROW(BE277),0)="TBE",SUMIF(INDIRECT(ADDRESS(2,MATCH(INT(OFFSET(BE277,ROW(BE$2)-ROW(BE277),-2)),$2:$2,0)) &amp; ":" &amp; ADDRESS(2,COLUMN(BE277)-1),TRUE),"T",INDIRECT(ADDRESS(ROW(BE277), MATCH(INT(OFFSET(BE277,ROW(BE$2)-ROW(BE277),-2)),$2:$2,0)) &amp; ":" &amp; ADDRESS(ROW(BE277),COLUMN(BE277)-1),TRUE)),IF(OFFSET(BE277,0,COLUMN($M277)-COLUMN(BE277))="V",OFFSET(BE277,0,-2)*OFFSET(BE277,0,-1),"TOTAL")))</f>
        <v>0</v>
      </c>
      <c r="BF277" s="370"/>
      <c r="BG277" s="371"/>
      <c r="BH277" s="372">
        <f ca="1">IF(OFFSET(BH277,ROW(BH$2)-ROW(BH277),0)="TT","TT",IF(OFFSET(BH277,0,COLUMN($M277)-COLUMN(BH277))="%",ROUND((OFFSET(BH277,-2,0)-OFFSET(BH277,-19,0))*0.07,2),IF(OFFSET(BH277,0,COLUMN($M277)-COLUMN(BH277))="V",ROUND(OFFSET(BH277,0,-2)*OFFSET(BH277,0,-1),2),SUMIF(INDIRECT(ADDRESS(MATCH("START"&amp;OFFSET(BH277,0,COLUMN($B277)-COLUMN(BH277)),$A:$A,0),$C277+COLUMN($E277)+1)&amp;":"&amp;ADDRESS(MATCH("END"&amp;OFFSET(BH277,0,COLUMN($B277)-COLUMN(BH277)),$A:$A,0),$C277+COLUMN($E277)+1),TRUE),INDIRECT(ADDRESS(ROW(BH277),$C277+COLUMN($E277)),TRUE),INDIRECT(ADDRESS(MATCH("START"&amp;OFFSET(BH277,0,COLUMN($B277)-COLUMN(BH277)),$A:$A,0),COLUMN(BH277))&amp;":"&amp;ADDRESS(MATCH("END"&amp;OFFSET(BH277,0,COLUMN($B277)-COLUMN(BH277)),$A:$A,0),COLUMN(BH277)),TRUE)))))</f>
        <v>0</v>
      </c>
      <c r="BI277" s="356">
        <f ca="1">IF(OFFSET(BI277,ROW(BI$2)-ROW(BI277),0)="TT",SUMIF(INDIRECT(ADDRESS(2,COLUMN($Q277)+1) &amp; ":" &amp; ADDRESS(2,COLUMN(BI277)-1),TRUE),"TBE",INDIRECT(ADDRESS(ROW(BI277), COLUMN($Q277)+1) &amp; ":" &amp; ADDRESS(ROW(BI277),COLUMN(BI277)-1),TRUE)),IF(OFFSET(BI277,ROW(BI$2)-ROW(BI277),0)="TBE",SUMIF(INDIRECT(ADDRESS(2,MATCH(INT(OFFSET(BI277,ROW(BI$2)-ROW(BI277),-2)),$2:$2,0)) &amp; ":" &amp; ADDRESS(2,COLUMN(BI277)-1),TRUE),"T",INDIRECT(ADDRESS(ROW(BI277), MATCH(INT(OFFSET(BI277,ROW(BI$2)-ROW(BI277),-2)),$2:$2,0)) &amp; ":" &amp; ADDRESS(ROW(BI277),COLUMN(BI277)-1),TRUE)),IF(OFFSET(BI277,0,COLUMN($M277)-COLUMN(BI277))="V",OFFSET(BI277,0,-2)*OFFSET(BI277,0,-1),"TOTAL")))</f>
        <v>0</v>
      </c>
      <c r="BJ277" s="370"/>
      <c r="BK277" s="371"/>
      <c r="BL277" s="372">
        <f ca="1">IF(OFFSET(BL277,ROW(BL$2)-ROW(BL277),0)="TT","TT",IF(OFFSET(BL277,0,COLUMN($M277)-COLUMN(BL277))="%",ROUND((OFFSET(BL277,-2,0)-OFFSET(BL277,-19,0))*0.07,2),IF(OFFSET(BL277,0,COLUMN($M277)-COLUMN(BL277))="V",ROUND(OFFSET(BL277,0,-2)*OFFSET(BL277,0,-1),2),SUMIF(INDIRECT(ADDRESS(MATCH("START"&amp;OFFSET(BL277,0,COLUMN($B277)-COLUMN(BL277)),$A:$A,0),$C277+COLUMN($E277)+1)&amp;":"&amp;ADDRESS(MATCH("END"&amp;OFFSET(BL277,0,COLUMN($B277)-COLUMN(BL277)),$A:$A,0),$C277+COLUMN($E277)+1),TRUE),INDIRECT(ADDRESS(ROW(BL277),$C277+COLUMN($E277)),TRUE),INDIRECT(ADDRESS(MATCH("START"&amp;OFFSET(BL277,0,COLUMN($B277)-COLUMN(BL277)),$A:$A,0),COLUMN(BL277))&amp;":"&amp;ADDRESS(MATCH("END"&amp;OFFSET(BL277,0,COLUMN($B277)-COLUMN(BL277)),$A:$A,0),COLUMN(BL277)),TRUE)))))</f>
        <v>0</v>
      </c>
      <c r="BM277" s="356">
        <f ca="1">IF(OFFSET(BM277,ROW(BM$2)-ROW(BM277),0)="TT",SUMIF(INDIRECT(ADDRESS(2,COLUMN($Q277)+1) &amp; ":" &amp; ADDRESS(2,COLUMN(BM277)-1),TRUE),"TBE",INDIRECT(ADDRESS(ROW(BM277), COLUMN($Q277)+1) &amp; ":" &amp; ADDRESS(ROW(BM277),COLUMN(BM277)-1),TRUE)),IF(OFFSET(BM277,ROW(BM$2)-ROW(BM277),0)="TBE",SUMIF(INDIRECT(ADDRESS(2,MATCH(INT(OFFSET(BM277,ROW(BM$2)-ROW(BM277),-2)),$2:$2,0)) &amp; ":" &amp; ADDRESS(2,COLUMN(BM277)-1),TRUE),"T",INDIRECT(ADDRESS(ROW(BM277), MATCH(INT(OFFSET(BM277,ROW(BM$2)-ROW(BM277),-2)),$2:$2,0)) &amp; ":" &amp; ADDRESS(ROW(BM277),COLUMN(BM277)-1),TRUE)),IF(OFFSET(BM277,0,COLUMN($M277)-COLUMN(BM277))="V",OFFSET(BM277,0,-2)*OFFSET(BM277,0,-1),"TOTAL")))</f>
        <v>0</v>
      </c>
      <c r="BN277" s="356">
        <f ca="1">IF(OFFSET(BN277,ROW(BN$2)-ROW(BN277),0)="TT",SUMIF(INDIRECT(ADDRESS(2,COLUMN($Q277)+1) &amp; ":" &amp; ADDRESS(2,COLUMN(BN277)-1),TRUE),"TBE",INDIRECT(ADDRESS(ROW(BN277), COLUMN($Q277)+1) &amp; ":" &amp; ADDRESS(ROW(BN277),COLUMN(BN277)-1),TRUE)),IF(OFFSET(BN277,ROW(BN$2)-ROW(BN277),0)="TBE",SUMIF(INDIRECT(ADDRESS(2,MATCH(INT(OFFSET(BN277,ROW(BN$2)-ROW(BN277),-2)),$2:$2,0)) &amp; ":" &amp; ADDRESS(2,COLUMN(BN277)-1),TRUE),"T",INDIRECT(ADDRESS(ROW(BN277), MATCH(INT(OFFSET(BN277,ROW(BN$2)-ROW(BN277),-2)),$2:$2,0)) &amp; ":" &amp; ADDRESS(ROW(BN277),COLUMN(BN277)-1),TRUE)),IF(OFFSET(BN277,0,COLUMN($M277)-COLUMN(BN277))="V",OFFSET(BN277,0,-2)*OFFSET(BN277,0,-1),"TOTAL")))</f>
        <v>0</v>
      </c>
    </row>
    <row r="278" spans="1:66">
      <c r="A278" s="221" t="str">
        <f t="shared" ca="1" si="434"/>
        <v>WP008</v>
      </c>
      <c r="B278" s="221" t="str">
        <f t="shared" ca="1" si="435"/>
        <v>WP008</v>
      </c>
      <c r="C278" s="221">
        <v>1</v>
      </c>
      <c r="N278" s="461"/>
      <c r="O278" s="259"/>
      <c r="P278" s="389"/>
      <c r="Q278" s="389"/>
      <c r="R278" s="361"/>
      <c r="S278" s="362"/>
      <c r="T278" s="363"/>
      <c r="U278" s="360"/>
      <c r="V278" s="361"/>
      <c r="W278" s="362"/>
      <c r="X278" s="363"/>
      <c r="Y278" s="360"/>
      <c r="Z278" s="361"/>
      <c r="AA278" s="362"/>
      <c r="AB278" s="363"/>
      <c r="AC278" s="360"/>
      <c r="AD278" s="361"/>
      <c r="AE278" s="362"/>
      <c r="AF278" s="363"/>
      <c r="AG278" s="360"/>
      <c r="AH278" s="361"/>
      <c r="AI278" s="362"/>
      <c r="AJ278" s="363"/>
      <c r="AK278" s="360"/>
      <c r="AL278" s="361"/>
      <c r="AM278" s="362"/>
      <c r="AN278" s="363"/>
      <c r="AO278" s="360"/>
      <c r="AP278" s="361"/>
      <c r="AQ278" s="362"/>
      <c r="AR278" s="363"/>
      <c r="AS278" s="360"/>
      <c r="AT278" s="361"/>
      <c r="AU278" s="362"/>
      <c r="AV278" s="363"/>
      <c r="AW278" s="360"/>
      <c r="AX278" s="361"/>
      <c r="AY278" s="362"/>
      <c r="AZ278" s="363"/>
      <c r="BA278" s="360"/>
      <c r="BB278" s="361"/>
      <c r="BC278" s="362"/>
      <c r="BD278" s="363"/>
      <c r="BE278" s="360"/>
      <c r="BF278" s="361"/>
      <c r="BG278" s="362"/>
      <c r="BH278" s="363"/>
      <c r="BI278" s="360"/>
      <c r="BJ278" s="361"/>
      <c r="BK278" s="362"/>
      <c r="BL278" s="363"/>
      <c r="BM278" s="360"/>
      <c r="BN278" s="360"/>
    </row>
    <row r="279" spans="1:66" ht="12.75" thickBot="1">
      <c r="A279" s="221" t="str">
        <f t="shared" ca="1" si="434"/>
        <v>ENDWP008</v>
      </c>
      <c r="B279" s="221" t="str">
        <f t="shared" ca="1" si="435"/>
        <v>WP008</v>
      </c>
      <c r="C279" s="221">
        <v>0</v>
      </c>
      <c r="D279" s="221" t="s">
        <v>135</v>
      </c>
      <c r="E279" s="221" t="s">
        <v>130</v>
      </c>
      <c r="M279" s="221" t="s">
        <v>46</v>
      </c>
      <c r="N279" s="462"/>
      <c r="O279" s="454" t="str">
        <f ca="1">"TOTAL COSTS (A+B+C+D+E) - " &amp; OFFSET(O279,-26,0)</f>
        <v xml:space="preserve">TOTAL COSTS (A+B+C+D+E) - </v>
      </c>
      <c r="P279" s="455"/>
      <c r="Q279" s="455"/>
      <c r="R279" s="373"/>
      <c r="S279" s="374"/>
      <c r="T279" s="375">
        <f t="shared" ca="1" si="448"/>
        <v>0</v>
      </c>
      <c r="U279" s="376">
        <f ca="1">IF(OFFSET(U279,ROW(U$2)-ROW(U279),0)="TT",SUMIF(INDIRECT(ADDRESS(2,COLUMN($Q279)+1) &amp; ":" &amp; ADDRESS(2,COLUMN(U279)-1),TRUE),"TBE",INDIRECT(ADDRESS(ROW(U279), COLUMN($Q279)+1) &amp; ":" &amp; ADDRESS(ROW(U279),COLUMN(U279)-1),TRUE)),IF(OFFSET(U279,ROW(U$2)-ROW(U279),0)="TBE",SUMIF(INDIRECT(ADDRESS(2,MATCH(INT(OFFSET(U279,ROW(U$2)-ROW(U279),-2)),$2:$2,0)) &amp; ":" &amp; ADDRESS(2,COLUMN(U279)-1),TRUE),"T",INDIRECT(ADDRESS(ROW(U279), MATCH(INT(OFFSET(U279,ROW(U$2)-ROW(U279),-2)),$2:$2,0)) &amp; ":" &amp; ADDRESS(ROW(U279),COLUMN(U279)-1),TRUE)),IF(OFFSET(U279,0,COLUMN($M279)-COLUMN(U279))="V",OFFSET(U279,0,-2)*OFFSET(U279,0,-1),"TOTAL")))</f>
        <v>0</v>
      </c>
      <c r="V279" s="373"/>
      <c r="W279" s="374"/>
      <c r="X279" s="375">
        <f t="shared" ca="1" si="449"/>
        <v>0</v>
      </c>
      <c r="Y279" s="376">
        <f ca="1">IF(OFFSET(Y279,ROW(Y$2)-ROW(Y279),0)="TT",SUMIF(INDIRECT(ADDRESS(2,COLUMN($Q279)+1) &amp; ":" &amp; ADDRESS(2,COLUMN(Y279)-1),TRUE),"TBE",INDIRECT(ADDRESS(ROW(Y279), COLUMN($Q279)+1) &amp; ":" &amp; ADDRESS(ROW(Y279),COLUMN(Y279)-1),TRUE)),IF(OFFSET(Y279,ROW(Y$2)-ROW(Y279),0)="TBE",SUMIF(INDIRECT(ADDRESS(2,MATCH(INT(OFFSET(Y279,ROW(Y$2)-ROW(Y279),-2)),$2:$2,0)) &amp; ":" &amp; ADDRESS(2,COLUMN(Y279)-1),TRUE),"T",INDIRECT(ADDRESS(ROW(Y279), MATCH(INT(OFFSET(Y279,ROW(Y$2)-ROW(Y279),-2)),$2:$2,0)) &amp; ":" &amp; ADDRESS(ROW(Y279),COLUMN(Y279)-1),TRUE)),IF(OFFSET(Y279,0,COLUMN($M279)-COLUMN(Y279))="V",OFFSET(Y279,0,-2)*OFFSET(Y279,0,-1),"TOTAL")))</f>
        <v>0</v>
      </c>
      <c r="Z279" s="373"/>
      <c r="AA279" s="374"/>
      <c r="AB279" s="375">
        <f t="shared" ca="1" si="450"/>
        <v>0</v>
      </c>
      <c r="AC279" s="376">
        <f ca="1">IF(OFFSET(AC279,ROW(AC$2)-ROW(AC279),0)="TT",SUMIF(INDIRECT(ADDRESS(2,COLUMN($Q279)+1) &amp; ":" &amp; ADDRESS(2,COLUMN(AC279)-1),TRUE),"TBE",INDIRECT(ADDRESS(ROW(AC279), COLUMN($Q279)+1) &amp; ":" &amp; ADDRESS(ROW(AC279),COLUMN(AC279)-1),TRUE)),IF(OFFSET(AC279,ROW(AC$2)-ROW(AC279),0)="TBE",SUMIF(INDIRECT(ADDRESS(2,MATCH(INT(OFFSET(AC279,ROW(AC$2)-ROW(AC279),-2)),$2:$2,0)) &amp; ":" &amp; ADDRESS(2,COLUMN(AC279)-1),TRUE),"T",INDIRECT(ADDRESS(ROW(AC279), MATCH(INT(OFFSET(AC279,ROW(AC$2)-ROW(AC279),-2)),$2:$2,0)) &amp; ":" &amp; ADDRESS(ROW(AC279),COLUMN(AC279)-1),TRUE)),IF(OFFSET(AC279,0,COLUMN($M279)-COLUMN(AC279))="V",OFFSET(AC279,0,-2)*OFFSET(AC279,0,-1),"TOTAL")))</f>
        <v>0</v>
      </c>
      <c r="AD279" s="373"/>
      <c r="AE279" s="374"/>
      <c r="AF279" s="375">
        <f t="shared" ca="1" si="451"/>
        <v>0</v>
      </c>
      <c r="AG279" s="376">
        <f ca="1">IF(OFFSET(AG279,ROW(AG$2)-ROW(AG279),0)="TT",SUMIF(INDIRECT(ADDRESS(2,COLUMN($Q279)+1) &amp; ":" &amp; ADDRESS(2,COLUMN(AG279)-1),TRUE),"TBE",INDIRECT(ADDRESS(ROW(AG279), COLUMN($Q279)+1) &amp; ":" &amp; ADDRESS(ROW(AG279),COLUMN(AG279)-1),TRUE)),IF(OFFSET(AG279,ROW(AG$2)-ROW(AG279),0)="TBE",SUMIF(INDIRECT(ADDRESS(2,MATCH(INT(OFFSET(AG279,ROW(AG$2)-ROW(AG279),-2)),$2:$2,0)) &amp; ":" &amp; ADDRESS(2,COLUMN(AG279)-1),TRUE),"T",INDIRECT(ADDRESS(ROW(AG279), MATCH(INT(OFFSET(AG279,ROW(AG$2)-ROW(AG279),-2)),$2:$2,0)) &amp; ":" &amp; ADDRESS(ROW(AG279),COLUMN(AG279)-1),TRUE)),IF(OFFSET(AG279,0,COLUMN($M279)-COLUMN(AG279))="V",OFFSET(AG279,0,-2)*OFFSET(AG279,0,-1),"TOTAL")))</f>
        <v>0</v>
      </c>
      <c r="AH279" s="373"/>
      <c r="AI279" s="374"/>
      <c r="AJ279" s="375">
        <f t="shared" ca="1" si="452"/>
        <v>0</v>
      </c>
      <c r="AK279" s="376">
        <f ca="1">IF(OFFSET(AK279,ROW(AK$2)-ROW(AK279),0)="TT",SUMIF(INDIRECT(ADDRESS(2,COLUMN($Q279)+1) &amp; ":" &amp; ADDRESS(2,COLUMN(AK279)-1),TRUE),"TBE",INDIRECT(ADDRESS(ROW(AK279), COLUMN($Q279)+1) &amp; ":" &amp; ADDRESS(ROW(AK279),COLUMN(AK279)-1),TRUE)),IF(OFFSET(AK279,ROW(AK$2)-ROW(AK279),0)="TBE",SUMIF(INDIRECT(ADDRESS(2,MATCH(INT(OFFSET(AK279,ROW(AK$2)-ROW(AK279),-2)),$2:$2,0)) &amp; ":" &amp; ADDRESS(2,COLUMN(AK279)-1),TRUE),"T",INDIRECT(ADDRESS(ROW(AK279), MATCH(INT(OFFSET(AK279,ROW(AK$2)-ROW(AK279),-2)),$2:$2,0)) &amp; ":" &amp; ADDRESS(ROW(AK279),COLUMN(AK279)-1),TRUE)),IF(OFFSET(AK279,0,COLUMN($M279)-COLUMN(AK279))="V",OFFSET(AK279,0,-2)*OFFSET(AK279,0,-1),"TOTAL")))</f>
        <v>0</v>
      </c>
      <c r="AL279" s="373"/>
      <c r="AM279" s="374"/>
      <c r="AN279" s="375">
        <f t="shared" ca="1" si="453"/>
        <v>0</v>
      </c>
      <c r="AO279" s="376">
        <f ca="1">IF(OFFSET(AO279,ROW(AO$2)-ROW(AO279),0)="TT",SUMIF(INDIRECT(ADDRESS(2,COLUMN($Q279)+1) &amp; ":" &amp; ADDRESS(2,COLUMN(AO279)-1),TRUE),"TBE",INDIRECT(ADDRESS(ROW(AO279), COLUMN($Q279)+1) &amp; ":" &amp; ADDRESS(ROW(AO279),COLUMN(AO279)-1),TRUE)),IF(OFFSET(AO279,ROW(AO$2)-ROW(AO279),0)="TBE",SUMIF(INDIRECT(ADDRESS(2,MATCH(INT(OFFSET(AO279,ROW(AO$2)-ROW(AO279),-2)),$2:$2,0)) &amp; ":" &amp; ADDRESS(2,COLUMN(AO279)-1),TRUE),"T",INDIRECT(ADDRESS(ROW(AO279), MATCH(INT(OFFSET(AO279,ROW(AO$2)-ROW(AO279),-2)),$2:$2,0)) &amp; ":" &amp; ADDRESS(ROW(AO279),COLUMN(AO279)-1),TRUE)),IF(OFFSET(AO279,0,COLUMN($M279)-COLUMN(AO279))="V",OFFSET(AO279,0,-2)*OFFSET(AO279,0,-1),"TOTAL")))</f>
        <v>0</v>
      </c>
      <c r="AP279" s="373"/>
      <c r="AQ279" s="374"/>
      <c r="AR279" s="375">
        <f t="shared" ca="1" si="454"/>
        <v>0</v>
      </c>
      <c r="AS279" s="376">
        <f ca="1">IF(OFFSET(AS279,ROW(AS$2)-ROW(AS279),0)="TT",SUMIF(INDIRECT(ADDRESS(2,COLUMN($Q279)+1) &amp; ":" &amp; ADDRESS(2,COLUMN(AS279)-1),TRUE),"TBE",INDIRECT(ADDRESS(ROW(AS279), COLUMN($Q279)+1) &amp; ":" &amp; ADDRESS(ROW(AS279),COLUMN(AS279)-1),TRUE)),IF(OFFSET(AS279,ROW(AS$2)-ROW(AS279),0)="TBE",SUMIF(INDIRECT(ADDRESS(2,MATCH(INT(OFFSET(AS279,ROW(AS$2)-ROW(AS279),-2)),$2:$2,0)) &amp; ":" &amp; ADDRESS(2,COLUMN(AS279)-1),TRUE),"T",INDIRECT(ADDRESS(ROW(AS279), MATCH(INT(OFFSET(AS279,ROW(AS$2)-ROW(AS279),-2)),$2:$2,0)) &amp; ":" &amp; ADDRESS(ROW(AS279),COLUMN(AS279)-1),TRUE)),IF(OFFSET(AS279,0,COLUMN($M279)-COLUMN(AS279))="V",OFFSET(AS279,0,-2)*OFFSET(AS279,0,-1),"TOTAL")))</f>
        <v>0</v>
      </c>
      <c r="AT279" s="373"/>
      <c r="AU279" s="374"/>
      <c r="AV279" s="375">
        <f t="shared" ca="1" si="455"/>
        <v>0</v>
      </c>
      <c r="AW279" s="376">
        <f ca="1">IF(OFFSET(AW279,ROW(AW$2)-ROW(AW279),0)="TT",SUMIF(INDIRECT(ADDRESS(2,COLUMN($Q279)+1) &amp; ":" &amp; ADDRESS(2,COLUMN(AW279)-1),TRUE),"TBE",INDIRECT(ADDRESS(ROW(AW279), COLUMN($Q279)+1) &amp; ":" &amp; ADDRESS(ROW(AW279),COLUMN(AW279)-1),TRUE)),IF(OFFSET(AW279,ROW(AW$2)-ROW(AW279),0)="TBE",SUMIF(INDIRECT(ADDRESS(2,MATCH(INT(OFFSET(AW279,ROW(AW$2)-ROW(AW279),-2)),$2:$2,0)) &amp; ":" &amp; ADDRESS(2,COLUMN(AW279)-1),TRUE),"T",INDIRECT(ADDRESS(ROW(AW279), MATCH(INT(OFFSET(AW279,ROW(AW$2)-ROW(AW279),-2)),$2:$2,0)) &amp; ":" &amp; ADDRESS(ROW(AW279),COLUMN(AW279)-1),TRUE)),IF(OFFSET(AW279,0,COLUMN($M279)-COLUMN(AW279))="V",OFFSET(AW279,0,-2)*OFFSET(AW279,0,-1),"TOTAL")))</f>
        <v>0</v>
      </c>
      <c r="AX279" s="373"/>
      <c r="AY279" s="374"/>
      <c r="AZ279" s="375">
        <f t="shared" ca="1" si="456"/>
        <v>0</v>
      </c>
      <c r="BA279" s="376">
        <f ca="1">IF(OFFSET(BA279,ROW(BA$2)-ROW(BA279),0)="TT",SUMIF(INDIRECT(ADDRESS(2,COLUMN($Q279)+1) &amp; ":" &amp; ADDRESS(2,COLUMN(BA279)-1),TRUE),"TBE",INDIRECT(ADDRESS(ROW(BA279), COLUMN($Q279)+1) &amp; ":" &amp; ADDRESS(ROW(BA279),COLUMN(BA279)-1),TRUE)),IF(OFFSET(BA279,ROW(BA$2)-ROW(BA279),0)="TBE",SUMIF(INDIRECT(ADDRESS(2,MATCH(INT(OFFSET(BA279,ROW(BA$2)-ROW(BA279),-2)),$2:$2,0)) &amp; ":" &amp; ADDRESS(2,COLUMN(BA279)-1),TRUE),"T",INDIRECT(ADDRESS(ROW(BA279), MATCH(INT(OFFSET(BA279,ROW(BA$2)-ROW(BA279),-2)),$2:$2,0)) &amp; ":" &amp; ADDRESS(ROW(BA279),COLUMN(BA279)-1),TRUE)),IF(OFFSET(BA279,0,COLUMN($M279)-COLUMN(BA279))="V",OFFSET(BA279,0,-2)*OFFSET(BA279,0,-1),"TOTAL")))</f>
        <v>0</v>
      </c>
      <c r="BB279" s="373"/>
      <c r="BC279" s="374"/>
      <c r="BD279" s="375">
        <f t="shared" ca="1" si="457"/>
        <v>0</v>
      </c>
      <c r="BE279" s="376">
        <f ca="1">IF(OFFSET(BE279,ROW(BE$2)-ROW(BE279),0)="TT",SUMIF(INDIRECT(ADDRESS(2,COLUMN($Q279)+1) &amp; ":" &amp; ADDRESS(2,COLUMN(BE279)-1),TRUE),"TBE",INDIRECT(ADDRESS(ROW(BE279), COLUMN($Q279)+1) &amp; ":" &amp; ADDRESS(ROW(BE279),COLUMN(BE279)-1),TRUE)),IF(OFFSET(BE279,ROW(BE$2)-ROW(BE279),0)="TBE",SUMIF(INDIRECT(ADDRESS(2,MATCH(INT(OFFSET(BE279,ROW(BE$2)-ROW(BE279),-2)),$2:$2,0)) &amp; ":" &amp; ADDRESS(2,COLUMN(BE279)-1),TRUE),"T",INDIRECT(ADDRESS(ROW(BE279), MATCH(INT(OFFSET(BE279,ROW(BE$2)-ROW(BE279),-2)),$2:$2,0)) &amp; ":" &amp; ADDRESS(ROW(BE279),COLUMN(BE279)-1),TRUE)),IF(OFFSET(BE279,0,COLUMN($M279)-COLUMN(BE279))="V",OFFSET(BE279,0,-2)*OFFSET(BE279,0,-1),"TOTAL")))</f>
        <v>0</v>
      </c>
      <c r="BF279" s="373"/>
      <c r="BG279" s="374"/>
      <c r="BH279" s="375">
        <f t="shared" ca="1" si="458"/>
        <v>0</v>
      </c>
      <c r="BI279" s="376">
        <f ca="1">IF(OFFSET(BI279,ROW(BI$2)-ROW(BI279),0)="TT",SUMIF(INDIRECT(ADDRESS(2,COLUMN($Q279)+1) &amp; ":" &amp; ADDRESS(2,COLUMN(BI279)-1),TRUE),"TBE",INDIRECT(ADDRESS(ROW(BI279), COLUMN($Q279)+1) &amp; ":" &amp; ADDRESS(ROW(BI279),COLUMN(BI279)-1),TRUE)),IF(OFFSET(BI279,ROW(BI$2)-ROW(BI279),0)="TBE",SUMIF(INDIRECT(ADDRESS(2,MATCH(INT(OFFSET(BI279,ROW(BI$2)-ROW(BI279),-2)),$2:$2,0)) &amp; ":" &amp; ADDRESS(2,COLUMN(BI279)-1),TRUE),"T",INDIRECT(ADDRESS(ROW(BI279), MATCH(INT(OFFSET(BI279,ROW(BI$2)-ROW(BI279),-2)),$2:$2,0)) &amp; ":" &amp; ADDRESS(ROW(BI279),COLUMN(BI279)-1),TRUE)),IF(OFFSET(BI279,0,COLUMN($M279)-COLUMN(BI279))="V",OFFSET(BI279,0,-2)*OFFSET(BI279,0,-1),"TOTAL")))</f>
        <v>0</v>
      </c>
      <c r="BJ279" s="373"/>
      <c r="BK279" s="374"/>
      <c r="BL279" s="375">
        <f t="shared" ca="1" si="459"/>
        <v>0</v>
      </c>
      <c r="BM279" s="376">
        <f ca="1">IF(OFFSET(BM279,ROW(BM$2)-ROW(BM279),0)="TT",SUMIF(INDIRECT(ADDRESS(2,COLUMN($Q279)+1) &amp; ":" &amp; ADDRESS(2,COLUMN(BM279)-1),TRUE),"TBE",INDIRECT(ADDRESS(ROW(BM279), COLUMN($Q279)+1) &amp; ":" &amp; ADDRESS(ROW(BM279),COLUMN(BM279)-1),TRUE)),IF(OFFSET(BM279,ROW(BM$2)-ROW(BM279),0)="TBE",SUMIF(INDIRECT(ADDRESS(2,MATCH(INT(OFFSET(BM279,ROW(BM$2)-ROW(BM279),-2)),$2:$2,0)) &amp; ":" &amp; ADDRESS(2,COLUMN(BM279)-1),TRUE),"T",INDIRECT(ADDRESS(ROW(BM279), MATCH(INT(OFFSET(BM279,ROW(BM$2)-ROW(BM279),-2)),$2:$2,0)) &amp; ":" &amp; ADDRESS(ROW(BM279),COLUMN(BM279)-1),TRUE)),IF(OFFSET(BM279,0,COLUMN($M279)-COLUMN(BM279))="V",OFFSET(BM279,0,-2)*OFFSET(BM279,0,-1),"TOTAL")))</f>
        <v>0</v>
      </c>
      <c r="BN279" s="376">
        <f ca="1">IF(OFFSET(BN279,ROW(BN$2)-ROW(BN279),0)="TT",SUMIF(INDIRECT(ADDRESS(2,COLUMN($Q279)+1) &amp; ":" &amp; ADDRESS(2,COLUMN(BN279)-1),TRUE),"TBE",INDIRECT(ADDRESS(ROW(BN279), COLUMN($Q279)+1) &amp; ":" &amp; ADDRESS(ROW(BN279),COLUMN(BN279)-1),TRUE)),IF(OFFSET(BN279,ROW(BN$2)-ROW(BN279),0)="TBE",SUMIF(INDIRECT(ADDRESS(2,MATCH(INT(OFFSET(BN279,ROW(BN$2)-ROW(BN279),-2)),$2:$2,0)) &amp; ":" &amp; ADDRESS(2,COLUMN(BN279)-1),TRUE),"T",INDIRECT(ADDRESS(ROW(BN279), MATCH(INT(OFFSET(BN279,ROW(BN$2)-ROW(BN279),-2)),$2:$2,0)) &amp; ":" &amp; ADDRESS(ROW(BN279),COLUMN(BN279)-1),TRUE)),IF(OFFSET(BN279,0,COLUMN($M279)-COLUMN(BN279))="V",OFFSET(BN279,0,-2)*OFFSET(BN279,0,-1),"TOTAL")))</f>
        <v>0</v>
      </c>
    </row>
    <row r="280" spans="1:66" ht="12.75" thickTop="1">
      <c r="A280" s="221" t="s">
        <v>137</v>
      </c>
    </row>
  </sheetData>
  <sheetProtection algorithmName="SHA-512" hashValue="FftIoTOU/ooFZdMNsermq4IxjG7926GggHu+nLQe4gUtCvCV9HMEp6TIcMzlA8KCgmu6Gwj9hbyNJDY0Sa9z+A==" saltValue="oNhczP9eYX+1iNG3ZXvhUw==" spinCount="100000" sheet="1" objects="1" scenarios="1"/>
  <mergeCells count="183">
    <mergeCell ref="Q3:Q4"/>
    <mergeCell ref="R3:T3"/>
    <mergeCell ref="BN3:BN4"/>
    <mergeCell ref="R4:T4"/>
    <mergeCell ref="O7:Q7"/>
    <mergeCell ref="O9:Q9"/>
    <mergeCell ref="Y3:Y4"/>
    <mergeCell ref="Z3:AB3"/>
    <mergeCell ref="Z4:AB4"/>
    <mergeCell ref="AC3:AC4"/>
    <mergeCell ref="P27:Q27"/>
    <mergeCell ref="P28:Q28"/>
    <mergeCell ref="O35:Q35"/>
    <mergeCell ref="P36:Q36"/>
    <mergeCell ref="O37:Q37"/>
    <mergeCell ref="O39:Q39"/>
    <mergeCell ref="N10:N41"/>
    <mergeCell ref="O10:Q10"/>
    <mergeCell ref="P11:Q11"/>
    <mergeCell ref="P17:Q17"/>
    <mergeCell ref="P18:Q18"/>
    <mergeCell ref="P19:Q19"/>
    <mergeCell ref="P20:Q20"/>
    <mergeCell ref="O21:Q21"/>
    <mergeCell ref="O22:Q22"/>
    <mergeCell ref="P23:Q23"/>
    <mergeCell ref="O56:Q56"/>
    <mergeCell ref="P57:Q57"/>
    <mergeCell ref="P61:Q61"/>
    <mergeCell ref="P62:Q62"/>
    <mergeCell ref="O69:Q69"/>
    <mergeCell ref="P70:Q70"/>
    <mergeCell ref="O41:Q41"/>
    <mergeCell ref="O43:Q43"/>
    <mergeCell ref="N44:N75"/>
    <mergeCell ref="O44:Q44"/>
    <mergeCell ref="P45:Q45"/>
    <mergeCell ref="P51:Q51"/>
    <mergeCell ref="P52:Q52"/>
    <mergeCell ref="P53:Q53"/>
    <mergeCell ref="P54:Q54"/>
    <mergeCell ref="O55:Q55"/>
    <mergeCell ref="O71:Q71"/>
    <mergeCell ref="O73:Q73"/>
    <mergeCell ref="O75:Q75"/>
    <mergeCell ref="O77:Q77"/>
    <mergeCell ref="N78:N109"/>
    <mergeCell ref="O78:Q78"/>
    <mergeCell ref="P79:Q79"/>
    <mergeCell ref="P85:Q85"/>
    <mergeCell ref="P86:Q86"/>
    <mergeCell ref="P87:Q87"/>
    <mergeCell ref="O103:Q103"/>
    <mergeCell ref="P104:Q104"/>
    <mergeCell ref="O105:Q105"/>
    <mergeCell ref="O107:Q107"/>
    <mergeCell ref="O109:Q109"/>
    <mergeCell ref="O111:Q111"/>
    <mergeCell ref="P88:Q88"/>
    <mergeCell ref="O89:Q89"/>
    <mergeCell ref="O90:Q90"/>
    <mergeCell ref="P91:Q91"/>
    <mergeCell ref="P95:Q95"/>
    <mergeCell ref="P96:Q96"/>
    <mergeCell ref="P129:Q129"/>
    <mergeCell ref="P130:Q130"/>
    <mergeCell ref="O137:Q137"/>
    <mergeCell ref="P138:Q138"/>
    <mergeCell ref="O139:Q139"/>
    <mergeCell ref="O141:Q141"/>
    <mergeCell ref="N112:N143"/>
    <mergeCell ref="O112:Q112"/>
    <mergeCell ref="P113:Q113"/>
    <mergeCell ref="P119:Q119"/>
    <mergeCell ref="P120:Q120"/>
    <mergeCell ref="P121:Q121"/>
    <mergeCell ref="P122:Q122"/>
    <mergeCell ref="O123:Q123"/>
    <mergeCell ref="O124:Q124"/>
    <mergeCell ref="P125:Q125"/>
    <mergeCell ref="O143:Q143"/>
    <mergeCell ref="O145:Q145"/>
    <mergeCell ref="N146:N177"/>
    <mergeCell ref="O146:Q146"/>
    <mergeCell ref="P147:Q147"/>
    <mergeCell ref="P153:Q153"/>
    <mergeCell ref="P154:Q154"/>
    <mergeCell ref="P155:Q155"/>
    <mergeCell ref="P156:Q156"/>
    <mergeCell ref="O157:Q157"/>
    <mergeCell ref="N180:N211"/>
    <mergeCell ref="O180:Q180"/>
    <mergeCell ref="P181:Q181"/>
    <mergeCell ref="P187:Q187"/>
    <mergeCell ref="P188:Q188"/>
    <mergeCell ref="P189:Q189"/>
    <mergeCell ref="O158:Q158"/>
    <mergeCell ref="P159:Q159"/>
    <mergeCell ref="P163:Q163"/>
    <mergeCell ref="P164:Q164"/>
    <mergeCell ref="O171:Q171"/>
    <mergeCell ref="P172:Q172"/>
    <mergeCell ref="O211:Q211"/>
    <mergeCell ref="O213:Q213"/>
    <mergeCell ref="P190:Q190"/>
    <mergeCell ref="O191:Q191"/>
    <mergeCell ref="O192:Q192"/>
    <mergeCell ref="P193:Q193"/>
    <mergeCell ref="P197:Q197"/>
    <mergeCell ref="P198:Q198"/>
    <mergeCell ref="O173:Q173"/>
    <mergeCell ref="O175:Q175"/>
    <mergeCell ref="O177:Q177"/>
    <mergeCell ref="O179:Q179"/>
    <mergeCell ref="N248:N279"/>
    <mergeCell ref="O248:Q248"/>
    <mergeCell ref="P249:Q249"/>
    <mergeCell ref="P255:Q255"/>
    <mergeCell ref="P256:Q256"/>
    <mergeCell ref="P257:Q257"/>
    <mergeCell ref="P258:Q258"/>
    <mergeCell ref="O259:Q259"/>
    <mergeCell ref="P231:Q231"/>
    <mergeCell ref="P232:Q232"/>
    <mergeCell ref="O239:Q239"/>
    <mergeCell ref="P240:Q240"/>
    <mergeCell ref="O241:Q241"/>
    <mergeCell ref="O243:Q243"/>
    <mergeCell ref="N214:N245"/>
    <mergeCell ref="O214:Q214"/>
    <mergeCell ref="P215:Q215"/>
    <mergeCell ref="P221:Q221"/>
    <mergeCell ref="P222:Q222"/>
    <mergeCell ref="P223:Q223"/>
    <mergeCell ref="P224:Q224"/>
    <mergeCell ref="O225:Q225"/>
    <mergeCell ref="O226:Q226"/>
    <mergeCell ref="P227:Q227"/>
    <mergeCell ref="AD3:AF3"/>
    <mergeCell ref="AD4:AF4"/>
    <mergeCell ref="AG3:AG4"/>
    <mergeCell ref="AH3:AJ3"/>
    <mergeCell ref="AH4:AJ4"/>
    <mergeCell ref="AK3:AK4"/>
    <mergeCell ref="O275:Q275"/>
    <mergeCell ref="O277:Q277"/>
    <mergeCell ref="O279:Q279"/>
    <mergeCell ref="U3:U4"/>
    <mergeCell ref="V3:X3"/>
    <mergeCell ref="V4:X4"/>
    <mergeCell ref="O260:Q260"/>
    <mergeCell ref="P261:Q261"/>
    <mergeCell ref="P265:Q265"/>
    <mergeCell ref="P266:Q266"/>
    <mergeCell ref="O273:Q273"/>
    <mergeCell ref="P274:Q274"/>
    <mergeCell ref="O245:Q245"/>
    <mergeCell ref="O247:Q247"/>
    <mergeCell ref="O205:Q205"/>
    <mergeCell ref="P206:Q206"/>
    <mergeCell ref="O207:Q207"/>
    <mergeCell ref="O209:Q209"/>
    <mergeCell ref="AT3:AV3"/>
    <mergeCell ref="AT4:AV4"/>
    <mergeCell ref="AW3:AW4"/>
    <mergeCell ref="AX3:AZ3"/>
    <mergeCell ref="AX4:AZ4"/>
    <mergeCell ref="BA3:BA4"/>
    <mergeCell ref="AL3:AN3"/>
    <mergeCell ref="AL4:AN4"/>
    <mergeCell ref="AO3:AO4"/>
    <mergeCell ref="AP3:AR3"/>
    <mergeCell ref="AP4:AR4"/>
    <mergeCell ref="AS3:AS4"/>
    <mergeCell ref="BJ3:BL3"/>
    <mergeCell ref="BJ4:BL4"/>
    <mergeCell ref="BM3:BM4"/>
    <mergeCell ref="BB3:BD3"/>
    <mergeCell ref="BB4:BD4"/>
    <mergeCell ref="BE3:BE4"/>
    <mergeCell ref="BF3:BH3"/>
    <mergeCell ref="BF4:BH4"/>
    <mergeCell ref="BI3:BI4"/>
  </mergeCells>
  <conditionalFormatting sqref="R3:T5">
    <cfRule type="expression" dxfId="320" priority="108">
      <formula>OFFSET(R3,ROW(R$2)-ROW(R3),R$6)="BE"</formula>
    </cfRule>
  </conditionalFormatting>
  <conditionalFormatting sqref="R39">
    <cfRule type="expression" dxfId="319" priority="107">
      <formula>INT(R39)&lt;&gt;R39</formula>
    </cfRule>
  </conditionalFormatting>
  <conditionalFormatting sqref="R73">
    <cfRule type="expression" dxfId="318" priority="106">
      <formula>INT(R73)&lt;&gt;R73</formula>
    </cfRule>
  </conditionalFormatting>
  <conditionalFormatting sqref="R107">
    <cfRule type="expression" dxfId="317" priority="105">
      <formula>INT(R107)&lt;&gt;R107</formula>
    </cfRule>
  </conditionalFormatting>
  <conditionalFormatting sqref="R141">
    <cfRule type="expression" dxfId="316" priority="104">
      <formula>INT(R141)&lt;&gt;R141</formula>
    </cfRule>
  </conditionalFormatting>
  <conditionalFormatting sqref="R175">
    <cfRule type="expression" dxfId="315" priority="103">
      <formula>INT(R175)&lt;&gt;R175</formula>
    </cfRule>
  </conditionalFormatting>
  <conditionalFormatting sqref="R209">
    <cfRule type="expression" dxfId="314" priority="102">
      <formula>INT(R209)&lt;&gt;R209</formula>
    </cfRule>
  </conditionalFormatting>
  <conditionalFormatting sqref="R243">
    <cfRule type="expression" dxfId="313" priority="101">
      <formula>INT(R243)&lt;&gt;R243</formula>
    </cfRule>
  </conditionalFormatting>
  <conditionalFormatting sqref="R277">
    <cfRule type="expression" dxfId="312" priority="100">
      <formula>INT(R277)&lt;&gt;R277</formula>
    </cfRule>
  </conditionalFormatting>
  <conditionalFormatting sqref="V3:X5">
    <cfRule type="expression" dxfId="311" priority="99">
      <formula>OFFSET(V3,ROW(V$2)-ROW(V3),V$6)="BE"</formula>
    </cfRule>
  </conditionalFormatting>
  <conditionalFormatting sqref="V39">
    <cfRule type="expression" dxfId="310" priority="98">
      <formula>INT(V39)&lt;&gt;V39</formula>
    </cfRule>
  </conditionalFormatting>
  <conditionalFormatting sqref="V73">
    <cfRule type="expression" dxfId="309" priority="97">
      <formula>INT(V73)&lt;&gt;V73</formula>
    </cfRule>
  </conditionalFormatting>
  <conditionalFormatting sqref="V107">
    <cfRule type="expression" dxfId="308" priority="96">
      <formula>INT(V107)&lt;&gt;V107</formula>
    </cfRule>
  </conditionalFormatting>
  <conditionalFormatting sqref="V141">
    <cfRule type="expression" dxfId="307" priority="95">
      <formula>INT(V141)&lt;&gt;V141</formula>
    </cfRule>
  </conditionalFormatting>
  <conditionalFormatting sqref="V175">
    <cfRule type="expression" dxfId="306" priority="94">
      <formula>INT(V175)&lt;&gt;V175</formula>
    </cfRule>
  </conditionalFormatting>
  <conditionalFormatting sqref="V209">
    <cfRule type="expression" dxfId="305" priority="93">
      <formula>INT(V209)&lt;&gt;V209</formula>
    </cfRule>
  </conditionalFormatting>
  <conditionalFormatting sqref="V243">
    <cfRule type="expression" dxfId="304" priority="92">
      <formula>INT(V243)&lt;&gt;V243</formula>
    </cfRule>
  </conditionalFormatting>
  <conditionalFormatting sqref="V277">
    <cfRule type="expression" dxfId="303" priority="91">
      <formula>INT(V277)&lt;&gt;V277</formula>
    </cfRule>
  </conditionalFormatting>
  <conditionalFormatting sqref="Z3:AB5">
    <cfRule type="expression" dxfId="302" priority="90">
      <formula>OFFSET(Z3,ROW(Z$2)-ROW(Z3),Z$6)="BE"</formula>
    </cfRule>
  </conditionalFormatting>
  <conditionalFormatting sqref="Z39">
    <cfRule type="expression" dxfId="301" priority="89">
      <formula>INT(Z39)&lt;&gt;Z39</formula>
    </cfRule>
  </conditionalFormatting>
  <conditionalFormatting sqref="Z73">
    <cfRule type="expression" dxfId="300" priority="88">
      <formula>INT(Z73)&lt;&gt;Z73</formula>
    </cfRule>
  </conditionalFormatting>
  <conditionalFormatting sqref="Z107">
    <cfRule type="expression" dxfId="299" priority="87">
      <formula>INT(Z107)&lt;&gt;Z107</formula>
    </cfRule>
  </conditionalFormatting>
  <conditionalFormatting sqref="Z141">
    <cfRule type="expression" dxfId="298" priority="86">
      <formula>INT(Z141)&lt;&gt;Z141</formula>
    </cfRule>
  </conditionalFormatting>
  <conditionalFormatting sqref="Z175">
    <cfRule type="expression" dxfId="297" priority="85">
      <formula>INT(Z175)&lt;&gt;Z175</formula>
    </cfRule>
  </conditionalFormatting>
  <conditionalFormatting sqref="Z209">
    <cfRule type="expression" dxfId="296" priority="84">
      <formula>INT(Z209)&lt;&gt;Z209</formula>
    </cfRule>
  </conditionalFormatting>
  <conditionalFormatting sqref="Z243">
    <cfRule type="expression" dxfId="295" priority="83">
      <formula>INT(Z243)&lt;&gt;Z243</formula>
    </cfRule>
  </conditionalFormatting>
  <conditionalFormatting sqref="Z277">
    <cfRule type="expression" dxfId="294" priority="82">
      <formula>INT(Z277)&lt;&gt;Z277</formula>
    </cfRule>
  </conditionalFormatting>
  <conditionalFormatting sqref="AD3:AF5">
    <cfRule type="expression" dxfId="293" priority="81">
      <formula>OFFSET(AD3,ROW(AD$2)-ROW(AD3),AD$6)="BE"</formula>
    </cfRule>
  </conditionalFormatting>
  <conditionalFormatting sqref="AD39">
    <cfRule type="expression" dxfId="292" priority="80">
      <formula>INT(AD39)&lt;&gt;AD39</formula>
    </cfRule>
  </conditionalFormatting>
  <conditionalFormatting sqref="AD73">
    <cfRule type="expression" dxfId="291" priority="79">
      <formula>INT(AD73)&lt;&gt;AD73</formula>
    </cfRule>
  </conditionalFormatting>
  <conditionalFormatting sqref="AD107">
    <cfRule type="expression" dxfId="290" priority="78">
      <formula>INT(AD107)&lt;&gt;AD107</formula>
    </cfRule>
  </conditionalFormatting>
  <conditionalFormatting sqref="AD141">
    <cfRule type="expression" dxfId="289" priority="77">
      <formula>INT(AD141)&lt;&gt;AD141</formula>
    </cfRule>
  </conditionalFormatting>
  <conditionalFormatting sqref="AD175">
    <cfRule type="expression" dxfId="288" priority="76">
      <formula>INT(AD175)&lt;&gt;AD175</formula>
    </cfRule>
  </conditionalFormatting>
  <conditionalFormatting sqref="AD209">
    <cfRule type="expression" dxfId="287" priority="75">
      <formula>INT(AD209)&lt;&gt;AD209</formula>
    </cfRule>
  </conditionalFormatting>
  <conditionalFormatting sqref="AD243">
    <cfRule type="expression" dxfId="286" priority="74">
      <formula>INT(AD243)&lt;&gt;AD243</formula>
    </cfRule>
  </conditionalFormatting>
  <conditionalFormatting sqref="AD277">
    <cfRule type="expression" dxfId="285" priority="73">
      <formula>INT(AD277)&lt;&gt;AD277</formula>
    </cfRule>
  </conditionalFormatting>
  <conditionalFormatting sqref="AH3:AJ5">
    <cfRule type="expression" dxfId="284" priority="72">
      <formula>OFFSET(AH3,ROW(AH$2)-ROW(AH3),AH$6)="BE"</formula>
    </cfRule>
  </conditionalFormatting>
  <conditionalFormatting sqref="AH39">
    <cfRule type="expression" dxfId="283" priority="71">
      <formula>INT(AH39)&lt;&gt;AH39</formula>
    </cfRule>
  </conditionalFormatting>
  <conditionalFormatting sqref="AH73">
    <cfRule type="expression" dxfId="282" priority="70">
      <formula>INT(AH73)&lt;&gt;AH73</formula>
    </cfRule>
  </conditionalFormatting>
  <conditionalFormatting sqref="AH107">
    <cfRule type="expression" dxfId="281" priority="69">
      <formula>INT(AH107)&lt;&gt;AH107</formula>
    </cfRule>
  </conditionalFormatting>
  <conditionalFormatting sqref="AH141">
    <cfRule type="expression" dxfId="280" priority="68">
      <formula>INT(AH141)&lt;&gt;AH141</formula>
    </cfRule>
  </conditionalFormatting>
  <conditionalFormatting sqref="AH175">
    <cfRule type="expression" dxfId="279" priority="67">
      <formula>INT(AH175)&lt;&gt;AH175</formula>
    </cfRule>
  </conditionalFormatting>
  <conditionalFormatting sqref="AH209">
    <cfRule type="expression" dxfId="278" priority="66">
      <formula>INT(AH209)&lt;&gt;AH209</formula>
    </cfRule>
  </conditionalFormatting>
  <conditionalFormatting sqref="AH243">
    <cfRule type="expression" dxfId="277" priority="65">
      <formula>INT(AH243)&lt;&gt;AH243</formula>
    </cfRule>
  </conditionalFormatting>
  <conditionalFormatting sqref="AH277">
    <cfRule type="expression" dxfId="276" priority="64">
      <formula>INT(AH277)&lt;&gt;AH277</formula>
    </cfRule>
  </conditionalFormatting>
  <conditionalFormatting sqref="AL3:AN5">
    <cfRule type="expression" dxfId="275" priority="63">
      <formula>OFFSET(AL3,ROW(AL$2)-ROW(AL3),AL$6)="BE"</formula>
    </cfRule>
  </conditionalFormatting>
  <conditionalFormatting sqref="AL39">
    <cfRule type="expression" dxfId="274" priority="62">
      <formula>INT(AL39)&lt;&gt;AL39</formula>
    </cfRule>
  </conditionalFormatting>
  <conditionalFormatting sqref="AL73">
    <cfRule type="expression" dxfId="273" priority="61">
      <formula>INT(AL73)&lt;&gt;AL73</formula>
    </cfRule>
  </conditionalFormatting>
  <conditionalFormatting sqref="AL107">
    <cfRule type="expression" dxfId="272" priority="60">
      <formula>INT(AL107)&lt;&gt;AL107</formula>
    </cfRule>
  </conditionalFormatting>
  <conditionalFormatting sqref="AL141">
    <cfRule type="expression" dxfId="271" priority="59">
      <formula>INT(AL141)&lt;&gt;AL141</formula>
    </cfRule>
  </conditionalFormatting>
  <conditionalFormatting sqref="AL175">
    <cfRule type="expression" dxfId="270" priority="58">
      <formula>INT(AL175)&lt;&gt;AL175</formula>
    </cfRule>
  </conditionalFormatting>
  <conditionalFormatting sqref="AL209">
    <cfRule type="expression" dxfId="269" priority="57">
      <formula>INT(AL209)&lt;&gt;AL209</formula>
    </cfRule>
  </conditionalFormatting>
  <conditionalFormatting sqref="AL243">
    <cfRule type="expression" dxfId="268" priority="56">
      <formula>INT(AL243)&lt;&gt;AL243</formula>
    </cfRule>
  </conditionalFormatting>
  <conditionalFormatting sqref="AL277">
    <cfRule type="expression" dxfId="267" priority="55">
      <formula>INT(AL277)&lt;&gt;AL277</formula>
    </cfRule>
  </conditionalFormatting>
  <conditionalFormatting sqref="AP3:AR5">
    <cfRule type="expression" dxfId="266" priority="54">
      <formula>OFFSET(AP3,ROW(AP$2)-ROW(AP3),AP$6)="BE"</formula>
    </cfRule>
  </conditionalFormatting>
  <conditionalFormatting sqref="AP39">
    <cfRule type="expression" dxfId="265" priority="53">
      <formula>INT(AP39)&lt;&gt;AP39</formula>
    </cfRule>
  </conditionalFormatting>
  <conditionalFormatting sqref="AP73">
    <cfRule type="expression" dxfId="264" priority="52">
      <formula>INT(AP73)&lt;&gt;AP73</formula>
    </cfRule>
  </conditionalFormatting>
  <conditionalFormatting sqref="AP107">
    <cfRule type="expression" dxfId="263" priority="51">
      <formula>INT(AP107)&lt;&gt;AP107</formula>
    </cfRule>
  </conditionalFormatting>
  <conditionalFormatting sqref="AP141">
    <cfRule type="expression" dxfId="262" priority="50">
      <formula>INT(AP141)&lt;&gt;AP141</formula>
    </cfRule>
  </conditionalFormatting>
  <conditionalFormatting sqref="AP175">
    <cfRule type="expression" dxfId="261" priority="49">
      <formula>INT(AP175)&lt;&gt;AP175</formula>
    </cfRule>
  </conditionalFormatting>
  <conditionalFormatting sqref="AP209">
    <cfRule type="expression" dxfId="260" priority="48">
      <formula>INT(AP209)&lt;&gt;AP209</formula>
    </cfRule>
  </conditionalFormatting>
  <conditionalFormatting sqref="AP243">
    <cfRule type="expression" dxfId="259" priority="47">
      <formula>INT(AP243)&lt;&gt;AP243</formula>
    </cfRule>
  </conditionalFormatting>
  <conditionalFormatting sqref="AP277">
    <cfRule type="expression" dxfId="258" priority="46">
      <formula>INT(AP277)&lt;&gt;AP277</formula>
    </cfRule>
  </conditionalFormatting>
  <conditionalFormatting sqref="AT3:AV5">
    <cfRule type="expression" dxfId="257" priority="45">
      <formula>OFFSET(AT3,ROW(AT$2)-ROW(AT3),AT$6)="BE"</formula>
    </cfRule>
  </conditionalFormatting>
  <conditionalFormatting sqref="AT39">
    <cfRule type="expression" dxfId="256" priority="44">
      <formula>INT(AT39)&lt;&gt;AT39</formula>
    </cfRule>
  </conditionalFormatting>
  <conditionalFormatting sqref="AT73">
    <cfRule type="expression" dxfId="255" priority="43">
      <formula>INT(AT73)&lt;&gt;AT73</formula>
    </cfRule>
  </conditionalFormatting>
  <conditionalFormatting sqref="AT107">
    <cfRule type="expression" dxfId="254" priority="42">
      <formula>INT(AT107)&lt;&gt;AT107</formula>
    </cfRule>
  </conditionalFormatting>
  <conditionalFormatting sqref="AT141">
    <cfRule type="expression" dxfId="253" priority="41">
      <formula>INT(AT141)&lt;&gt;AT141</formula>
    </cfRule>
  </conditionalFormatting>
  <conditionalFormatting sqref="AT175">
    <cfRule type="expression" dxfId="252" priority="40">
      <formula>INT(AT175)&lt;&gt;AT175</formula>
    </cfRule>
  </conditionalFormatting>
  <conditionalFormatting sqref="AT209">
    <cfRule type="expression" dxfId="251" priority="39">
      <formula>INT(AT209)&lt;&gt;AT209</formula>
    </cfRule>
  </conditionalFormatting>
  <conditionalFormatting sqref="AT243">
    <cfRule type="expression" dxfId="250" priority="38">
      <formula>INT(AT243)&lt;&gt;AT243</formula>
    </cfRule>
  </conditionalFormatting>
  <conditionalFormatting sqref="AT277">
    <cfRule type="expression" dxfId="249" priority="37">
      <formula>INT(AT277)&lt;&gt;AT277</formula>
    </cfRule>
  </conditionalFormatting>
  <conditionalFormatting sqref="AX3:AZ5">
    <cfRule type="expression" dxfId="248" priority="36">
      <formula>OFFSET(AX3,ROW(AX$2)-ROW(AX3),AX$6)="BE"</formula>
    </cfRule>
  </conditionalFormatting>
  <conditionalFormatting sqref="AX39">
    <cfRule type="expression" dxfId="247" priority="35">
      <formula>INT(AX39)&lt;&gt;AX39</formula>
    </cfRule>
  </conditionalFormatting>
  <conditionalFormatting sqref="AX73">
    <cfRule type="expression" dxfId="246" priority="34">
      <formula>INT(AX73)&lt;&gt;AX73</formula>
    </cfRule>
  </conditionalFormatting>
  <conditionalFormatting sqref="AX107">
    <cfRule type="expression" dxfId="245" priority="33">
      <formula>INT(AX107)&lt;&gt;AX107</formula>
    </cfRule>
  </conditionalFormatting>
  <conditionalFormatting sqref="AX141">
    <cfRule type="expression" dxfId="244" priority="32">
      <formula>INT(AX141)&lt;&gt;AX141</formula>
    </cfRule>
  </conditionalFormatting>
  <conditionalFormatting sqref="AX175">
    <cfRule type="expression" dxfId="243" priority="31">
      <formula>INT(AX175)&lt;&gt;AX175</formula>
    </cfRule>
  </conditionalFormatting>
  <conditionalFormatting sqref="AX209">
    <cfRule type="expression" dxfId="242" priority="30">
      <formula>INT(AX209)&lt;&gt;AX209</formula>
    </cfRule>
  </conditionalFormatting>
  <conditionalFormatting sqref="AX243">
    <cfRule type="expression" dxfId="241" priority="29">
      <formula>INT(AX243)&lt;&gt;AX243</formula>
    </cfRule>
  </conditionalFormatting>
  <conditionalFormatting sqref="AX277">
    <cfRule type="expression" dxfId="240" priority="28">
      <formula>INT(AX277)&lt;&gt;AX277</formula>
    </cfRule>
  </conditionalFormatting>
  <conditionalFormatting sqref="BB3:BD5">
    <cfRule type="expression" dxfId="239" priority="27">
      <formula>OFFSET(BB3,ROW(BB$2)-ROW(BB3),BB$6)="BE"</formula>
    </cfRule>
  </conditionalFormatting>
  <conditionalFormatting sqref="BB39">
    <cfRule type="expression" dxfId="238" priority="26">
      <formula>INT(BB39)&lt;&gt;BB39</formula>
    </cfRule>
  </conditionalFormatting>
  <conditionalFormatting sqref="BB73">
    <cfRule type="expression" dxfId="237" priority="25">
      <formula>INT(BB73)&lt;&gt;BB73</formula>
    </cfRule>
  </conditionalFormatting>
  <conditionalFormatting sqref="BB107">
    <cfRule type="expression" dxfId="236" priority="24">
      <formula>INT(BB107)&lt;&gt;BB107</formula>
    </cfRule>
  </conditionalFormatting>
  <conditionalFormatting sqref="BB141">
    <cfRule type="expression" dxfId="235" priority="23">
      <formula>INT(BB141)&lt;&gt;BB141</formula>
    </cfRule>
  </conditionalFormatting>
  <conditionalFormatting sqref="BB175">
    <cfRule type="expression" dxfId="234" priority="22">
      <formula>INT(BB175)&lt;&gt;BB175</formula>
    </cfRule>
  </conditionalFormatting>
  <conditionalFormatting sqref="BB209">
    <cfRule type="expression" dxfId="233" priority="21">
      <formula>INT(BB209)&lt;&gt;BB209</formula>
    </cfRule>
  </conditionalFormatting>
  <conditionalFormatting sqref="BB243">
    <cfRule type="expression" dxfId="232" priority="20">
      <formula>INT(BB243)&lt;&gt;BB243</formula>
    </cfRule>
  </conditionalFormatting>
  <conditionalFormatting sqref="BB277">
    <cfRule type="expression" dxfId="231" priority="19">
      <formula>INT(BB277)&lt;&gt;BB277</formula>
    </cfRule>
  </conditionalFormatting>
  <conditionalFormatting sqref="BF3:BH5">
    <cfRule type="expression" dxfId="230" priority="18">
      <formula>OFFSET(BF3,ROW(BF$2)-ROW(BF3),BF$6)="BE"</formula>
    </cfRule>
  </conditionalFormatting>
  <conditionalFormatting sqref="BF39">
    <cfRule type="expression" dxfId="229" priority="17">
      <formula>INT(BF39)&lt;&gt;BF39</formula>
    </cfRule>
  </conditionalFormatting>
  <conditionalFormatting sqref="BF73">
    <cfRule type="expression" dxfId="228" priority="16">
      <formula>INT(BF73)&lt;&gt;BF73</formula>
    </cfRule>
  </conditionalFormatting>
  <conditionalFormatting sqref="BF107">
    <cfRule type="expression" dxfId="227" priority="15">
      <formula>INT(BF107)&lt;&gt;BF107</formula>
    </cfRule>
  </conditionalFormatting>
  <conditionalFormatting sqref="BF141">
    <cfRule type="expression" dxfId="226" priority="14">
      <formula>INT(BF141)&lt;&gt;BF141</formula>
    </cfRule>
  </conditionalFormatting>
  <conditionalFormatting sqref="BF175">
    <cfRule type="expression" dxfId="225" priority="13">
      <formula>INT(BF175)&lt;&gt;BF175</formula>
    </cfRule>
  </conditionalFormatting>
  <conditionalFormatting sqref="BF209">
    <cfRule type="expression" dxfId="224" priority="12">
      <formula>INT(BF209)&lt;&gt;BF209</formula>
    </cfRule>
  </conditionalFormatting>
  <conditionalFormatting sqref="BF243">
    <cfRule type="expression" dxfId="223" priority="11">
      <formula>INT(BF243)&lt;&gt;BF243</formula>
    </cfRule>
  </conditionalFormatting>
  <conditionalFormatting sqref="BF277">
    <cfRule type="expression" dxfId="222" priority="10">
      <formula>INT(BF277)&lt;&gt;BF277</formula>
    </cfRule>
  </conditionalFormatting>
  <conditionalFormatting sqref="BJ3:BL5">
    <cfRule type="expression" dxfId="221" priority="9">
      <formula>OFFSET(BJ3,ROW(BJ$2)-ROW(BJ3),BJ$6)="BE"</formula>
    </cfRule>
  </conditionalFormatting>
  <conditionalFormatting sqref="BJ39">
    <cfRule type="expression" dxfId="220" priority="8">
      <formula>INT(BJ39)&lt;&gt;BJ39</formula>
    </cfRule>
  </conditionalFormatting>
  <conditionalFormatting sqref="BJ73">
    <cfRule type="expression" dxfId="219" priority="7">
      <formula>INT(BJ73)&lt;&gt;BJ73</formula>
    </cfRule>
  </conditionalFormatting>
  <conditionalFormatting sqref="BJ107">
    <cfRule type="expression" dxfId="218" priority="6">
      <formula>INT(BJ107)&lt;&gt;BJ107</formula>
    </cfRule>
  </conditionalFormatting>
  <conditionalFormatting sqref="BJ141">
    <cfRule type="expression" dxfId="217" priority="5">
      <formula>INT(BJ141)&lt;&gt;BJ141</formula>
    </cfRule>
  </conditionalFormatting>
  <conditionalFormatting sqref="BJ175">
    <cfRule type="expression" dxfId="216" priority="4">
      <formula>INT(BJ175)&lt;&gt;BJ175</formula>
    </cfRule>
  </conditionalFormatting>
  <conditionalFormatting sqref="BJ209">
    <cfRule type="expression" dxfId="215" priority="3">
      <formula>INT(BJ209)&lt;&gt;BJ209</formula>
    </cfRule>
  </conditionalFormatting>
  <conditionalFormatting sqref="BJ243">
    <cfRule type="expression" dxfId="214" priority="2">
      <formula>INT(BJ243)&lt;&gt;BJ243</formula>
    </cfRule>
  </conditionalFormatting>
  <conditionalFormatting sqref="BJ277">
    <cfRule type="expression" dxfId="213" priority="1">
      <formula>INT(BJ277)&lt;&gt;BJ277</formula>
    </cfRule>
  </conditionalFormatting>
  <pageMargins left="0.23622047244094491" right="0.23622047244094491" top="0.74803149606299213" bottom="0.74803149606299213" header="0.31496062992125984" footer="0.31496062992125984"/>
  <pageSetup paperSize="9" scale="9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00B050"/>
    <pageSetUpPr fitToPage="1"/>
  </sheetPr>
  <dimension ref="A1:AP21"/>
  <sheetViews>
    <sheetView showGridLines="0" zoomScaleNormal="100" workbookViewId="0">
      <pane xSplit="6" ySplit="8" topLeftCell="G9" activePane="bottomRight" state="frozen"/>
      <selection pane="topRight" activeCell="C3" sqref="C3:E3"/>
      <selection pane="bottomLeft" activeCell="C3" sqref="C3:E3"/>
      <selection pane="bottomRight" activeCell="AJ9" sqref="AJ9"/>
    </sheetView>
  </sheetViews>
  <sheetFormatPr defaultColWidth="4.85546875" defaultRowHeight="15"/>
  <cols>
    <col min="1" max="1" width="5.5703125" style="99" hidden="1" customWidth="1"/>
    <col min="2" max="2" width="2" hidden="1" customWidth="1"/>
    <col min="3" max="3" width="7.85546875" hidden="1" customWidth="1"/>
    <col min="4" max="4" width="5.5703125" hidden="1" customWidth="1"/>
    <col min="5" max="5" width="48" bestFit="1" customWidth="1"/>
    <col min="6" max="6" width="18.42578125" bestFit="1" customWidth="1"/>
    <col min="7" max="33" width="16.85546875" style="124" bestFit="1" customWidth="1"/>
    <col min="34" max="34" width="17.85546875" style="124" bestFit="1" customWidth="1"/>
    <col min="35" max="35" width="4.7109375" style="124" bestFit="1" customWidth="1"/>
    <col min="36" max="36" width="16.85546875" style="124" bestFit="1" customWidth="1"/>
    <col min="37" max="37" width="4.7109375" style="124" bestFit="1" customWidth="1"/>
    <col min="38" max="38" width="16.85546875" style="124" bestFit="1" customWidth="1"/>
    <col min="39" max="39" width="4.7109375" style="124" bestFit="1" customWidth="1"/>
    <col min="40" max="40" width="23.42578125" style="124" bestFit="1" customWidth="1"/>
    <col min="41" max="41" width="8.140625" bestFit="1" customWidth="1"/>
    <col min="42" max="42" width="18.140625" bestFit="1" customWidth="1"/>
    <col min="43" max="43" width="4.42578125" bestFit="1" customWidth="1"/>
    <col min="44" max="44" width="6.5703125" bestFit="1" customWidth="1"/>
    <col min="45" max="53" width="3" customWidth="1"/>
    <col min="54" max="54" width="14.42578125" bestFit="1" customWidth="1"/>
    <col min="55" max="55" width="8.85546875" bestFit="1" customWidth="1"/>
    <col min="56" max="56" width="6.42578125" bestFit="1" customWidth="1"/>
    <col min="57" max="57" width="3" bestFit="1" customWidth="1"/>
    <col min="58" max="58" width="15.140625" bestFit="1" customWidth="1"/>
    <col min="59" max="59" width="13.5703125" bestFit="1" customWidth="1"/>
    <col min="75" max="75" width="6.42578125" bestFit="1" customWidth="1"/>
    <col min="76" max="76" width="2" bestFit="1" customWidth="1"/>
    <col min="77" max="78" width="3" bestFit="1" customWidth="1"/>
  </cols>
  <sheetData>
    <row r="1" spans="1:42" hidden="1">
      <c r="C1" t="s">
        <v>139</v>
      </c>
      <c r="E1" s="4" t="s">
        <v>44</v>
      </c>
      <c r="F1" s="4" t="s">
        <v>45</v>
      </c>
      <c r="G1" s="301">
        <v>9999999999.9899998</v>
      </c>
      <c r="H1" s="301">
        <v>9999999999.9899998</v>
      </c>
      <c r="I1" s="301">
        <v>9999999999.9899998</v>
      </c>
      <c r="J1" s="301">
        <v>9999999999.9899998</v>
      </c>
      <c r="K1" s="301">
        <v>9999999999.9899998</v>
      </c>
      <c r="L1" s="301">
        <v>9999999999.9899998</v>
      </c>
      <c r="M1" s="301">
        <v>9999999999.9899998</v>
      </c>
      <c r="N1" s="301">
        <v>9999999999.9899998</v>
      </c>
      <c r="O1" s="301">
        <v>9999999999.9899998</v>
      </c>
      <c r="P1" s="301">
        <v>9999999999.9899998</v>
      </c>
      <c r="Q1" s="301">
        <v>9999999999.9899998</v>
      </c>
      <c r="R1" s="301">
        <v>9999999999.9899998</v>
      </c>
      <c r="S1" s="301">
        <v>9999999999.9899998</v>
      </c>
      <c r="T1" s="301">
        <v>9999999999.9899998</v>
      </c>
      <c r="U1" s="301">
        <v>9999999999.9899998</v>
      </c>
      <c r="V1" s="301">
        <v>9999999999.9899998</v>
      </c>
      <c r="W1" s="301">
        <v>9999999999.9899998</v>
      </c>
      <c r="X1" s="301">
        <v>9999999999.9899998</v>
      </c>
      <c r="Y1" s="301">
        <v>9999999999.9899998</v>
      </c>
      <c r="Z1" s="301">
        <v>9999999999.9899998</v>
      </c>
      <c r="AA1" s="301">
        <v>9999999999.9899998</v>
      </c>
      <c r="AB1" s="301">
        <v>9999999999.9899998</v>
      </c>
      <c r="AC1" s="301">
        <v>9999999999.9899998</v>
      </c>
      <c r="AD1" s="301">
        <v>9999999999.9899998</v>
      </c>
      <c r="AE1" s="301">
        <v>9999999999.9899998</v>
      </c>
      <c r="AF1" s="301">
        <v>9999999999.9899998</v>
      </c>
      <c r="AG1" s="301">
        <v>9999999999.9899998</v>
      </c>
      <c r="AH1" s="301">
        <v>9999999999.9899998</v>
      </c>
      <c r="AI1" s="123" t="s">
        <v>64</v>
      </c>
      <c r="AJ1" s="301">
        <v>9999999999.9899998</v>
      </c>
      <c r="AK1" s="123" t="s">
        <v>64</v>
      </c>
      <c r="AL1" s="301">
        <v>9999999999.9899998</v>
      </c>
      <c r="AM1" s="123" t="s">
        <v>64</v>
      </c>
      <c r="AN1" s="276" t="s">
        <v>140</v>
      </c>
      <c r="AO1" s="283" t="s">
        <v>141</v>
      </c>
    </row>
    <row r="2" spans="1:42" hidden="1">
      <c r="B2">
        <f>MATCH("HE",A:A,0)</f>
        <v>8</v>
      </c>
      <c r="C2">
        <f>MATCH("TT",A:A,0)</f>
        <v>21</v>
      </c>
      <c r="D2">
        <f>COLUMN(AR3)</f>
        <v>44</v>
      </c>
      <c r="E2" s="100"/>
      <c r="F2" s="100"/>
      <c r="G2" s="378" t="s">
        <v>73</v>
      </c>
      <c r="H2" s="379" t="s">
        <v>76</v>
      </c>
      <c r="I2" s="301" t="s">
        <v>79</v>
      </c>
      <c r="J2" s="301" t="s">
        <v>81</v>
      </c>
      <c r="K2" s="301" t="s">
        <v>82</v>
      </c>
      <c r="L2" s="301" t="s">
        <v>83</v>
      </c>
      <c r="M2" s="301" t="s">
        <v>84</v>
      </c>
      <c r="N2" s="379" t="s">
        <v>85</v>
      </c>
      <c r="O2" s="379" t="s">
        <v>87</v>
      </c>
      <c r="P2" s="379" t="s">
        <v>89</v>
      </c>
      <c r="Q2" s="379" t="s">
        <v>91</v>
      </c>
      <c r="R2" s="378" t="s">
        <v>93</v>
      </c>
      <c r="S2" s="378" t="s">
        <v>95</v>
      </c>
      <c r="T2" s="379" t="s">
        <v>98</v>
      </c>
      <c r="U2" s="301" t="s">
        <v>101</v>
      </c>
      <c r="V2" s="301" t="s">
        <v>103</v>
      </c>
      <c r="W2" s="301" t="s">
        <v>105</v>
      </c>
      <c r="X2" s="379" t="s">
        <v>107</v>
      </c>
      <c r="Y2" s="379" t="s">
        <v>109</v>
      </c>
      <c r="Z2" s="301" t="s">
        <v>112</v>
      </c>
      <c r="AA2" s="301" t="s">
        <v>114</v>
      </c>
      <c r="AB2" s="301" t="s">
        <v>116</v>
      </c>
      <c r="AC2" s="301" t="s">
        <v>118</v>
      </c>
      <c r="AD2" s="301" t="s">
        <v>120</v>
      </c>
      <c r="AE2" s="301" t="s">
        <v>122</v>
      </c>
      <c r="AF2" s="378" t="s">
        <v>124</v>
      </c>
      <c r="AG2" s="301" t="s">
        <v>127</v>
      </c>
      <c r="AH2" s="380" t="s">
        <v>129</v>
      </c>
      <c r="AI2" s="381"/>
      <c r="AJ2" s="378" t="s">
        <v>132</v>
      </c>
      <c r="AK2" s="381"/>
      <c r="AL2" s="380" t="s">
        <v>135</v>
      </c>
      <c r="AM2" s="381"/>
      <c r="AN2" s="382" t="e">
        <f ca="1">IF((OFFSET(AN2,C2-2,-2)*COFINPERCENT)&gt;IF(MAXSUB=0,OFFSET(AN2,C2-2,-2),MAXSUB),IF(MAXSUB=0,OFFSET(AN2,C2-2,-2),MAXSUB)/OFFSET(AN2,C2-2,-2),COFINPERCENT)</f>
        <v>#VALUE!</v>
      </c>
    </row>
    <row r="3" spans="1:42" hidden="1">
      <c r="B3">
        <f>IF(A3="TT",3,IF(B2=1,2,1))</f>
        <v>1</v>
      </c>
      <c r="C3" t="e">
        <f ca="1">MATCH(A3,INDIRECT("'Estim costs of the project'!2:2",TRUE),0)+IF(A3="TT",0,1)</f>
        <v>#N/A</v>
      </c>
      <c r="D3" t="e">
        <f ca="1">IF(OFFSET(D3,0,-3)="TT","",""&amp;INDIRECT("'Beneficiaries List'!I" &amp; MATCH(A3,'Beneficiaries List'!J:J,0),TRUE))</f>
        <v>#N/A</v>
      </c>
      <c r="E3" s="100" t="e">
        <f ca="1">IF(OFFSET(E3,0,-4)="TT","TOTAL",""&amp;INDIRECT("'Beneficiaries List'!B" &amp; MATCH(A3,'Beneficiaries List'!J:J,0),TRUE))</f>
        <v>#N/A</v>
      </c>
      <c r="F3" s="100" t="e">
        <f ca="1">IF(OFFSET(F3,0,-5)="TT","Consortium",""&amp;INDIRECT("'Beneficiaries List'!C" &amp; MATCH(A3,'Beneficiaries List'!J:J,0),TRUE))</f>
        <v>#N/A</v>
      </c>
      <c r="G3" s="125" t="e">
        <f ca="1">SUMIF(INDIRECT("'Estim costs of the project'!D:D",TRUE),G$2,OFFSET(INDIRECT("'Estim costs of the project'!A1",TRUE),0,$C3-1,1048500,1))</f>
        <v>#N/A</v>
      </c>
      <c r="H3" s="122" t="e">
        <f t="shared" ref="H3:AL3" ca="1" si="0">SUMIF(INDIRECT("'Estim costs of the project'!D:D",TRUE),H$2,OFFSET(INDIRECT("'Estim costs of the project'!A1",TRUE),0,$C3-1,1048500,1))</f>
        <v>#N/A</v>
      </c>
      <c r="I3" s="122" t="e">
        <f t="shared" ca="1" si="0"/>
        <v>#N/A</v>
      </c>
      <c r="J3" s="122" t="e">
        <f t="shared" ca="1" si="0"/>
        <v>#N/A</v>
      </c>
      <c r="K3" s="122" t="e">
        <f t="shared" ca="1" si="0"/>
        <v>#N/A</v>
      </c>
      <c r="L3" s="122" t="e">
        <f t="shared" ca="1" si="0"/>
        <v>#N/A</v>
      </c>
      <c r="M3" s="122" t="e">
        <f t="shared" ca="1" si="0"/>
        <v>#N/A</v>
      </c>
      <c r="N3" s="122" t="e">
        <f t="shared" ca="1" si="0"/>
        <v>#N/A</v>
      </c>
      <c r="O3" s="122" t="e">
        <f t="shared" ca="1" si="0"/>
        <v>#N/A</v>
      </c>
      <c r="P3" s="122" t="e">
        <f t="shared" ca="1" si="0"/>
        <v>#N/A</v>
      </c>
      <c r="Q3" s="122" t="e">
        <f t="shared" ca="1" si="0"/>
        <v>#N/A</v>
      </c>
      <c r="R3" s="122" t="e">
        <f t="shared" ca="1" si="0"/>
        <v>#N/A</v>
      </c>
      <c r="S3" s="122" t="e">
        <f t="shared" ca="1" si="0"/>
        <v>#N/A</v>
      </c>
      <c r="T3" s="122" t="e">
        <f t="shared" ca="1" si="0"/>
        <v>#N/A</v>
      </c>
      <c r="U3" s="122" t="e">
        <f t="shared" ca="1" si="0"/>
        <v>#N/A</v>
      </c>
      <c r="V3" s="122" t="e">
        <f t="shared" ca="1" si="0"/>
        <v>#N/A</v>
      </c>
      <c r="W3" s="122" t="e">
        <f t="shared" ca="1" si="0"/>
        <v>#N/A</v>
      </c>
      <c r="X3" s="122" t="e">
        <f t="shared" ca="1" si="0"/>
        <v>#N/A</v>
      </c>
      <c r="Y3" s="122" t="e">
        <f t="shared" ca="1" si="0"/>
        <v>#N/A</v>
      </c>
      <c r="Z3" s="122" t="e">
        <f t="shared" ca="1" si="0"/>
        <v>#N/A</v>
      </c>
      <c r="AA3" s="122" t="e">
        <f t="shared" ca="1" si="0"/>
        <v>#N/A</v>
      </c>
      <c r="AB3" s="122" t="e">
        <f t="shared" ca="1" si="0"/>
        <v>#N/A</v>
      </c>
      <c r="AC3" s="122" t="e">
        <f t="shared" ca="1" si="0"/>
        <v>#N/A</v>
      </c>
      <c r="AD3" s="122" t="e">
        <f t="shared" ca="1" si="0"/>
        <v>#N/A</v>
      </c>
      <c r="AE3" s="122" t="e">
        <f t="shared" ca="1" si="0"/>
        <v>#N/A</v>
      </c>
      <c r="AF3" s="122" t="e">
        <f t="shared" ca="1" si="0"/>
        <v>#N/A</v>
      </c>
      <c r="AG3" s="122" t="e">
        <f t="shared" ca="1" si="0"/>
        <v>#N/A</v>
      </c>
      <c r="AH3" s="122" t="e">
        <f t="shared" ca="1" si="0"/>
        <v>#N/A</v>
      </c>
      <c r="AJ3" s="122" t="e">
        <f t="shared" ca="1" si="0"/>
        <v>#N/A</v>
      </c>
      <c r="AL3" s="122" t="e">
        <f t="shared" ca="1" si="0"/>
        <v>#N/A</v>
      </c>
      <c r="AN3" s="277" t="e">
        <f ca="1">IF(AND(AL3=0,D3&lt;&gt;"T"),"No budget defined",IF(A3&lt;&gt;"TT",ROUND(AL3*AN$2,2),SUM(INDIRECT(CELL("address",OFFSET(AN3,-1*(ROW(AN3)-B$2-1),0))&amp;":"&amp;CELL("address",OFFSET(AN3,-1,0)),TRUE))))</f>
        <v>#N/A</v>
      </c>
    </row>
    <row r="4" spans="1:42" ht="15.75" thickBot="1">
      <c r="E4" s="57"/>
      <c r="F4" s="57"/>
      <c r="G4" s="126"/>
      <c r="AN4" s="127"/>
    </row>
    <row r="5" spans="1:42" ht="135">
      <c r="A5" s="102"/>
      <c r="B5" s="101" t="s">
        <v>142</v>
      </c>
      <c r="C5" s="101"/>
      <c r="D5" s="101"/>
      <c r="E5" s="377" t="s">
        <v>143</v>
      </c>
      <c r="F5" s="101"/>
      <c r="G5" s="486" t="s">
        <v>144</v>
      </c>
      <c r="H5" s="470" t="s">
        <v>145</v>
      </c>
      <c r="I5" s="128" t="str">
        <f>EMP_TYPE1</f>
        <v>Type 1</v>
      </c>
      <c r="J5" s="128" t="str">
        <f>EMP_TYPE2</f>
        <v>Type 2</v>
      </c>
      <c r="K5" s="128" t="str">
        <f>EMP_TYPE3</f>
        <v>Type 3</v>
      </c>
      <c r="L5" s="128" t="str">
        <f>EMP_TYPE4</f>
        <v>Type 4</v>
      </c>
      <c r="M5" s="128" t="str">
        <f>EMP_OTHER</f>
        <v>Type 5</v>
      </c>
      <c r="N5" s="470" t="s">
        <v>146</v>
      </c>
      <c r="O5" s="470" t="s">
        <v>147</v>
      </c>
      <c r="P5" s="470" t="s">
        <v>148</v>
      </c>
      <c r="Q5" s="470" t="s">
        <v>149</v>
      </c>
      <c r="R5" s="472" t="s">
        <v>150</v>
      </c>
      <c r="S5" s="472" t="s">
        <v>151</v>
      </c>
      <c r="T5" s="470" t="s">
        <v>152</v>
      </c>
      <c r="U5" s="128" t="s">
        <v>102</v>
      </c>
      <c r="V5" s="128" t="s">
        <v>104</v>
      </c>
      <c r="W5" s="128" t="s">
        <v>106</v>
      </c>
      <c r="X5" s="470" t="s">
        <v>153</v>
      </c>
      <c r="Y5" s="470" t="s">
        <v>154</v>
      </c>
      <c r="Z5" s="130" t="s">
        <v>113</v>
      </c>
      <c r="AA5" s="130" t="s">
        <v>115</v>
      </c>
      <c r="AB5" s="130" t="s">
        <v>155</v>
      </c>
      <c r="AC5" s="130" t="s">
        <v>119</v>
      </c>
      <c r="AD5" s="130" t="s">
        <v>121</v>
      </c>
      <c r="AE5" s="130" t="s">
        <v>156</v>
      </c>
      <c r="AF5" s="472" t="s">
        <v>157</v>
      </c>
      <c r="AG5" s="478" t="s">
        <v>158</v>
      </c>
      <c r="AH5" s="480" t="s">
        <v>131</v>
      </c>
      <c r="AI5" s="129"/>
      <c r="AJ5" s="472" t="s">
        <v>159</v>
      </c>
      <c r="AK5" s="130"/>
      <c r="AL5" s="475" t="s">
        <v>160</v>
      </c>
      <c r="AM5" s="131"/>
      <c r="AN5" s="132" t="str">
        <f ca="1">IF(OR(ISERROR(COFINPERCENT+1),ISERROR(MAXSUB+1)),"To make the calculaton working, please, set
- in sheet Instructions -
the relevant maximum grant amount and the maximum % of co-financing rate
applicable for the call.","Max TOTAL EU
Contribution
=
"&amp;TEXT(COFINPERCENT,"00 %")&amp;"
of "&amp;TEXT(INDIRECT("AL"&amp;MATCH("TT",A:A,0),TRUE),"###.###.##0,00 €")&amp;IF(MAXSUB=0,"","
or
"&amp;TEXT(MAXSUB,"###.###.###.##0,00 €")))</f>
        <v>To make the calculaton working, please, set
- in sheet Instructions -
the relevant maximum grant amount and the maximum % of co-financing rate
applicable for the call.</v>
      </c>
    </row>
    <row r="6" spans="1:42" ht="30.75" thickBot="1">
      <c r="A6" s="102"/>
      <c r="B6" s="101" t="s">
        <v>161</v>
      </c>
      <c r="C6" s="101"/>
      <c r="D6" s="101"/>
      <c r="E6" s="63"/>
      <c r="F6" s="63"/>
      <c r="G6" s="487"/>
      <c r="H6" s="471"/>
      <c r="I6" s="133"/>
      <c r="J6" s="134"/>
      <c r="K6" s="134"/>
      <c r="L6" s="134"/>
      <c r="M6" s="135"/>
      <c r="N6" s="471"/>
      <c r="O6" s="471"/>
      <c r="P6" s="471"/>
      <c r="Q6" s="471"/>
      <c r="R6" s="473"/>
      <c r="S6" s="473"/>
      <c r="T6" s="471"/>
      <c r="U6" s="133"/>
      <c r="V6" s="134"/>
      <c r="W6" s="135"/>
      <c r="X6" s="471"/>
      <c r="Y6" s="471"/>
      <c r="Z6" s="483"/>
      <c r="AA6" s="484"/>
      <c r="AB6" s="484"/>
      <c r="AC6" s="484"/>
      <c r="AD6" s="484"/>
      <c r="AE6" s="485"/>
      <c r="AF6" s="473"/>
      <c r="AG6" s="479"/>
      <c r="AH6" s="481"/>
      <c r="AI6" s="139"/>
      <c r="AJ6" s="473"/>
      <c r="AK6" s="140"/>
      <c r="AL6" s="476"/>
      <c r="AM6" s="141"/>
      <c r="AN6" s="132" t="str">
        <f>IF(OR(ISERROR(COFINPERCENT+1),ISERROR(MAXSUB+1)),"See instruction n° 5
in sheet Instructions","")</f>
        <v>See instruction n° 5
in sheet Instructions</v>
      </c>
    </row>
    <row r="7" spans="1:42" ht="30.75" thickBot="1">
      <c r="A7" s="63"/>
      <c r="B7" s="101" t="s">
        <v>161</v>
      </c>
      <c r="C7" s="101"/>
      <c r="D7" s="101"/>
      <c r="G7" s="488"/>
      <c r="H7" s="136"/>
      <c r="I7" s="137"/>
      <c r="J7" s="137"/>
      <c r="K7" s="137"/>
      <c r="L7" s="137"/>
      <c r="M7" s="137"/>
      <c r="N7" s="137"/>
      <c r="O7" s="137"/>
      <c r="P7" s="137"/>
      <c r="Q7" s="138"/>
      <c r="R7" s="474"/>
      <c r="S7" s="474"/>
      <c r="T7" s="136"/>
      <c r="U7" s="137"/>
      <c r="V7" s="137"/>
      <c r="W7" s="137"/>
      <c r="X7" s="137"/>
      <c r="Y7" s="137"/>
      <c r="Z7" s="137"/>
      <c r="AA7" s="137"/>
      <c r="AB7" s="137"/>
      <c r="AC7" s="137"/>
      <c r="AD7" s="137"/>
      <c r="AE7" s="138"/>
      <c r="AF7" s="474"/>
      <c r="AG7" s="136"/>
      <c r="AH7" s="482"/>
      <c r="AI7" s="142"/>
      <c r="AJ7" s="474"/>
      <c r="AK7" s="143"/>
      <c r="AL7" s="477"/>
      <c r="AM7" s="141"/>
      <c r="AN7" s="144" t="s">
        <v>162</v>
      </c>
    </row>
    <row r="8" spans="1:42">
      <c r="A8" s="45" t="s">
        <v>163</v>
      </c>
      <c r="AN8" s="145"/>
    </row>
    <row r="9" spans="1:42">
      <c r="A9" s="99">
        <v>1</v>
      </c>
      <c r="B9">
        <f t="shared" ref="B9:B21" si="1">IF(A9="TT",3,IF(B8=1,2,1))</f>
        <v>1</v>
      </c>
      <c r="C9">
        <f t="shared" ref="C9:C21" ca="1" si="2">MATCH(A9,INDIRECT("'Estim costs of the project'!2:2",TRUE),0)+IF(A9="TT",0,1)</f>
        <v>20</v>
      </c>
      <c r="D9" t="str">
        <f ca="1">IF(OFFSET(D9,0,-3)="TT","",""&amp;INDIRECT("'Beneficiaries List'!I" &amp; MATCH(A9,'Beneficiaries List'!J:J,0),TRUE))</f>
        <v>B</v>
      </c>
      <c r="E9" s="100" t="str">
        <f ca="1">IF(OFFSET(E9,0,-4)="TT","TOTAL",""&amp;INDIRECT("'Beneficiaries List'!B" &amp; MATCH(A9,'Beneficiaries List'!J:J,0),TRUE))</f>
        <v/>
      </c>
      <c r="F9" s="100" t="str">
        <f ca="1">IF(OFFSET(F9,0,-5)="TT","Consortium",""&amp;INDIRECT("'Beneficiaries List'!C" &amp; MATCH(A9,'Beneficiaries List'!J:J,0),TRUE))</f>
        <v/>
      </c>
      <c r="G9" s="378">
        <f t="shared" ref="G9:G21" ca="1" si="3">SUMIF(INDIRECT("'Estim costs of the project'!D:D",TRUE),G$2,OFFSET(INDIRECT("'Estim costs of the project'!A1",TRUE),0,$C9-1,1048500,1))</f>
        <v>0</v>
      </c>
      <c r="H9" s="379">
        <f t="shared" ref="H9:AL17" ca="1" si="4">SUMIF(INDIRECT("'Estim costs of the project'!D:D",TRUE),H$2,OFFSET(INDIRECT("'Estim costs of the project'!A1",TRUE),0,$C9-1,1048500,1))</f>
        <v>0</v>
      </c>
      <c r="I9" s="301">
        <f t="shared" ca="1" si="4"/>
        <v>0</v>
      </c>
      <c r="J9" s="301">
        <f t="shared" ca="1" si="4"/>
        <v>0</v>
      </c>
      <c r="K9" s="301">
        <f t="shared" ca="1" si="4"/>
        <v>0</v>
      </c>
      <c r="L9" s="301">
        <f t="shared" ca="1" si="4"/>
        <v>0</v>
      </c>
      <c r="M9" s="301">
        <f t="shared" ca="1" si="4"/>
        <v>0</v>
      </c>
      <c r="N9" s="379">
        <f t="shared" ca="1" si="4"/>
        <v>0</v>
      </c>
      <c r="O9" s="379">
        <f t="shared" ca="1" si="4"/>
        <v>0</v>
      </c>
      <c r="P9" s="379">
        <f t="shared" ca="1" si="4"/>
        <v>0</v>
      </c>
      <c r="Q9" s="379">
        <f t="shared" ca="1" si="4"/>
        <v>0</v>
      </c>
      <c r="R9" s="378">
        <f t="shared" ca="1" si="4"/>
        <v>0</v>
      </c>
      <c r="S9" s="378">
        <f t="shared" ca="1" si="4"/>
        <v>0</v>
      </c>
      <c r="T9" s="379">
        <f t="shared" ca="1" si="4"/>
        <v>0</v>
      </c>
      <c r="U9" s="301">
        <f t="shared" ca="1" si="4"/>
        <v>0</v>
      </c>
      <c r="V9" s="301">
        <f t="shared" ca="1" si="4"/>
        <v>0</v>
      </c>
      <c r="W9" s="301">
        <f t="shared" ca="1" si="4"/>
        <v>0</v>
      </c>
      <c r="X9" s="379">
        <f t="shared" ca="1" si="4"/>
        <v>0</v>
      </c>
      <c r="Y9" s="379">
        <f t="shared" ca="1" si="4"/>
        <v>0</v>
      </c>
      <c r="Z9" s="301">
        <f t="shared" ca="1" si="4"/>
        <v>0</v>
      </c>
      <c r="AA9" s="301">
        <f t="shared" ca="1" si="4"/>
        <v>0</v>
      </c>
      <c r="AB9" s="301">
        <f t="shared" ca="1" si="4"/>
        <v>0</v>
      </c>
      <c r="AC9" s="301">
        <f t="shared" ca="1" si="4"/>
        <v>0</v>
      </c>
      <c r="AD9" s="301">
        <f t="shared" ca="1" si="4"/>
        <v>0</v>
      </c>
      <c r="AE9" s="301">
        <f t="shared" ca="1" si="4"/>
        <v>0</v>
      </c>
      <c r="AF9" s="378">
        <f t="shared" ca="1" si="4"/>
        <v>0</v>
      </c>
      <c r="AG9" s="301">
        <f t="shared" ca="1" si="4"/>
        <v>0</v>
      </c>
      <c r="AH9" s="380">
        <f t="shared" ca="1" si="4"/>
        <v>0</v>
      </c>
      <c r="AI9" s="381"/>
      <c r="AJ9" s="378">
        <f t="shared" ca="1" si="4"/>
        <v>0</v>
      </c>
      <c r="AK9" s="381"/>
      <c r="AL9" s="380">
        <f t="shared" ca="1" si="4"/>
        <v>0</v>
      </c>
      <c r="AM9" s="381"/>
      <c r="AN9" s="382" t="str">
        <f t="shared" ref="AN9:AN21" ca="1" si="5">IF(AND(AL9=0,D9&lt;&gt;"T"),"No budget defined",IF(A9&lt;&gt;"TT",ROUND(AL9*AN$2,2),SUM(INDIRECT(CELL("address",OFFSET(AN9,-1*(ROW(AN9)-B$2-1),0))&amp;":"&amp;CELL("address",OFFSET(AN9,-1,0)),TRUE))))</f>
        <v>No budget defined</v>
      </c>
      <c r="AP9" s="392"/>
    </row>
    <row r="10" spans="1:42">
      <c r="A10" s="99">
        <v>2</v>
      </c>
      <c r="B10">
        <f t="shared" si="1"/>
        <v>2</v>
      </c>
      <c r="C10">
        <f t="shared" ca="1" si="2"/>
        <v>24</v>
      </c>
      <c r="D10" t="str">
        <f ca="1">IF(OFFSET(D10,0,-3)="TT","",""&amp;INDIRECT("'Beneficiaries List'!I" &amp; MATCH(A10,'Beneficiaries List'!J:J,0),TRUE))</f>
        <v>B</v>
      </c>
      <c r="E10" s="100" t="str">
        <f ca="1">IF(OFFSET(E10,0,-4)="TT","TOTAL",""&amp;INDIRECT("'Beneficiaries List'!B" &amp; MATCH(A10,'Beneficiaries List'!J:J,0),TRUE))</f>
        <v/>
      </c>
      <c r="F10" s="100" t="str">
        <f ca="1">IF(OFFSET(F10,0,-5)="TT","Consortium",""&amp;INDIRECT("'Beneficiaries List'!C" &amp; MATCH(A10,'Beneficiaries List'!J:J,0),TRUE))</f>
        <v/>
      </c>
      <c r="G10" s="378">
        <f t="shared" ca="1" si="3"/>
        <v>0</v>
      </c>
      <c r="H10" s="379">
        <f t="shared" ca="1" si="4"/>
        <v>0</v>
      </c>
      <c r="I10" s="301">
        <f t="shared" ca="1" si="4"/>
        <v>0</v>
      </c>
      <c r="J10" s="301">
        <f t="shared" ca="1" si="4"/>
        <v>0</v>
      </c>
      <c r="K10" s="301">
        <f t="shared" ca="1" si="4"/>
        <v>0</v>
      </c>
      <c r="L10" s="301">
        <f t="shared" ca="1" si="4"/>
        <v>0</v>
      </c>
      <c r="M10" s="301">
        <f t="shared" ca="1" si="4"/>
        <v>0</v>
      </c>
      <c r="N10" s="379">
        <f t="shared" ca="1" si="4"/>
        <v>0</v>
      </c>
      <c r="O10" s="379">
        <f t="shared" ca="1" si="4"/>
        <v>0</v>
      </c>
      <c r="P10" s="379">
        <f t="shared" ca="1" si="4"/>
        <v>0</v>
      </c>
      <c r="Q10" s="379">
        <f t="shared" ca="1" si="4"/>
        <v>0</v>
      </c>
      <c r="R10" s="378">
        <f t="shared" ca="1" si="4"/>
        <v>0</v>
      </c>
      <c r="S10" s="378">
        <f t="shared" ca="1" si="4"/>
        <v>0</v>
      </c>
      <c r="T10" s="379">
        <f t="shared" ca="1" si="4"/>
        <v>0</v>
      </c>
      <c r="U10" s="301">
        <f t="shared" ca="1" si="4"/>
        <v>0</v>
      </c>
      <c r="V10" s="301">
        <f t="shared" ca="1" si="4"/>
        <v>0</v>
      </c>
      <c r="W10" s="301">
        <f t="shared" ca="1" si="4"/>
        <v>0</v>
      </c>
      <c r="X10" s="379">
        <f t="shared" ca="1" si="4"/>
        <v>0</v>
      </c>
      <c r="Y10" s="379">
        <f t="shared" ca="1" si="4"/>
        <v>0</v>
      </c>
      <c r="Z10" s="301">
        <f t="shared" ca="1" si="4"/>
        <v>0</v>
      </c>
      <c r="AA10" s="301">
        <f t="shared" ca="1" si="4"/>
        <v>0</v>
      </c>
      <c r="AB10" s="301">
        <f t="shared" ca="1" si="4"/>
        <v>0</v>
      </c>
      <c r="AC10" s="301">
        <f t="shared" ca="1" si="4"/>
        <v>0</v>
      </c>
      <c r="AD10" s="301">
        <f t="shared" ca="1" si="4"/>
        <v>0</v>
      </c>
      <c r="AE10" s="301">
        <f t="shared" ca="1" si="4"/>
        <v>0</v>
      </c>
      <c r="AF10" s="378">
        <f t="shared" ca="1" si="4"/>
        <v>0</v>
      </c>
      <c r="AG10" s="301">
        <f t="shared" ca="1" si="4"/>
        <v>0</v>
      </c>
      <c r="AH10" s="380">
        <f t="shared" ca="1" si="4"/>
        <v>0</v>
      </c>
      <c r="AI10" s="381"/>
      <c r="AJ10" s="378">
        <f t="shared" ca="1" si="4"/>
        <v>0</v>
      </c>
      <c r="AK10" s="381"/>
      <c r="AL10" s="380">
        <f t="shared" ca="1" si="4"/>
        <v>0</v>
      </c>
      <c r="AM10" s="381"/>
      <c r="AN10" s="382" t="str">
        <f t="shared" ca="1" si="5"/>
        <v>No budget defined</v>
      </c>
      <c r="AP10" s="392"/>
    </row>
    <row r="11" spans="1:42">
      <c r="A11" s="99">
        <v>3</v>
      </c>
      <c r="B11">
        <f t="shared" si="1"/>
        <v>1</v>
      </c>
      <c r="C11">
        <f t="shared" ca="1" si="2"/>
        <v>28</v>
      </c>
      <c r="D11" t="str">
        <f ca="1">IF(OFFSET(D11,0,-3)="TT","",""&amp;INDIRECT("'Beneficiaries List'!I" &amp; MATCH(A11,'Beneficiaries List'!J:J,0),TRUE))</f>
        <v>B</v>
      </c>
      <c r="E11" s="100" t="str">
        <f ca="1">IF(OFFSET(E11,0,-4)="TT","TOTAL",""&amp;INDIRECT("'Beneficiaries List'!B" &amp; MATCH(A11,'Beneficiaries List'!J:J,0),TRUE))</f>
        <v/>
      </c>
      <c r="F11" s="100" t="str">
        <f ca="1">IF(OFFSET(F11,0,-5)="TT","Consortium",""&amp;INDIRECT("'Beneficiaries List'!C" &amp; MATCH(A11,'Beneficiaries List'!J:J,0),TRUE))</f>
        <v/>
      </c>
      <c r="G11" s="378">
        <f t="shared" ca="1" si="3"/>
        <v>0</v>
      </c>
      <c r="H11" s="379">
        <f t="shared" ca="1" si="4"/>
        <v>0</v>
      </c>
      <c r="I11" s="301">
        <f t="shared" ca="1" si="4"/>
        <v>0</v>
      </c>
      <c r="J11" s="301">
        <f t="shared" ca="1" si="4"/>
        <v>0</v>
      </c>
      <c r="K11" s="301">
        <f t="shared" ca="1" si="4"/>
        <v>0</v>
      </c>
      <c r="L11" s="301">
        <f t="shared" ca="1" si="4"/>
        <v>0</v>
      </c>
      <c r="M11" s="301">
        <f t="shared" ca="1" si="4"/>
        <v>0</v>
      </c>
      <c r="N11" s="379">
        <f t="shared" ca="1" si="4"/>
        <v>0</v>
      </c>
      <c r="O11" s="379">
        <f t="shared" ca="1" si="4"/>
        <v>0</v>
      </c>
      <c r="P11" s="379">
        <f t="shared" ca="1" si="4"/>
        <v>0</v>
      </c>
      <c r="Q11" s="379">
        <f t="shared" ca="1" si="4"/>
        <v>0</v>
      </c>
      <c r="R11" s="378">
        <f t="shared" ca="1" si="4"/>
        <v>0</v>
      </c>
      <c r="S11" s="378">
        <f t="shared" ca="1" si="4"/>
        <v>0</v>
      </c>
      <c r="T11" s="379">
        <f t="shared" ca="1" si="4"/>
        <v>0</v>
      </c>
      <c r="U11" s="301">
        <f t="shared" ca="1" si="4"/>
        <v>0</v>
      </c>
      <c r="V11" s="301">
        <f t="shared" ca="1" si="4"/>
        <v>0</v>
      </c>
      <c r="W11" s="301">
        <f t="shared" ca="1" si="4"/>
        <v>0</v>
      </c>
      <c r="X11" s="379">
        <f t="shared" ca="1" si="4"/>
        <v>0</v>
      </c>
      <c r="Y11" s="379">
        <f t="shared" ca="1" si="4"/>
        <v>0</v>
      </c>
      <c r="Z11" s="301">
        <f t="shared" ca="1" si="4"/>
        <v>0</v>
      </c>
      <c r="AA11" s="301">
        <f t="shared" ca="1" si="4"/>
        <v>0</v>
      </c>
      <c r="AB11" s="301">
        <f t="shared" ca="1" si="4"/>
        <v>0</v>
      </c>
      <c r="AC11" s="301">
        <f t="shared" ca="1" si="4"/>
        <v>0</v>
      </c>
      <c r="AD11" s="301">
        <f t="shared" ca="1" si="4"/>
        <v>0</v>
      </c>
      <c r="AE11" s="301">
        <f t="shared" ca="1" si="4"/>
        <v>0</v>
      </c>
      <c r="AF11" s="378">
        <f t="shared" ca="1" si="4"/>
        <v>0</v>
      </c>
      <c r="AG11" s="301">
        <f t="shared" ca="1" si="4"/>
        <v>0</v>
      </c>
      <c r="AH11" s="380">
        <f t="shared" ca="1" si="4"/>
        <v>0</v>
      </c>
      <c r="AI11" s="381"/>
      <c r="AJ11" s="378">
        <f t="shared" ca="1" si="4"/>
        <v>0</v>
      </c>
      <c r="AK11" s="381"/>
      <c r="AL11" s="380">
        <f t="shared" ca="1" si="4"/>
        <v>0</v>
      </c>
      <c r="AM11" s="381"/>
      <c r="AN11" s="382" t="str">
        <f t="shared" ca="1" si="5"/>
        <v>No budget defined</v>
      </c>
      <c r="AP11" s="392"/>
    </row>
    <row r="12" spans="1:42">
      <c r="A12" s="99">
        <v>4</v>
      </c>
      <c r="B12">
        <f t="shared" si="1"/>
        <v>2</v>
      </c>
      <c r="C12">
        <f t="shared" ca="1" si="2"/>
        <v>32</v>
      </c>
      <c r="D12" t="str">
        <f ca="1">IF(OFFSET(D12,0,-3)="TT","",""&amp;INDIRECT("'Beneficiaries List'!I" &amp; MATCH(A12,'Beneficiaries List'!J:J,0),TRUE))</f>
        <v>B</v>
      </c>
      <c r="E12" s="100" t="str">
        <f ca="1">IF(OFFSET(E12,0,-4)="TT","TOTAL",""&amp;INDIRECT("'Beneficiaries List'!B" &amp; MATCH(A12,'Beneficiaries List'!J:J,0),TRUE))</f>
        <v/>
      </c>
      <c r="F12" s="100" t="str">
        <f ca="1">IF(OFFSET(F12,0,-5)="TT","Consortium",""&amp;INDIRECT("'Beneficiaries List'!C" &amp; MATCH(A12,'Beneficiaries List'!J:J,0),TRUE))</f>
        <v/>
      </c>
      <c r="G12" s="378">
        <f t="shared" ca="1" si="3"/>
        <v>0</v>
      </c>
      <c r="H12" s="379">
        <f t="shared" ca="1" si="4"/>
        <v>0</v>
      </c>
      <c r="I12" s="301">
        <f t="shared" ca="1" si="4"/>
        <v>0</v>
      </c>
      <c r="J12" s="301">
        <f t="shared" ca="1" si="4"/>
        <v>0</v>
      </c>
      <c r="K12" s="301">
        <f t="shared" ca="1" si="4"/>
        <v>0</v>
      </c>
      <c r="L12" s="301">
        <f t="shared" ca="1" si="4"/>
        <v>0</v>
      </c>
      <c r="M12" s="301">
        <f t="shared" ca="1" si="4"/>
        <v>0</v>
      </c>
      <c r="N12" s="379">
        <f t="shared" ca="1" si="4"/>
        <v>0</v>
      </c>
      <c r="O12" s="379">
        <f t="shared" ca="1" si="4"/>
        <v>0</v>
      </c>
      <c r="P12" s="379">
        <f t="shared" ca="1" si="4"/>
        <v>0</v>
      </c>
      <c r="Q12" s="379">
        <f t="shared" ca="1" si="4"/>
        <v>0</v>
      </c>
      <c r="R12" s="378">
        <f t="shared" ca="1" si="4"/>
        <v>0</v>
      </c>
      <c r="S12" s="378">
        <f t="shared" ca="1" si="4"/>
        <v>0</v>
      </c>
      <c r="T12" s="379">
        <f t="shared" ca="1" si="4"/>
        <v>0</v>
      </c>
      <c r="U12" s="301">
        <f t="shared" ca="1" si="4"/>
        <v>0</v>
      </c>
      <c r="V12" s="301">
        <f t="shared" ca="1" si="4"/>
        <v>0</v>
      </c>
      <c r="W12" s="301">
        <f t="shared" ca="1" si="4"/>
        <v>0</v>
      </c>
      <c r="X12" s="379">
        <f t="shared" ca="1" si="4"/>
        <v>0</v>
      </c>
      <c r="Y12" s="379">
        <f t="shared" ca="1" si="4"/>
        <v>0</v>
      </c>
      <c r="Z12" s="301">
        <f t="shared" ca="1" si="4"/>
        <v>0</v>
      </c>
      <c r="AA12" s="301">
        <f t="shared" ca="1" si="4"/>
        <v>0</v>
      </c>
      <c r="AB12" s="301">
        <f t="shared" ca="1" si="4"/>
        <v>0</v>
      </c>
      <c r="AC12" s="301">
        <f t="shared" ca="1" si="4"/>
        <v>0</v>
      </c>
      <c r="AD12" s="301">
        <f t="shared" ca="1" si="4"/>
        <v>0</v>
      </c>
      <c r="AE12" s="301">
        <f t="shared" ca="1" si="4"/>
        <v>0</v>
      </c>
      <c r="AF12" s="378">
        <f t="shared" ca="1" si="4"/>
        <v>0</v>
      </c>
      <c r="AG12" s="301">
        <f t="shared" ca="1" si="4"/>
        <v>0</v>
      </c>
      <c r="AH12" s="380">
        <f t="shared" ca="1" si="4"/>
        <v>0</v>
      </c>
      <c r="AI12" s="381"/>
      <c r="AJ12" s="378">
        <f t="shared" ca="1" si="4"/>
        <v>0</v>
      </c>
      <c r="AK12" s="381"/>
      <c r="AL12" s="380">
        <f t="shared" ca="1" si="4"/>
        <v>0</v>
      </c>
      <c r="AM12" s="381"/>
      <c r="AN12" s="382" t="str">
        <f t="shared" ca="1" si="5"/>
        <v>No budget defined</v>
      </c>
      <c r="AP12" s="392"/>
    </row>
    <row r="13" spans="1:42">
      <c r="A13" s="99">
        <v>5</v>
      </c>
      <c r="B13">
        <f t="shared" si="1"/>
        <v>1</v>
      </c>
      <c r="C13">
        <f t="shared" ca="1" si="2"/>
        <v>36</v>
      </c>
      <c r="D13" t="str">
        <f ca="1">IF(OFFSET(D13,0,-3)="TT","",""&amp;INDIRECT("'Beneficiaries List'!I" &amp; MATCH(A13,'Beneficiaries List'!J:J,0),TRUE))</f>
        <v>B</v>
      </c>
      <c r="E13" s="100" t="str">
        <f ca="1">IF(OFFSET(E13,0,-4)="TT","TOTAL",""&amp;INDIRECT("'Beneficiaries List'!B" &amp; MATCH(A13,'Beneficiaries List'!J:J,0),TRUE))</f>
        <v/>
      </c>
      <c r="F13" s="100" t="str">
        <f ca="1">IF(OFFSET(F13,0,-5)="TT","Consortium",""&amp;INDIRECT("'Beneficiaries List'!C" &amp; MATCH(A13,'Beneficiaries List'!J:J,0),TRUE))</f>
        <v/>
      </c>
      <c r="G13" s="378">
        <f t="shared" ca="1" si="3"/>
        <v>0</v>
      </c>
      <c r="H13" s="379">
        <f t="shared" ca="1" si="4"/>
        <v>0</v>
      </c>
      <c r="I13" s="301">
        <f t="shared" ca="1" si="4"/>
        <v>0</v>
      </c>
      <c r="J13" s="301">
        <f t="shared" ca="1" si="4"/>
        <v>0</v>
      </c>
      <c r="K13" s="301">
        <f t="shared" ca="1" si="4"/>
        <v>0</v>
      </c>
      <c r="L13" s="301">
        <f t="shared" ca="1" si="4"/>
        <v>0</v>
      </c>
      <c r="M13" s="301">
        <f t="shared" ca="1" si="4"/>
        <v>0</v>
      </c>
      <c r="N13" s="379">
        <f t="shared" ca="1" si="4"/>
        <v>0</v>
      </c>
      <c r="O13" s="379">
        <f t="shared" ca="1" si="4"/>
        <v>0</v>
      </c>
      <c r="P13" s="379">
        <f t="shared" ca="1" si="4"/>
        <v>0</v>
      </c>
      <c r="Q13" s="379">
        <f t="shared" ca="1" si="4"/>
        <v>0</v>
      </c>
      <c r="R13" s="378">
        <f t="shared" ca="1" si="4"/>
        <v>0</v>
      </c>
      <c r="S13" s="378">
        <f t="shared" ca="1" si="4"/>
        <v>0</v>
      </c>
      <c r="T13" s="379">
        <f t="shared" ca="1" si="4"/>
        <v>0</v>
      </c>
      <c r="U13" s="301">
        <f t="shared" ca="1" si="4"/>
        <v>0</v>
      </c>
      <c r="V13" s="301">
        <f t="shared" ca="1" si="4"/>
        <v>0</v>
      </c>
      <c r="W13" s="301">
        <f t="shared" ca="1" si="4"/>
        <v>0</v>
      </c>
      <c r="X13" s="379">
        <f t="shared" ca="1" si="4"/>
        <v>0</v>
      </c>
      <c r="Y13" s="379">
        <f t="shared" ca="1" si="4"/>
        <v>0</v>
      </c>
      <c r="Z13" s="301">
        <f t="shared" ca="1" si="4"/>
        <v>0</v>
      </c>
      <c r="AA13" s="301">
        <f t="shared" ca="1" si="4"/>
        <v>0</v>
      </c>
      <c r="AB13" s="301">
        <f t="shared" ca="1" si="4"/>
        <v>0</v>
      </c>
      <c r="AC13" s="301">
        <f t="shared" ca="1" si="4"/>
        <v>0</v>
      </c>
      <c r="AD13" s="301">
        <f t="shared" ca="1" si="4"/>
        <v>0</v>
      </c>
      <c r="AE13" s="301">
        <f t="shared" ca="1" si="4"/>
        <v>0</v>
      </c>
      <c r="AF13" s="378">
        <f t="shared" ca="1" si="4"/>
        <v>0</v>
      </c>
      <c r="AG13" s="301">
        <f t="shared" ca="1" si="4"/>
        <v>0</v>
      </c>
      <c r="AH13" s="380">
        <f t="shared" ca="1" si="4"/>
        <v>0</v>
      </c>
      <c r="AI13" s="381"/>
      <c r="AJ13" s="378">
        <f t="shared" ca="1" si="4"/>
        <v>0</v>
      </c>
      <c r="AK13" s="381"/>
      <c r="AL13" s="380">
        <f t="shared" ca="1" si="4"/>
        <v>0</v>
      </c>
      <c r="AM13" s="381"/>
      <c r="AN13" s="382" t="str">
        <f t="shared" ca="1" si="5"/>
        <v>No budget defined</v>
      </c>
      <c r="AP13" s="392"/>
    </row>
    <row r="14" spans="1:42">
      <c r="A14" s="99">
        <v>6</v>
      </c>
      <c r="B14">
        <f t="shared" si="1"/>
        <v>2</v>
      </c>
      <c r="C14">
        <f t="shared" ca="1" si="2"/>
        <v>40</v>
      </c>
      <c r="D14" t="str">
        <f ca="1">IF(OFFSET(D14,0,-3)="TT","",""&amp;INDIRECT("'Beneficiaries List'!I" &amp; MATCH(A14,'Beneficiaries List'!J:J,0),TRUE))</f>
        <v>B</v>
      </c>
      <c r="E14" s="100" t="str">
        <f ca="1">IF(OFFSET(E14,0,-4)="TT","TOTAL",""&amp;INDIRECT("'Beneficiaries List'!B" &amp; MATCH(A14,'Beneficiaries List'!J:J,0),TRUE))</f>
        <v/>
      </c>
      <c r="F14" s="100" t="str">
        <f ca="1">IF(OFFSET(F14,0,-5)="TT","Consortium",""&amp;INDIRECT("'Beneficiaries List'!C" &amp; MATCH(A14,'Beneficiaries List'!J:J,0),TRUE))</f>
        <v/>
      </c>
      <c r="G14" s="378">
        <f t="shared" ca="1" si="3"/>
        <v>0</v>
      </c>
      <c r="H14" s="379">
        <f t="shared" ca="1" si="4"/>
        <v>0</v>
      </c>
      <c r="I14" s="301">
        <f t="shared" ca="1" si="4"/>
        <v>0</v>
      </c>
      <c r="J14" s="301">
        <f t="shared" ca="1" si="4"/>
        <v>0</v>
      </c>
      <c r="K14" s="301">
        <f t="shared" ca="1" si="4"/>
        <v>0</v>
      </c>
      <c r="L14" s="301">
        <f t="shared" ca="1" si="4"/>
        <v>0</v>
      </c>
      <c r="M14" s="301">
        <f t="shared" ca="1" si="4"/>
        <v>0</v>
      </c>
      <c r="N14" s="379">
        <f t="shared" ca="1" si="4"/>
        <v>0</v>
      </c>
      <c r="O14" s="379">
        <f t="shared" ca="1" si="4"/>
        <v>0</v>
      </c>
      <c r="P14" s="379">
        <f t="shared" ca="1" si="4"/>
        <v>0</v>
      </c>
      <c r="Q14" s="379">
        <f t="shared" ca="1" si="4"/>
        <v>0</v>
      </c>
      <c r="R14" s="378">
        <f t="shared" ca="1" si="4"/>
        <v>0</v>
      </c>
      <c r="S14" s="378">
        <f t="shared" ca="1" si="4"/>
        <v>0</v>
      </c>
      <c r="T14" s="379">
        <f t="shared" ca="1" si="4"/>
        <v>0</v>
      </c>
      <c r="U14" s="301">
        <f t="shared" ca="1" si="4"/>
        <v>0</v>
      </c>
      <c r="V14" s="301">
        <f t="shared" ca="1" si="4"/>
        <v>0</v>
      </c>
      <c r="W14" s="301">
        <f t="shared" ca="1" si="4"/>
        <v>0</v>
      </c>
      <c r="X14" s="379">
        <f t="shared" ca="1" si="4"/>
        <v>0</v>
      </c>
      <c r="Y14" s="379">
        <f t="shared" ca="1" si="4"/>
        <v>0</v>
      </c>
      <c r="Z14" s="301">
        <f t="shared" ca="1" si="4"/>
        <v>0</v>
      </c>
      <c r="AA14" s="301">
        <f t="shared" ca="1" si="4"/>
        <v>0</v>
      </c>
      <c r="AB14" s="301">
        <f t="shared" ca="1" si="4"/>
        <v>0</v>
      </c>
      <c r="AC14" s="301">
        <f t="shared" ca="1" si="4"/>
        <v>0</v>
      </c>
      <c r="AD14" s="301">
        <f t="shared" ca="1" si="4"/>
        <v>0</v>
      </c>
      <c r="AE14" s="301">
        <f t="shared" ca="1" si="4"/>
        <v>0</v>
      </c>
      <c r="AF14" s="378">
        <f t="shared" ca="1" si="4"/>
        <v>0</v>
      </c>
      <c r="AG14" s="301">
        <f t="shared" ca="1" si="4"/>
        <v>0</v>
      </c>
      <c r="AH14" s="380">
        <f t="shared" ca="1" si="4"/>
        <v>0</v>
      </c>
      <c r="AI14" s="381"/>
      <c r="AJ14" s="378">
        <f t="shared" ca="1" si="4"/>
        <v>0</v>
      </c>
      <c r="AK14" s="381"/>
      <c r="AL14" s="380">
        <f t="shared" ca="1" si="4"/>
        <v>0</v>
      </c>
      <c r="AM14" s="381"/>
      <c r="AN14" s="382" t="str">
        <f t="shared" ca="1" si="5"/>
        <v>No budget defined</v>
      </c>
      <c r="AP14" s="392"/>
    </row>
    <row r="15" spans="1:42">
      <c r="A15" s="99">
        <v>7</v>
      </c>
      <c r="B15">
        <f t="shared" si="1"/>
        <v>1</v>
      </c>
      <c r="C15">
        <f t="shared" ca="1" si="2"/>
        <v>44</v>
      </c>
      <c r="D15" t="str">
        <f ca="1">IF(OFFSET(D15,0,-3)="TT","",""&amp;INDIRECT("'Beneficiaries List'!I" &amp; MATCH(A15,'Beneficiaries List'!J:J,0),TRUE))</f>
        <v>B</v>
      </c>
      <c r="E15" s="100" t="str">
        <f ca="1">IF(OFFSET(E15,0,-4)="TT","TOTAL",""&amp;INDIRECT("'Beneficiaries List'!B" &amp; MATCH(A15,'Beneficiaries List'!J:J,0),TRUE))</f>
        <v/>
      </c>
      <c r="F15" s="100" t="str">
        <f ca="1">IF(OFFSET(F15,0,-5)="TT","Consortium",""&amp;INDIRECT("'Beneficiaries List'!C" &amp; MATCH(A15,'Beneficiaries List'!J:J,0),TRUE))</f>
        <v/>
      </c>
      <c r="G15" s="378">
        <f t="shared" ca="1" si="3"/>
        <v>0</v>
      </c>
      <c r="H15" s="379">
        <f t="shared" ca="1" si="4"/>
        <v>0</v>
      </c>
      <c r="I15" s="301">
        <f t="shared" ca="1" si="4"/>
        <v>0</v>
      </c>
      <c r="J15" s="301">
        <f t="shared" ca="1" si="4"/>
        <v>0</v>
      </c>
      <c r="K15" s="301">
        <f t="shared" ca="1" si="4"/>
        <v>0</v>
      </c>
      <c r="L15" s="301">
        <f t="shared" ca="1" si="4"/>
        <v>0</v>
      </c>
      <c r="M15" s="301">
        <f t="shared" ca="1" si="4"/>
        <v>0</v>
      </c>
      <c r="N15" s="379">
        <f t="shared" ca="1" si="4"/>
        <v>0</v>
      </c>
      <c r="O15" s="379">
        <f t="shared" ca="1" si="4"/>
        <v>0</v>
      </c>
      <c r="P15" s="379">
        <f t="shared" ca="1" si="4"/>
        <v>0</v>
      </c>
      <c r="Q15" s="379">
        <f t="shared" ca="1" si="4"/>
        <v>0</v>
      </c>
      <c r="R15" s="378">
        <f t="shared" ca="1" si="4"/>
        <v>0</v>
      </c>
      <c r="S15" s="378">
        <f t="shared" ca="1" si="4"/>
        <v>0</v>
      </c>
      <c r="T15" s="379">
        <f t="shared" ca="1" si="4"/>
        <v>0</v>
      </c>
      <c r="U15" s="301">
        <f t="shared" ca="1" si="4"/>
        <v>0</v>
      </c>
      <c r="V15" s="301">
        <f t="shared" ca="1" si="4"/>
        <v>0</v>
      </c>
      <c r="W15" s="301">
        <f t="shared" ca="1" si="4"/>
        <v>0</v>
      </c>
      <c r="X15" s="379">
        <f t="shared" ca="1" si="4"/>
        <v>0</v>
      </c>
      <c r="Y15" s="379">
        <f t="shared" ca="1" si="4"/>
        <v>0</v>
      </c>
      <c r="Z15" s="301">
        <f t="shared" ca="1" si="4"/>
        <v>0</v>
      </c>
      <c r="AA15" s="301">
        <f t="shared" ca="1" si="4"/>
        <v>0</v>
      </c>
      <c r="AB15" s="301">
        <f t="shared" ca="1" si="4"/>
        <v>0</v>
      </c>
      <c r="AC15" s="301">
        <f t="shared" ca="1" si="4"/>
        <v>0</v>
      </c>
      <c r="AD15" s="301">
        <f t="shared" ca="1" si="4"/>
        <v>0</v>
      </c>
      <c r="AE15" s="301">
        <f t="shared" ca="1" si="4"/>
        <v>0</v>
      </c>
      <c r="AF15" s="378">
        <f t="shared" ca="1" si="4"/>
        <v>0</v>
      </c>
      <c r="AG15" s="301">
        <f t="shared" ca="1" si="4"/>
        <v>0</v>
      </c>
      <c r="AH15" s="380">
        <f t="shared" ca="1" si="4"/>
        <v>0</v>
      </c>
      <c r="AI15" s="381"/>
      <c r="AJ15" s="378">
        <f t="shared" ca="1" si="4"/>
        <v>0</v>
      </c>
      <c r="AK15" s="381"/>
      <c r="AL15" s="380">
        <f t="shared" ca="1" si="4"/>
        <v>0</v>
      </c>
      <c r="AM15" s="381"/>
      <c r="AN15" s="382" t="str">
        <f t="shared" ca="1" si="5"/>
        <v>No budget defined</v>
      </c>
      <c r="AP15" s="392"/>
    </row>
    <row r="16" spans="1:42">
      <c r="A16" s="99">
        <v>8</v>
      </c>
      <c r="B16">
        <f t="shared" si="1"/>
        <v>2</v>
      </c>
      <c r="C16">
        <f t="shared" ca="1" si="2"/>
        <v>48</v>
      </c>
      <c r="D16" t="str">
        <f ca="1">IF(OFFSET(D16,0,-3)="TT","",""&amp;INDIRECT("'Beneficiaries List'!I" &amp; MATCH(A16,'Beneficiaries List'!J:J,0),TRUE))</f>
        <v>B</v>
      </c>
      <c r="E16" s="100" t="str">
        <f ca="1">IF(OFFSET(E16,0,-4)="TT","TOTAL",""&amp;INDIRECT("'Beneficiaries List'!B" &amp; MATCH(A16,'Beneficiaries List'!J:J,0),TRUE))</f>
        <v/>
      </c>
      <c r="F16" s="100" t="str">
        <f ca="1">IF(OFFSET(F16,0,-5)="TT","Consortium",""&amp;INDIRECT("'Beneficiaries List'!C" &amp; MATCH(A16,'Beneficiaries List'!J:J,0),TRUE))</f>
        <v/>
      </c>
      <c r="G16" s="378">
        <f t="shared" ca="1" si="3"/>
        <v>0</v>
      </c>
      <c r="H16" s="379">
        <f t="shared" ca="1" si="4"/>
        <v>0</v>
      </c>
      <c r="I16" s="301">
        <f t="shared" ca="1" si="4"/>
        <v>0</v>
      </c>
      <c r="J16" s="301">
        <f t="shared" ca="1" si="4"/>
        <v>0</v>
      </c>
      <c r="K16" s="301">
        <f t="shared" ca="1" si="4"/>
        <v>0</v>
      </c>
      <c r="L16" s="301">
        <f t="shared" ca="1" si="4"/>
        <v>0</v>
      </c>
      <c r="M16" s="301">
        <f t="shared" ca="1" si="4"/>
        <v>0</v>
      </c>
      <c r="N16" s="379">
        <f t="shared" ca="1" si="4"/>
        <v>0</v>
      </c>
      <c r="O16" s="379">
        <f t="shared" ca="1" si="4"/>
        <v>0</v>
      </c>
      <c r="P16" s="379">
        <f t="shared" ca="1" si="4"/>
        <v>0</v>
      </c>
      <c r="Q16" s="379">
        <f t="shared" ca="1" si="4"/>
        <v>0</v>
      </c>
      <c r="R16" s="378">
        <f t="shared" ca="1" si="4"/>
        <v>0</v>
      </c>
      <c r="S16" s="378">
        <f t="shared" ca="1" si="4"/>
        <v>0</v>
      </c>
      <c r="T16" s="379">
        <f t="shared" ca="1" si="4"/>
        <v>0</v>
      </c>
      <c r="U16" s="301">
        <f t="shared" ca="1" si="4"/>
        <v>0</v>
      </c>
      <c r="V16" s="301">
        <f t="shared" ca="1" si="4"/>
        <v>0</v>
      </c>
      <c r="W16" s="301">
        <f t="shared" ca="1" si="4"/>
        <v>0</v>
      </c>
      <c r="X16" s="379">
        <f t="shared" ca="1" si="4"/>
        <v>0</v>
      </c>
      <c r="Y16" s="379">
        <f t="shared" ca="1" si="4"/>
        <v>0</v>
      </c>
      <c r="Z16" s="301">
        <f t="shared" ca="1" si="4"/>
        <v>0</v>
      </c>
      <c r="AA16" s="301">
        <f t="shared" ca="1" si="4"/>
        <v>0</v>
      </c>
      <c r="AB16" s="301">
        <f t="shared" ca="1" si="4"/>
        <v>0</v>
      </c>
      <c r="AC16" s="301">
        <f t="shared" ca="1" si="4"/>
        <v>0</v>
      </c>
      <c r="AD16" s="301">
        <f t="shared" ca="1" si="4"/>
        <v>0</v>
      </c>
      <c r="AE16" s="301">
        <f t="shared" ca="1" si="4"/>
        <v>0</v>
      </c>
      <c r="AF16" s="378">
        <f t="shared" ca="1" si="4"/>
        <v>0</v>
      </c>
      <c r="AG16" s="301">
        <f t="shared" ca="1" si="4"/>
        <v>0</v>
      </c>
      <c r="AH16" s="380">
        <f t="shared" ca="1" si="4"/>
        <v>0</v>
      </c>
      <c r="AI16" s="381"/>
      <c r="AJ16" s="378">
        <f t="shared" ca="1" si="4"/>
        <v>0</v>
      </c>
      <c r="AK16" s="381"/>
      <c r="AL16" s="380">
        <f t="shared" ca="1" si="4"/>
        <v>0</v>
      </c>
      <c r="AM16" s="381"/>
      <c r="AN16" s="382" t="str">
        <f t="shared" ca="1" si="5"/>
        <v>No budget defined</v>
      </c>
      <c r="AP16" s="392"/>
    </row>
    <row r="17" spans="1:42">
      <c r="A17" s="99">
        <v>9</v>
      </c>
      <c r="B17">
        <f t="shared" si="1"/>
        <v>1</v>
      </c>
      <c r="C17">
        <f t="shared" ca="1" si="2"/>
        <v>52</v>
      </c>
      <c r="D17" t="str">
        <f ca="1">IF(OFFSET(D17,0,-3)="TT","",""&amp;INDIRECT("'Beneficiaries List'!I" &amp; MATCH(A17,'Beneficiaries List'!J:J,0),TRUE))</f>
        <v>B</v>
      </c>
      <c r="E17" s="100" t="str">
        <f ca="1">IF(OFFSET(E17,0,-4)="TT","TOTAL",""&amp;INDIRECT("'Beneficiaries List'!B" &amp; MATCH(A17,'Beneficiaries List'!J:J,0),TRUE))</f>
        <v/>
      </c>
      <c r="F17" s="100" t="str">
        <f ca="1">IF(OFFSET(F17,0,-5)="TT","Consortium",""&amp;INDIRECT("'Beneficiaries List'!C" &amp; MATCH(A17,'Beneficiaries List'!J:J,0),TRUE))</f>
        <v/>
      </c>
      <c r="G17" s="378">
        <f t="shared" ca="1" si="3"/>
        <v>0</v>
      </c>
      <c r="H17" s="379">
        <f t="shared" ca="1" si="4"/>
        <v>0</v>
      </c>
      <c r="I17" s="301">
        <f t="shared" ca="1" si="4"/>
        <v>0</v>
      </c>
      <c r="J17" s="301">
        <f t="shared" ca="1" si="4"/>
        <v>0</v>
      </c>
      <c r="K17" s="301">
        <f t="shared" ca="1" si="4"/>
        <v>0</v>
      </c>
      <c r="L17" s="301">
        <f t="shared" ca="1" si="4"/>
        <v>0</v>
      </c>
      <c r="M17" s="301">
        <f t="shared" ca="1" si="4"/>
        <v>0</v>
      </c>
      <c r="N17" s="379">
        <f t="shared" ca="1" si="4"/>
        <v>0</v>
      </c>
      <c r="O17" s="379">
        <f t="shared" ca="1" si="4"/>
        <v>0</v>
      </c>
      <c r="P17" s="379">
        <f t="shared" ca="1" si="4"/>
        <v>0</v>
      </c>
      <c r="Q17" s="379">
        <f t="shared" ca="1" si="4"/>
        <v>0</v>
      </c>
      <c r="R17" s="378">
        <f t="shared" ca="1" si="4"/>
        <v>0</v>
      </c>
      <c r="S17" s="378">
        <f t="shared" ca="1" si="4"/>
        <v>0</v>
      </c>
      <c r="T17" s="379">
        <f t="shared" ca="1" si="4"/>
        <v>0</v>
      </c>
      <c r="U17" s="301">
        <f t="shared" ca="1" si="4"/>
        <v>0</v>
      </c>
      <c r="V17" s="301">
        <f t="shared" ca="1" si="4"/>
        <v>0</v>
      </c>
      <c r="W17" s="301">
        <f t="shared" ca="1" si="4"/>
        <v>0</v>
      </c>
      <c r="X17" s="379">
        <f t="shared" ca="1" si="4"/>
        <v>0</v>
      </c>
      <c r="Y17" s="379">
        <f t="shared" ca="1" si="4"/>
        <v>0</v>
      </c>
      <c r="Z17" s="301">
        <f t="shared" ca="1" si="4"/>
        <v>0</v>
      </c>
      <c r="AA17" s="301">
        <f t="shared" ca="1" si="4"/>
        <v>0</v>
      </c>
      <c r="AB17" s="301">
        <f t="shared" ca="1" si="4"/>
        <v>0</v>
      </c>
      <c r="AC17" s="301">
        <f t="shared" ca="1" si="4"/>
        <v>0</v>
      </c>
      <c r="AD17" s="301">
        <f t="shared" ca="1" si="4"/>
        <v>0</v>
      </c>
      <c r="AE17" s="301">
        <f t="shared" ref="AE17:AL17" ca="1" si="6">SUMIF(INDIRECT("'Estim costs of the project'!D:D",TRUE),AE$2,OFFSET(INDIRECT("'Estim costs of the project'!A1",TRUE),0,$C17-1,1048500,1))</f>
        <v>0</v>
      </c>
      <c r="AF17" s="378">
        <f t="shared" ca="1" si="6"/>
        <v>0</v>
      </c>
      <c r="AG17" s="301">
        <f t="shared" ca="1" si="6"/>
        <v>0</v>
      </c>
      <c r="AH17" s="380">
        <f t="shared" ca="1" si="6"/>
        <v>0</v>
      </c>
      <c r="AI17" s="381"/>
      <c r="AJ17" s="378">
        <f t="shared" ca="1" si="6"/>
        <v>0</v>
      </c>
      <c r="AK17" s="381"/>
      <c r="AL17" s="380">
        <f t="shared" ca="1" si="6"/>
        <v>0</v>
      </c>
      <c r="AM17" s="381"/>
      <c r="AN17" s="382" t="str">
        <f t="shared" ca="1" si="5"/>
        <v>No budget defined</v>
      </c>
      <c r="AP17" s="392"/>
    </row>
    <row r="18" spans="1:42">
      <c r="A18" s="99">
        <v>10</v>
      </c>
      <c r="B18">
        <f t="shared" si="1"/>
        <v>2</v>
      </c>
      <c r="C18">
        <f t="shared" ca="1" si="2"/>
        <v>56</v>
      </c>
      <c r="D18" t="str">
        <f ca="1">IF(OFFSET(D18,0,-3)="TT","",""&amp;INDIRECT("'Beneficiaries List'!I" &amp; MATCH(A18,'Beneficiaries List'!J:J,0),TRUE))</f>
        <v>B</v>
      </c>
      <c r="E18" s="100" t="str">
        <f ca="1">IF(OFFSET(E18,0,-4)="TT","TOTAL",""&amp;INDIRECT("'Beneficiaries List'!B" &amp; MATCH(A18,'Beneficiaries List'!J:J,0),TRUE))</f>
        <v/>
      </c>
      <c r="F18" s="100" t="str">
        <f ca="1">IF(OFFSET(F18,0,-5)="TT","Consortium",""&amp;INDIRECT("'Beneficiaries List'!C" &amp; MATCH(A18,'Beneficiaries List'!J:J,0),TRUE))</f>
        <v/>
      </c>
      <c r="G18" s="378">
        <f t="shared" ca="1" si="3"/>
        <v>0</v>
      </c>
      <c r="H18" s="379">
        <f t="shared" ref="H18:AL21" ca="1" si="7">SUMIF(INDIRECT("'Estim costs of the project'!D:D",TRUE),H$2,OFFSET(INDIRECT("'Estim costs of the project'!A1",TRUE),0,$C18-1,1048500,1))</f>
        <v>0</v>
      </c>
      <c r="I18" s="301">
        <f t="shared" ca="1" si="7"/>
        <v>0</v>
      </c>
      <c r="J18" s="301">
        <f t="shared" ca="1" si="7"/>
        <v>0</v>
      </c>
      <c r="K18" s="301">
        <f t="shared" ca="1" si="7"/>
        <v>0</v>
      </c>
      <c r="L18" s="301">
        <f t="shared" ca="1" si="7"/>
        <v>0</v>
      </c>
      <c r="M18" s="301">
        <f t="shared" ca="1" si="7"/>
        <v>0</v>
      </c>
      <c r="N18" s="379">
        <f t="shared" ca="1" si="7"/>
        <v>0</v>
      </c>
      <c r="O18" s="379">
        <f t="shared" ca="1" si="7"/>
        <v>0</v>
      </c>
      <c r="P18" s="379">
        <f t="shared" ca="1" si="7"/>
        <v>0</v>
      </c>
      <c r="Q18" s="379">
        <f t="shared" ca="1" si="7"/>
        <v>0</v>
      </c>
      <c r="R18" s="378">
        <f t="shared" ca="1" si="7"/>
        <v>0</v>
      </c>
      <c r="S18" s="378">
        <f t="shared" ca="1" si="7"/>
        <v>0</v>
      </c>
      <c r="T18" s="379">
        <f t="shared" ca="1" si="7"/>
        <v>0</v>
      </c>
      <c r="U18" s="301">
        <f t="shared" ca="1" si="7"/>
        <v>0</v>
      </c>
      <c r="V18" s="301">
        <f t="shared" ca="1" si="7"/>
        <v>0</v>
      </c>
      <c r="W18" s="301">
        <f t="shared" ca="1" si="7"/>
        <v>0</v>
      </c>
      <c r="X18" s="379">
        <f t="shared" ca="1" si="7"/>
        <v>0</v>
      </c>
      <c r="Y18" s="379">
        <f t="shared" ca="1" si="7"/>
        <v>0</v>
      </c>
      <c r="Z18" s="301">
        <f t="shared" ca="1" si="7"/>
        <v>0</v>
      </c>
      <c r="AA18" s="301">
        <f t="shared" ca="1" si="7"/>
        <v>0</v>
      </c>
      <c r="AB18" s="301">
        <f t="shared" ca="1" si="7"/>
        <v>0</v>
      </c>
      <c r="AC18" s="301">
        <f t="shared" ca="1" si="7"/>
        <v>0</v>
      </c>
      <c r="AD18" s="301">
        <f t="shared" ca="1" si="7"/>
        <v>0</v>
      </c>
      <c r="AE18" s="301">
        <f t="shared" ca="1" si="7"/>
        <v>0</v>
      </c>
      <c r="AF18" s="378">
        <f t="shared" ca="1" si="7"/>
        <v>0</v>
      </c>
      <c r="AG18" s="301">
        <f t="shared" ca="1" si="7"/>
        <v>0</v>
      </c>
      <c r="AH18" s="380">
        <f t="shared" ca="1" si="7"/>
        <v>0</v>
      </c>
      <c r="AI18" s="381"/>
      <c r="AJ18" s="378">
        <f t="shared" ca="1" si="7"/>
        <v>0</v>
      </c>
      <c r="AK18" s="381"/>
      <c r="AL18" s="380">
        <f t="shared" ca="1" si="7"/>
        <v>0</v>
      </c>
      <c r="AM18" s="381"/>
      <c r="AN18" s="382" t="str">
        <f t="shared" ca="1" si="5"/>
        <v>No budget defined</v>
      </c>
      <c r="AP18" s="392"/>
    </row>
    <row r="19" spans="1:42">
      <c r="A19" s="99">
        <v>11</v>
      </c>
      <c r="B19">
        <f t="shared" si="1"/>
        <v>1</v>
      </c>
      <c r="C19">
        <f t="shared" ca="1" si="2"/>
        <v>60</v>
      </c>
      <c r="D19" t="str">
        <f ca="1">IF(OFFSET(D19,0,-3)="TT","",""&amp;INDIRECT("'Beneficiaries List'!I" &amp; MATCH(A19,'Beneficiaries List'!J:J,0),TRUE))</f>
        <v>B</v>
      </c>
      <c r="E19" s="100" t="str">
        <f ca="1">IF(OFFSET(E19,0,-4)="TT","TOTAL",""&amp;INDIRECT("'Beneficiaries List'!B" &amp; MATCH(A19,'Beneficiaries List'!J:J,0),TRUE))</f>
        <v/>
      </c>
      <c r="F19" s="100" t="str">
        <f ca="1">IF(OFFSET(F19,0,-5)="TT","Consortium",""&amp;INDIRECT("'Beneficiaries List'!C" &amp; MATCH(A19,'Beneficiaries List'!J:J,0),TRUE))</f>
        <v/>
      </c>
      <c r="G19" s="378">
        <f t="shared" ca="1" si="3"/>
        <v>0</v>
      </c>
      <c r="H19" s="379">
        <f t="shared" ca="1" si="7"/>
        <v>0</v>
      </c>
      <c r="I19" s="301">
        <f t="shared" ca="1" si="7"/>
        <v>0</v>
      </c>
      <c r="J19" s="301">
        <f t="shared" ca="1" si="7"/>
        <v>0</v>
      </c>
      <c r="K19" s="301">
        <f t="shared" ca="1" si="7"/>
        <v>0</v>
      </c>
      <c r="L19" s="301">
        <f t="shared" ca="1" si="7"/>
        <v>0</v>
      </c>
      <c r="M19" s="301">
        <f t="shared" ca="1" si="7"/>
        <v>0</v>
      </c>
      <c r="N19" s="379">
        <f t="shared" ca="1" si="7"/>
        <v>0</v>
      </c>
      <c r="O19" s="379">
        <f t="shared" ca="1" si="7"/>
        <v>0</v>
      </c>
      <c r="P19" s="379">
        <f t="shared" ca="1" si="7"/>
        <v>0</v>
      </c>
      <c r="Q19" s="379">
        <f t="shared" ca="1" si="7"/>
        <v>0</v>
      </c>
      <c r="R19" s="378">
        <f t="shared" ca="1" si="7"/>
        <v>0</v>
      </c>
      <c r="S19" s="378">
        <f t="shared" ca="1" si="7"/>
        <v>0</v>
      </c>
      <c r="T19" s="379">
        <f t="shared" ca="1" si="7"/>
        <v>0</v>
      </c>
      <c r="U19" s="301">
        <f t="shared" ca="1" si="7"/>
        <v>0</v>
      </c>
      <c r="V19" s="301">
        <f t="shared" ca="1" si="7"/>
        <v>0</v>
      </c>
      <c r="W19" s="301">
        <f t="shared" ca="1" si="7"/>
        <v>0</v>
      </c>
      <c r="X19" s="379">
        <f t="shared" ca="1" si="7"/>
        <v>0</v>
      </c>
      <c r="Y19" s="379">
        <f t="shared" ca="1" si="7"/>
        <v>0</v>
      </c>
      <c r="Z19" s="301">
        <f t="shared" ca="1" si="7"/>
        <v>0</v>
      </c>
      <c r="AA19" s="301">
        <f t="shared" ca="1" si="7"/>
        <v>0</v>
      </c>
      <c r="AB19" s="301">
        <f t="shared" ca="1" si="7"/>
        <v>0</v>
      </c>
      <c r="AC19" s="301">
        <f t="shared" ca="1" si="7"/>
        <v>0</v>
      </c>
      <c r="AD19" s="301">
        <f t="shared" ca="1" si="7"/>
        <v>0</v>
      </c>
      <c r="AE19" s="301">
        <f t="shared" ca="1" si="7"/>
        <v>0</v>
      </c>
      <c r="AF19" s="378">
        <f t="shared" ca="1" si="7"/>
        <v>0</v>
      </c>
      <c r="AG19" s="301">
        <f t="shared" ca="1" si="7"/>
        <v>0</v>
      </c>
      <c r="AH19" s="380">
        <f t="shared" ca="1" si="7"/>
        <v>0</v>
      </c>
      <c r="AI19" s="381"/>
      <c r="AJ19" s="378">
        <f t="shared" ca="1" si="7"/>
        <v>0</v>
      </c>
      <c r="AK19" s="381"/>
      <c r="AL19" s="380">
        <f t="shared" ca="1" si="7"/>
        <v>0</v>
      </c>
      <c r="AM19" s="381"/>
      <c r="AN19" s="382" t="str">
        <f t="shared" ca="1" si="5"/>
        <v>No budget defined</v>
      </c>
      <c r="AP19" s="392"/>
    </row>
    <row r="20" spans="1:42">
      <c r="A20" s="99">
        <v>12</v>
      </c>
      <c r="B20">
        <f t="shared" si="1"/>
        <v>2</v>
      </c>
      <c r="C20">
        <f t="shared" ca="1" si="2"/>
        <v>64</v>
      </c>
      <c r="D20" t="str">
        <f ca="1">IF(OFFSET(D20,0,-3)="TT","",""&amp;INDIRECT("'Beneficiaries List'!I" &amp; MATCH(A20,'Beneficiaries List'!J:J,0),TRUE))</f>
        <v>B</v>
      </c>
      <c r="E20" s="100" t="str">
        <f ca="1">IF(OFFSET(E20,0,-4)="TT","TOTAL",""&amp;INDIRECT("'Beneficiaries List'!B" &amp; MATCH(A20,'Beneficiaries List'!J:J,0),TRUE))</f>
        <v/>
      </c>
      <c r="F20" s="100" t="str">
        <f ca="1">IF(OFFSET(F20,0,-5)="TT","Consortium",""&amp;INDIRECT("'Beneficiaries List'!C" &amp; MATCH(A20,'Beneficiaries List'!J:J,0),TRUE))</f>
        <v/>
      </c>
      <c r="G20" s="378">
        <f t="shared" ca="1" si="3"/>
        <v>0</v>
      </c>
      <c r="H20" s="379">
        <f t="shared" ca="1" si="7"/>
        <v>0</v>
      </c>
      <c r="I20" s="301">
        <f t="shared" ca="1" si="7"/>
        <v>0</v>
      </c>
      <c r="J20" s="301">
        <f t="shared" ca="1" si="7"/>
        <v>0</v>
      </c>
      <c r="K20" s="301">
        <f t="shared" ca="1" si="7"/>
        <v>0</v>
      </c>
      <c r="L20" s="301">
        <f t="shared" ca="1" si="7"/>
        <v>0</v>
      </c>
      <c r="M20" s="301">
        <f t="shared" ca="1" si="7"/>
        <v>0</v>
      </c>
      <c r="N20" s="379">
        <f t="shared" ca="1" si="7"/>
        <v>0</v>
      </c>
      <c r="O20" s="379">
        <f t="shared" ca="1" si="7"/>
        <v>0</v>
      </c>
      <c r="P20" s="379">
        <f t="shared" ca="1" si="7"/>
        <v>0</v>
      </c>
      <c r="Q20" s="379">
        <f t="shared" ca="1" si="7"/>
        <v>0</v>
      </c>
      <c r="R20" s="378">
        <f t="shared" ca="1" si="7"/>
        <v>0</v>
      </c>
      <c r="S20" s="378">
        <f t="shared" ca="1" si="7"/>
        <v>0</v>
      </c>
      <c r="T20" s="379">
        <f t="shared" ca="1" si="7"/>
        <v>0</v>
      </c>
      <c r="U20" s="301">
        <f t="shared" ca="1" si="7"/>
        <v>0</v>
      </c>
      <c r="V20" s="301">
        <f t="shared" ca="1" si="7"/>
        <v>0</v>
      </c>
      <c r="W20" s="301">
        <f t="shared" ca="1" si="7"/>
        <v>0</v>
      </c>
      <c r="X20" s="379">
        <f t="shared" ca="1" si="7"/>
        <v>0</v>
      </c>
      <c r="Y20" s="379">
        <f t="shared" ca="1" si="7"/>
        <v>0</v>
      </c>
      <c r="Z20" s="301">
        <f t="shared" ca="1" si="7"/>
        <v>0</v>
      </c>
      <c r="AA20" s="301">
        <f t="shared" ca="1" si="7"/>
        <v>0</v>
      </c>
      <c r="AB20" s="301">
        <f t="shared" ca="1" si="7"/>
        <v>0</v>
      </c>
      <c r="AC20" s="301">
        <f t="shared" ca="1" si="7"/>
        <v>0</v>
      </c>
      <c r="AD20" s="301">
        <f t="shared" ca="1" si="7"/>
        <v>0</v>
      </c>
      <c r="AE20" s="301">
        <f t="shared" ca="1" si="7"/>
        <v>0</v>
      </c>
      <c r="AF20" s="378">
        <f t="shared" ca="1" si="7"/>
        <v>0</v>
      </c>
      <c r="AG20" s="301">
        <f t="shared" ca="1" si="7"/>
        <v>0</v>
      </c>
      <c r="AH20" s="380">
        <f t="shared" ca="1" si="7"/>
        <v>0</v>
      </c>
      <c r="AI20" s="381"/>
      <c r="AJ20" s="378">
        <f t="shared" ca="1" si="7"/>
        <v>0</v>
      </c>
      <c r="AK20" s="381"/>
      <c r="AL20" s="380">
        <f t="shared" ca="1" si="7"/>
        <v>0</v>
      </c>
      <c r="AM20" s="381"/>
      <c r="AN20" s="382" t="str">
        <f t="shared" ca="1" si="5"/>
        <v>No budget defined</v>
      </c>
      <c r="AP20" s="392"/>
    </row>
    <row r="21" spans="1:42">
      <c r="A21" s="99" t="s">
        <v>138</v>
      </c>
      <c r="B21">
        <f t="shared" si="1"/>
        <v>3</v>
      </c>
      <c r="C21">
        <f t="shared" ca="1" si="2"/>
        <v>66</v>
      </c>
      <c r="D21" t="str">
        <f ca="1">IF(OFFSET(D21,0,-3)="TT","",""&amp;INDIRECT("'Beneficiaries List'!I" &amp; MATCH(A21,'Beneficiaries List'!J:J,0),TRUE))</f>
        <v/>
      </c>
      <c r="E21" s="100" t="str">
        <f ca="1">IF(OFFSET(E21,0,-4)="TT","TOTAL",""&amp;INDIRECT("'Beneficiaries List'!B" &amp; MATCH(A21,'Beneficiaries List'!J:J,0),TRUE))</f>
        <v>TOTAL</v>
      </c>
      <c r="F21" s="100" t="str">
        <f ca="1">IF(OFFSET(F21,0,-5)="TT","Consortium",""&amp;INDIRECT("'Beneficiaries List'!C" &amp; MATCH(A21,'Beneficiaries List'!J:J,0),TRUE))</f>
        <v>Consortium</v>
      </c>
      <c r="G21" s="378">
        <f t="shared" ca="1" si="3"/>
        <v>0</v>
      </c>
      <c r="H21" s="379">
        <f t="shared" ca="1" si="7"/>
        <v>0</v>
      </c>
      <c r="I21" s="301">
        <f t="shared" ca="1" si="7"/>
        <v>0</v>
      </c>
      <c r="J21" s="301">
        <f t="shared" ca="1" si="7"/>
        <v>0</v>
      </c>
      <c r="K21" s="301">
        <f t="shared" ca="1" si="7"/>
        <v>0</v>
      </c>
      <c r="L21" s="301">
        <f t="shared" ca="1" si="7"/>
        <v>0</v>
      </c>
      <c r="M21" s="301">
        <f t="shared" ca="1" si="7"/>
        <v>0</v>
      </c>
      <c r="N21" s="379">
        <f t="shared" ca="1" si="7"/>
        <v>0</v>
      </c>
      <c r="O21" s="379">
        <f t="shared" ca="1" si="7"/>
        <v>0</v>
      </c>
      <c r="P21" s="379">
        <f t="shared" ca="1" si="7"/>
        <v>0</v>
      </c>
      <c r="Q21" s="379">
        <f t="shared" ca="1" si="7"/>
        <v>0</v>
      </c>
      <c r="R21" s="378">
        <f t="shared" ca="1" si="7"/>
        <v>0</v>
      </c>
      <c r="S21" s="378">
        <f t="shared" ca="1" si="7"/>
        <v>0</v>
      </c>
      <c r="T21" s="379">
        <f t="shared" ca="1" si="7"/>
        <v>0</v>
      </c>
      <c r="U21" s="301">
        <f t="shared" ca="1" si="7"/>
        <v>0</v>
      </c>
      <c r="V21" s="301">
        <f t="shared" ca="1" si="7"/>
        <v>0</v>
      </c>
      <c r="W21" s="301">
        <f t="shared" ca="1" si="7"/>
        <v>0</v>
      </c>
      <c r="X21" s="379">
        <f t="shared" ca="1" si="7"/>
        <v>0</v>
      </c>
      <c r="Y21" s="379">
        <f t="shared" ca="1" si="7"/>
        <v>0</v>
      </c>
      <c r="Z21" s="301">
        <f t="shared" ca="1" si="7"/>
        <v>0</v>
      </c>
      <c r="AA21" s="301">
        <f t="shared" ca="1" si="7"/>
        <v>0</v>
      </c>
      <c r="AB21" s="301">
        <f t="shared" ca="1" si="7"/>
        <v>0</v>
      </c>
      <c r="AC21" s="301">
        <f t="shared" ca="1" si="7"/>
        <v>0</v>
      </c>
      <c r="AD21" s="301">
        <f t="shared" ca="1" si="7"/>
        <v>0</v>
      </c>
      <c r="AE21" s="301">
        <f t="shared" ca="1" si="7"/>
        <v>0</v>
      </c>
      <c r="AF21" s="378">
        <f t="shared" ca="1" si="7"/>
        <v>0</v>
      </c>
      <c r="AG21" s="301">
        <f t="shared" ca="1" si="7"/>
        <v>0</v>
      </c>
      <c r="AH21" s="380">
        <f t="shared" ca="1" si="7"/>
        <v>0</v>
      </c>
      <c r="AI21" s="381"/>
      <c r="AJ21" s="378">
        <f t="shared" ca="1" si="7"/>
        <v>0</v>
      </c>
      <c r="AK21" s="381"/>
      <c r="AL21" s="380">
        <f t="shared" ca="1" si="7"/>
        <v>0</v>
      </c>
      <c r="AM21" s="381"/>
      <c r="AN21" s="382" t="str">
        <f t="shared" ca="1" si="5"/>
        <v>No budget defined</v>
      </c>
    </row>
  </sheetData>
  <sheetProtection algorithmName="SHA-512" hashValue="GVDArW8pRDReLyIxIub9ZDFtmCedh5o45FEB76fuUEbRDNFpp5EI4dgRr+0kXUoPexfPUlVx3pW9gtgV5wKCPg==" saltValue="basX4qybhbkp3k6Pj/9eLQ==" spinCount="100000" sheet="1" objects="1" scenarios="1"/>
  <mergeCells count="17">
    <mergeCell ref="G5:G7"/>
    <mergeCell ref="H5:H6"/>
    <mergeCell ref="N5:N6"/>
    <mergeCell ref="O5:O6"/>
    <mergeCell ref="P5:P6"/>
    <mergeCell ref="AL5:AL7"/>
    <mergeCell ref="Y5:Y6"/>
    <mergeCell ref="AF5:AF7"/>
    <mergeCell ref="AG5:AG6"/>
    <mergeCell ref="AH5:AH7"/>
    <mergeCell ref="AJ5:AJ7"/>
    <mergeCell ref="Z6:AE6"/>
    <mergeCell ref="Q5:Q6"/>
    <mergeCell ref="R5:R7"/>
    <mergeCell ref="S5:S7"/>
    <mergeCell ref="T5:T6"/>
    <mergeCell ref="X5:X6"/>
  </mergeCells>
  <conditionalFormatting sqref="E2:F2 H2:Q2 T2:AE2 AG2 AN2">
    <cfRule type="expression" dxfId="212" priority="1535">
      <formula>$B2=3</formula>
    </cfRule>
    <cfRule type="expression" dxfId="211" priority="1536">
      <formula>$B2=2</formula>
    </cfRule>
    <cfRule type="expression" dxfId="210" priority="1537">
      <formula>$B2=1</formula>
    </cfRule>
  </conditionalFormatting>
  <conditionalFormatting sqref="AN1">
    <cfRule type="expression" dxfId="209" priority="217" stopIfTrue="1">
      <formula>AN1="No budget defined"</formula>
    </cfRule>
  </conditionalFormatting>
  <conditionalFormatting sqref="AN1:AN4 AN7:AN8 AN22:AN1048576">
    <cfRule type="expression" dxfId="208" priority="213" stopIfTrue="1">
      <formula>AN1="No budget defined"</formula>
    </cfRule>
  </conditionalFormatting>
  <conditionalFormatting sqref="AN5:AN6">
    <cfRule type="expression" dxfId="207" priority="212" stopIfTrue="1">
      <formula>AN5="No budget defined"</formula>
    </cfRule>
  </conditionalFormatting>
  <conditionalFormatting sqref="AN5:AN6">
    <cfRule type="expression" dxfId="206" priority="211">
      <formula>MID(AN$5,1,1)="T"</formula>
    </cfRule>
  </conditionalFormatting>
  <conditionalFormatting sqref="E9:F9 H9:Q9 T9:AE9 AG9 AN9">
    <cfRule type="expression" dxfId="205" priority="62">
      <formula>$B9=3</formula>
    </cfRule>
    <cfRule type="expression" dxfId="204" priority="63">
      <formula>$B9=2</formula>
    </cfRule>
    <cfRule type="expression" dxfId="203" priority="64">
      <formula>$B9=1</formula>
    </cfRule>
  </conditionalFormatting>
  <conditionalFormatting sqref="AN9">
    <cfRule type="expression" dxfId="202" priority="61" stopIfTrue="1">
      <formula>AN9="No budget defined"</formula>
    </cfRule>
  </conditionalFormatting>
  <conditionalFormatting sqref="E10:F10 H10:Q10 T10:AE10 AG10 AN10">
    <cfRule type="expression" dxfId="201" priority="57">
      <formula>$B10=3</formula>
    </cfRule>
    <cfRule type="expression" dxfId="200" priority="58">
      <formula>$B10=2</formula>
    </cfRule>
    <cfRule type="expression" dxfId="199" priority="59">
      <formula>$B10=1</formula>
    </cfRule>
  </conditionalFormatting>
  <conditionalFormatting sqref="AN10">
    <cfRule type="expression" dxfId="198" priority="56" stopIfTrue="1">
      <formula>AN10="No budget defined"</formula>
    </cfRule>
  </conditionalFormatting>
  <conditionalFormatting sqref="E11:F11 H11:Q11 T11:AE11 AG11 AN11">
    <cfRule type="expression" dxfId="197" priority="52">
      <formula>$B11=3</formula>
    </cfRule>
    <cfRule type="expression" dxfId="196" priority="53">
      <formula>$B11=2</formula>
    </cfRule>
    <cfRule type="expression" dxfId="195" priority="54">
      <formula>$B11=1</formula>
    </cfRule>
  </conditionalFormatting>
  <conditionalFormatting sqref="AN11">
    <cfRule type="expression" dxfId="194" priority="51" stopIfTrue="1">
      <formula>AN11="No budget defined"</formula>
    </cfRule>
  </conditionalFormatting>
  <conditionalFormatting sqref="E12:F12 H12:Q12 T12:AE12 AG12 AN12">
    <cfRule type="expression" dxfId="193" priority="47">
      <formula>$B12=3</formula>
    </cfRule>
    <cfRule type="expression" dxfId="192" priority="48">
      <formula>$B12=2</formula>
    </cfRule>
    <cfRule type="expression" dxfId="191" priority="49">
      <formula>$B12=1</formula>
    </cfRule>
  </conditionalFormatting>
  <conditionalFormatting sqref="AN12">
    <cfRule type="expression" dxfId="190" priority="46" stopIfTrue="1">
      <formula>AN12="No budget defined"</formula>
    </cfRule>
  </conditionalFormatting>
  <conditionalFormatting sqref="E13:F13 H13:Q13 T13:AE13 AG13 AN13">
    <cfRule type="expression" dxfId="189" priority="42">
      <formula>$B13=3</formula>
    </cfRule>
    <cfRule type="expression" dxfId="188" priority="43">
      <formula>$B13=2</formula>
    </cfRule>
    <cfRule type="expression" dxfId="187" priority="44">
      <formula>$B13=1</formula>
    </cfRule>
  </conditionalFormatting>
  <conditionalFormatting sqref="AN13">
    <cfRule type="expression" dxfId="186" priority="41" stopIfTrue="1">
      <formula>AN13="No budget defined"</formula>
    </cfRule>
  </conditionalFormatting>
  <conditionalFormatting sqref="E14:F14 H14:Q14 T14:AE14 AG14 AN14">
    <cfRule type="expression" dxfId="185" priority="37">
      <formula>$B14=3</formula>
    </cfRule>
    <cfRule type="expression" dxfId="184" priority="38">
      <formula>$B14=2</formula>
    </cfRule>
    <cfRule type="expression" dxfId="183" priority="39">
      <formula>$B14=1</formula>
    </cfRule>
  </conditionalFormatting>
  <conditionalFormatting sqref="AN14">
    <cfRule type="expression" dxfId="182" priority="36" stopIfTrue="1">
      <formula>AN14="No budget defined"</formula>
    </cfRule>
  </conditionalFormatting>
  <conditionalFormatting sqref="E15:F15 H15:Q15 T15:AE15 AG15 AN15">
    <cfRule type="expression" dxfId="181" priority="32">
      <formula>$B15=3</formula>
    </cfRule>
    <cfRule type="expression" dxfId="180" priority="33">
      <formula>$B15=2</formula>
    </cfRule>
    <cfRule type="expression" dxfId="179" priority="34">
      <formula>$B15=1</formula>
    </cfRule>
  </conditionalFormatting>
  <conditionalFormatting sqref="AN15">
    <cfRule type="expression" dxfId="178" priority="31" stopIfTrue="1">
      <formula>AN15="No budget defined"</formula>
    </cfRule>
  </conditionalFormatting>
  <conditionalFormatting sqref="E16:F16 H16:Q16 T16:AE16 AG16 AN16">
    <cfRule type="expression" dxfId="177" priority="27">
      <formula>$B16=3</formula>
    </cfRule>
    <cfRule type="expression" dxfId="176" priority="28">
      <formula>$B16=2</formula>
    </cfRule>
    <cfRule type="expression" dxfId="175" priority="29">
      <formula>$B16=1</formula>
    </cfRule>
  </conditionalFormatting>
  <conditionalFormatting sqref="AN16">
    <cfRule type="expression" dxfId="174" priority="26" stopIfTrue="1">
      <formula>AN16="No budget defined"</formula>
    </cfRule>
  </conditionalFormatting>
  <conditionalFormatting sqref="E17:F17 H17:Q17 T17:AE17 AG17 AN17">
    <cfRule type="expression" dxfId="173" priority="22">
      <formula>$B17=3</formula>
    </cfRule>
    <cfRule type="expression" dxfId="172" priority="23">
      <formula>$B17=2</formula>
    </cfRule>
    <cfRule type="expression" dxfId="171" priority="24">
      <formula>$B17=1</formula>
    </cfRule>
  </conditionalFormatting>
  <conditionalFormatting sqref="AN17">
    <cfRule type="expression" dxfId="170" priority="21" stopIfTrue="1">
      <formula>AN17="No budget defined"</formula>
    </cfRule>
  </conditionalFormatting>
  <conditionalFormatting sqref="E18:F18 H18:Q18 T18:AE18 AG18 AN18">
    <cfRule type="expression" dxfId="169" priority="17">
      <formula>$B18=3</formula>
    </cfRule>
    <cfRule type="expression" dxfId="168" priority="18">
      <formula>$B18=2</formula>
    </cfRule>
    <cfRule type="expression" dxfId="167" priority="19">
      <formula>$B18=1</formula>
    </cfRule>
  </conditionalFormatting>
  <conditionalFormatting sqref="AN18">
    <cfRule type="expression" dxfId="166" priority="16" stopIfTrue="1">
      <formula>AN18="No budget defined"</formula>
    </cfRule>
  </conditionalFormatting>
  <conditionalFormatting sqref="E19:F19 H19:Q19 T19:AE19 AG19 AN19">
    <cfRule type="expression" dxfId="165" priority="12">
      <formula>$B19=3</formula>
    </cfRule>
    <cfRule type="expression" dxfId="164" priority="13">
      <formula>$B19=2</formula>
    </cfRule>
    <cfRule type="expression" dxfId="163" priority="14">
      <formula>$B19=1</formula>
    </cfRule>
  </conditionalFormatting>
  <conditionalFormatting sqref="AN19">
    <cfRule type="expression" dxfId="162" priority="11" stopIfTrue="1">
      <formula>AN19="No budget defined"</formula>
    </cfRule>
  </conditionalFormatting>
  <conditionalFormatting sqref="E20:F20 H20:Q20 T20:AE20 AG20 AN20">
    <cfRule type="expression" dxfId="161" priority="7">
      <formula>$B20=3</formula>
    </cfRule>
    <cfRule type="expression" dxfId="160" priority="8">
      <formula>$B20=2</formula>
    </cfRule>
    <cfRule type="expression" dxfId="159" priority="9">
      <formula>$B20=1</formula>
    </cfRule>
  </conditionalFormatting>
  <conditionalFormatting sqref="AN20">
    <cfRule type="expression" dxfId="158" priority="6" stopIfTrue="1">
      <formula>AN20="No budget defined"</formula>
    </cfRule>
  </conditionalFormatting>
  <conditionalFormatting sqref="E21:F21 H21:Q21 T21:AE21 AG21 AN21">
    <cfRule type="expression" dxfId="157" priority="2">
      <formula>$B21=3</formula>
    </cfRule>
    <cfRule type="expression" dxfId="156" priority="3">
      <formula>$B21=2</formula>
    </cfRule>
    <cfRule type="expression" dxfId="155" priority="4">
      <formula>$B21=1</formula>
    </cfRule>
  </conditionalFormatting>
  <conditionalFormatting sqref="AN21">
    <cfRule type="expression" dxfId="154" priority="1" stopIfTrue="1">
      <formula>AN21="No budget defined"</formula>
    </cfRule>
  </conditionalFormatting>
  <hyperlinks>
    <hyperlink ref="E5" location="'Proposal Budget'!AN5" display="'Proposal Budget'!AN5"/>
  </hyperlinks>
  <pageMargins left="0.70866141732283472" right="0.70866141732283472" top="0.74803149606299213" bottom="0.74803149606299213" header="0.31496062992125984" footer="0.31496062992125984"/>
  <pageSetup paperSize="9" scale="21" orientation="landscap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theme="4"/>
  </sheetPr>
  <dimension ref="A1:M19"/>
  <sheetViews>
    <sheetView showGridLines="0" topLeftCell="C5" workbookViewId="0">
      <selection activeCell="C5" sqref="C5"/>
    </sheetView>
  </sheetViews>
  <sheetFormatPr defaultRowHeight="15"/>
  <cols>
    <col min="1" max="1" width="3.28515625" style="45" hidden="1" customWidth="1"/>
    <col min="2" max="2" width="5.85546875" style="46" hidden="1" customWidth="1"/>
    <col min="3" max="3" width="59.85546875" bestFit="1" customWidth="1"/>
    <col min="4" max="4" width="26.85546875" bestFit="1" customWidth="1"/>
    <col min="5" max="5" width="19.42578125" style="124" bestFit="1" customWidth="1"/>
    <col min="6" max="13" width="19.42578125" bestFit="1" customWidth="1"/>
  </cols>
  <sheetData>
    <row r="1" spans="1:13" hidden="1">
      <c r="B1" s="46" t="e">
        <f t="shared" ref="B1" ca="1" si="0">IF(OFFSET(B1,-1,-1)="HE",1,IF(OFFSET(B1,0,-1)="TT",3,IF(OFFSET(B1,-1,0)=1,2,1)))</f>
        <v>#REF!</v>
      </c>
      <c r="C1" s="57" t="e">
        <f ca="1">IF(OFFSET(C1,0,-2)="TT","TOTAL",""&amp;INDIRECT("'Beneficiaries List'!B" &amp; MATCH(A1,'Beneficiaries List'!J:J,0),TRUE))</f>
        <v>#N/A</v>
      </c>
      <c r="D1" s="57" t="e">
        <f ca="1">IF(OFFSET(C1,0,-2)="TT","Consortium",""&amp;INDIRECT("'Beneficiaries List'!C" &amp; MATCH(A1,'Beneficiaries List'!J:J,0),TRUE))</f>
        <v>#N/A</v>
      </c>
      <c r="E1" s="124" t="str">
        <f ca="1">IF(StatusBudget=0,"No budget defined",IF(OFFSET(E1,ROW(E$4)-ROW(E1),0)="TT",SUM(INDIRECT(ADDRESS(ROW(E1),COLUMN($D1)+1)&amp;":"&amp;ADDRESS(ROW(E1),COLUMN(E1)-1),TRUE)),IF($A1="TT",SUM(INDIRECT(ADDRESS(MATCH("HE",$A:$A,0)+1,COLUMN(E1))&amp;":"&amp;ADDRESS(ROW(E1)-1,COLUMN(E1)),TRUE)),IF(ROUND(INDIRECT("EGR!"&amp;CELL("address",OFFSET(E1,0,EGR!$D$3-COLUMN(E1))),TRUE),2) * ROUND(OFFSET(INDIRECT("'Proposal Budget'!A1",TRUE),MATCH($A1,'Proposal Budget'!$A:$A,0)-1,COLUMN($AN1)-1),2)=0,0,ROUND(INDIRECT("EGR!"&amp;CELL("address",E1),TRUE),2) / ROUND(INDIRECT("EGR!"&amp;CELL("address",OFFSET(E1,0,EGR!$D$3-COLUMN(E1))),TRUE),2) * ROUND(OFFSET(INDIRECT("'Proposal Budget'!A1",TRUE),MATCH($A1,'Proposal Budget'!$A:$A,0)-1,COLUMN($AN1)-1),2)))))</f>
        <v>No budget defined</v>
      </c>
    </row>
    <row r="2" spans="1:13" ht="21" hidden="1">
      <c r="C2" s="46" t="s">
        <v>164</v>
      </c>
      <c r="D2" s="95">
        <v>999999999</v>
      </c>
      <c r="E2" s="384">
        <v>999999999.99000001</v>
      </c>
      <c r="F2" s="384">
        <v>999999999.99000001</v>
      </c>
      <c r="G2" s="384">
        <v>999999999.99000001</v>
      </c>
      <c r="H2" s="384">
        <v>999999999.99000001</v>
      </c>
      <c r="I2" s="384">
        <v>999999999.99000001</v>
      </c>
      <c r="J2" s="384">
        <v>999999999.99000001</v>
      </c>
      <c r="K2" s="384">
        <v>999999999.99000001</v>
      </c>
      <c r="L2" s="384">
        <v>999999999.99000001</v>
      </c>
      <c r="M2" s="384">
        <v>999999999.99000001</v>
      </c>
    </row>
    <row r="3" spans="1:13" hidden="1">
      <c r="B3" s="47" t="str">
        <f>ADDRESS(E3,COLUMN(C1))</f>
        <v>$C$7</v>
      </c>
      <c r="C3" s="48">
        <f>MATCH("TT",A:A,0)</f>
        <v>19</v>
      </c>
      <c r="D3" s="48">
        <f ca="1">MATCH("TT",4:4,0)</f>
        <v>13</v>
      </c>
      <c r="E3" s="149">
        <f>MATCH("HE",A:A,0)+1</f>
        <v>7</v>
      </c>
    </row>
    <row r="4" spans="1:13" hidden="1">
      <c r="C4" s="46" t="s">
        <v>165</v>
      </c>
      <c r="D4" s="112">
        <f ca="1">INDIRECT("'Proposal Budget'!AL" &amp; MATCH("TT",'Proposal Budget'!A:A,0),TRUE)</f>
        <v>0</v>
      </c>
      <c r="E4" s="148">
        <v>1</v>
      </c>
      <c r="F4">
        <v>2</v>
      </c>
      <c r="G4">
        <v>3</v>
      </c>
      <c r="H4">
        <v>4</v>
      </c>
      <c r="I4">
        <v>5</v>
      </c>
      <c r="J4">
        <v>6</v>
      </c>
      <c r="K4">
        <v>7</v>
      </c>
      <c r="L4">
        <v>8</v>
      </c>
      <c r="M4" t="s">
        <v>138</v>
      </c>
    </row>
    <row r="5" spans="1:13" ht="21">
      <c r="C5" s="61" t="s">
        <v>166</v>
      </c>
      <c r="D5" s="383" t="str">
        <f ca="1">MyRequetedEUContribution</f>
        <v>No budget defined</v>
      </c>
      <c r="E5" s="150" t="str">
        <f ca="1">IF(D5="N/A","","EUR")</f>
        <v>EUR</v>
      </c>
    </row>
    <row r="6" spans="1:13" ht="45">
      <c r="A6" s="45" t="s">
        <v>163</v>
      </c>
      <c r="B6" s="267" t="s">
        <v>32</v>
      </c>
      <c r="C6" s="92" t="s">
        <v>51</v>
      </c>
      <c r="D6" s="93" t="s">
        <v>53</v>
      </c>
      <c r="E6" s="151" t="str">
        <f ca="1">IF(OFFSET(E6,-2,0)="TT",IF($C4="O","Maximum
Grant
Amount",IF($C4="PM","Total
for project","")),INDIRECT("'Work Packages List'!A" &amp; MATCH(OFFSET(E6,-2,0),'Work Packages List'!$J:$J,0),TRUE) &amp; "
" &amp; INDIRECT("'Work Packages List'!B" &amp; MATCH(OFFSET(E6,-2,0),'Work Packages List'!$J:$J,0),TRUE))</f>
        <v xml:space="preserve">WP 001
</v>
      </c>
      <c r="F6" s="151" t="str">
        <f ca="1">IF(OFFSET(F6,-2,0)="TT",IF($C4="O","Maximum
Grant
Amount",IF($C4="PM","Total
for project","")),INDIRECT("'Work Packages List'!A" &amp; MATCH(OFFSET(F6,-2,0),'Work Packages List'!$J:$J,0),TRUE) &amp; "
" &amp; INDIRECT("'Work Packages List'!B" &amp; MATCH(OFFSET(F6,-2,0),'Work Packages List'!$J:$J,0),TRUE))</f>
        <v xml:space="preserve">WP 002
</v>
      </c>
      <c r="G6" s="151" t="str">
        <f ca="1">IF(OFFSET(G6,-2,0)="TT",IF($C4="O","Maximum
Grant
Amount",IF($C4="PM","Total
for project","")),INDIRECT("'Work Packages List'!A" &amp; MATCH(OFFSET(G6,-2,0),'Work Packages List'!$J:$J,0),TRUE) &amp; "
" &amp; INDIRECT("'Work Packages List'!B" &amp; MATCH(OFFSET(G6,-2,0),'Work Packages List'!$J:$J,0),TRUE))</f>
        <v xml:space="preserve">WP 003
</v>
      </c>
      <c r="H6" s="151" t="str">
        <f ca="1">IF(OFFSET(H6,-2,0)="TT",IF($C4="O","Maximum
Grant
Amount",IF($C4="PM","Total
for project","")),INDIRECT("'Work Packages List'!A" &amp; MATCH(OFFSET(H6,-2,0),'Work Packages List'!$J:$J,0),TRUE) &amp; "
" &amp; INDIRECT("'Work Packages List'!B" &amp; MATCH(OFFSET(H6,-2,0),'Work Packages List'!$J:$J,0),TRUE))</f>
        <v xml:space="preserve">WP 004
</v>
      </c>
      <c r="I6" s="151" t="str">
        <f ca="1">IF(OFFSET(I6,-2,0)="TT",IF($C4="O","Maximum
Grant
Amount",IF($C4="PM","Total
for project","")),INDIRECT("'Work Packages List'!A" &amp; MATCH(OFFSET(I6,-2,0),'Work Packages List'!$J:$J,0),TRUE) &amp; "
" &amp; INDIRECT("'Work Packages List'!B" &amp; MATCH(OFFSET(I6,-2,0),'Work Packages List'!$J:$J,0),TRUE))</f>
        <v xml:space="preserve">WP 005
</v>
      </c>
      <c r="J6" s="151" t="str">
        <f ca="1">IF(OFFSET(J6,-2,0)="TT",IF($C4="O","Maximum
Grant
Amount",IF($C4="PM","Total
for project","")),INDIRECT("'Work Packages List'!A" &amp; MATCH(OFFSET(J6,-2,0),'Work Packages List'!$J:$J,0),TRUE) &amp; "
" &amp; INDIRECT("'Work Packages List'!B" &amp; MATCH(OFFSET(J6,-2,0),'Work Packages List'!$J:$J,0),TRUE))</f>
        <v xml:space="preserve">WP 006
</v>
      </c>
      <c r="K6" s="151" t="str">
        <f ca="1">IF(OFFSET(K6,-2,0)="TT",IF($C4="O","Maximum
Grant
Amount",IF($C4="PM","Total
for project","")),INDIRECT("'Work Packages List'!A" &amp; MATCH(OFFSET(K6,-2,0),'Work Packages List'!$J:$J,0),TRUE) &amp; "
" &amp; INDIRECT("'Work Packages List'!B" &amp; MATCH(OFFSET(K6,-2,0),'Work Packages List'!$J:$J,0),TRUE))</f>
        <v xml:space="preserve">WP 007
</v>
      </c>
      <c r="L6" s="151" t="str">
        <f ca="1">IF(OFFSET(L6,-2,0)="TT",IF($C4="O","Maximum
Grant
Amount",IF($C4="PM","Total
for project","")),INDIRECT("'Work Packages List'!A" &amp; MATCH(OFFSET(L6,-2,0),'Work Packages List'!$J:$J,0),TRUE) &amp; "
" &amp; INDIRECT("'Work Packages List'!B" &amp; MATCH(OFFSET(L6,-2,0),'Work Packages List'!$J:$J,0),TRUE))</f>
        <v xml:space="preserve">WP 008
</v>
      </c>
      <c r="M6" s="151" t="str">
        <f ca="1">IF(OFFSET(M6,-2,0)="TT",IF($C4="O","Maximum
Grant
Amount",IF($C4="PM","Total
for project","")),INDIRECT("'Work Packages List'!A" &amp; MATCH(OFFSET(M6,-2,0),'Work Packages List'!$J:$J,0),TRUE) &amp; "
" &amp; INDIRECT("'Work Packages List'!B" &amp; MATCH(OFFSET(M6,-2,0),'Work Packages List'!$J:$J,0),TRUE))</f>
        <v>Maximum
Grant
Amount</v>
      </c>
    </row>
    <row r="7" spans="1:13">
      <c r="A7">
        <v>1</v>
      </c>
      <c r="B7" s="46">
        <f t="shared" ref="B7:B19" ca="1" si="1">IF(OFFSET(B7,-1,-1)="HE",1,IF(OFFSET(B7,0,-1)="TT",3,IF(OFFSET(B7,-1,0)=1,2,1)))</f>
        <v>1</v>
      </c>
      <c r="C7" s="57" t="str">
        <f ca="1">IF(OFFSET(C7,0,-2)="TT","TOTAL",""&amp;INDIRECT("'Beneficiaries List'!B" &amp; MATCH(A7,'Beneficiaries List'!J:J,0),TRUE))</f>
        <v/>
      </c>
      <c r="D7" s="57" t="str">
        <f ca="1">IF(OFFSET(C7,0,-2)="TT","Consortium",""&amp;INDIRECT("'Beneficiaries List'!C" &amp; MATCH(A7,'Beneficiaries List'!J:J,0),TRUE))</f>
        <v/>
      </c>
      <c r="E7" s="124" t="str">
        <f ca="1">IF(StatusBudget=0,"No budget defined",IF(OFFSET(E7,ROW(E$4)-ROW(E7),0)="TT",SUM(INDIRECT(ADDRESS(ROW(E7),COLUMN($D7)+1)&amp;":"&amp;ADDRESS(ROW(E7),COLUMN(E7)-1),TRUE)),IF($A7="TT",SUM(INDIRECT(ADDRESS(MATCH("HE",$A:$A,0)+1,COLUMN(E7))&amp;":"&amp;ADDRESS(ROW(E7)-1,COLUMN(E7)),TRUE)),IF(ROUND(INDIRECT("EGR!"&amp;CELL("address",OFFSET(E7,0,EGR!$D$3-COLUMN(E7))),TRUE),2) * ROUND(OFFSET(INDIRECT("'Proposal Budget'!A1",TRUE),MATCH($A7,'Proposal Budget'!$A:$A,0)-1,COLUMN($AN7)-1),2)=0,0,ROUND(INDIRECT("EGR!"&amp;CELL("address",E7),TRUE),2) / ROUND(INDIRECT("EGR!"&amp;CELL("address",OFFSET(E7,0,EGR!$D$3-COLUMN(E7))),TRUE),2) * ROUND(OFFSET(INDIRECT("'Proposal Budget'!A1",TRUE),MATCH($A7,'Proposal Budget'!$A:$A,0)-1,COLUMN($AN7)-1),2)))))</f>
        <v>No budget defined</v>
      </c>
      <c r="F7" s="124" t="str">
        <f ca="1">IF(StatusBudget=0,"No budget defined",IF(OFFSET(F7,ROW(F$4)-ROW(F7),0)="TT",SUM(INDIRECT(ADDRESS(ROW(F7),COLUMN($D7)+1)&amp;":"&amp;ADDRESS(ROW(F7),COLUMN(F7)-1),TRUE)),IF($A7="TT",SUM(INDIRECT(ADDRESS(MATCH("HE",$A:$A,0)+1,COLUMN(F7))&amp;":"&amp;ADDRESS(ROW(F7)-1,COLUMN(F7)),TRUE)),IF(ROUND(INDIRECT("EGR!"&amp;CELL("address",OFFSET(F7,0,EGR!$D$3-COLUMN(F7))),TRUE),2) * ROUND(OFFSET(INDIRECT("'Proposal Budget'!A1",TRUE),MATCH($A7,'Proposal Budget'!$A:$A,0)-1,COLUMN($AN7)-1),2)=0,0,ROUND(INDIRECT("EGR!"&amp;CELL("address",F7),TRUE),2) / ROUND(INDIRECT("EGR!"&amp;CELL("address",OFFSET(F7,0,EGR!$D$3-COLUMN(F7))),TRUE),2) * ROUND(OFFSET(INDIRECT("'Proposal Budget'!A1",TRUE),MATCH($A7,'Proposal Budget'!$A:$A,0)-1,COLUMN($AN7)-1),2)))))</f>
        <v>No budget defined</v>
      </c>
      <c r="G7" s="124" t="str">
        <f ca="1">IF(StatusBudget=0,"No budget defined",IF(OFFSET(G7,ROW(G$4)-ROW(G7),0)="TT",SUM(INDIRECT(ADDRESS(ROW(G7),COLUMN($D7)+1)&amp;":"&amp;ADDRESS(ROW(G7),COLUMN(G7)-1),TRUE)),IF($A7="TT",SUM(INDIRECT(ADDRESS(MATCH("HE",$A:$A,0)+1,COLUMN(G7))&amp;":"&amp;ADDRESS(ROW(G7)-1,COLUMN(G7)),TRUE)),IF(ROUND(INDIRECT("EGR!"&amp;CELL("address",OFFSET(G7,0,EGR!$D$3-COLUMN(G7))),TRUE),2) * ROUND(OFFSET(INDIRECT("'Proposal Budget'!A1",TRUE),MATCH($A7,'Proposal Budget'!$A:$A,0)-1,COLUMN($AN7)-1),2)=0,0,ROUND(INDIRECT("EGR!"&amp;CELL("address",G7),TRUE),2) / ROUND(INDIRECT("EGR!"&amp;CELL("address",OFFSET(G7,0,EGR!$D$3-COLUMN(G7))),TRUE),2) * ROUND(OFFSET(INDIRECT("'Proposal Budget'!A1",TRUE),MATCH($A7,'Proposal Budget'!$A:$A,0)-1,COLUMN($AN7)-1),2)))))</f>
        <v>No budget defined</v>
      </c>
      <c r="H7" s="124" t="str">
        <f ca="1">IF(StatusBudget=0,"No budget defined",IF(OFFSET(H7,ROW(H$4)-ROW(H7),0)="TT",SUM(INDIRECT(ADDRESS(ROW(H7),COLUMN($D7)+1)&amp;":"&amp;ADDRESS(ROW(H7),COLUMN(H7)-1),TRUE)),IF($A7="TT",SUM(INDIRECT(ADDRESS(MATCH("HE",$A:$A,0)+1,COLUMN(H7))&amp;":"&amp;ADDRESS(ROW(H7)-1,COLUMN(H7)),TRUE)),IF(ROUND(INDIRECT("EGR!"&amp;CELL("address",OFFSET(H7,0,EGR!$D$3-COLUMN(H7))),TRUE),2) * ROUND(OFFSET(INDIRECT("'Proposal Budget'!A1",TRUE),MATCH($A7,'Proposal Budget'!$A:$A,0)-1,COLUMN($AN7)-1),2)=0,0,ROUND(INDIRECT("EGR!"&amp;CELL("address",H7),TRUE),2) / ROUND(INDIRECT("EGR!"&amp;CELL("address",OFFSET(H7,0,EGR!$D$3-COLUMN(H7))),TRUE),2) * ROUND(OFFSET(INDIRECT("'Proposal Budget'!A1",TRUE),MATCH($A7,'Proposal Budget'!$A:$A,0)-1,COLUMN($AN7)-1),2)))))</f>
        <v>No budget defined</v>
      </c>
      <c r="I7" s="124" t="str">
        <f ca="1">IF(StatusBudget=0,"No budget defined",IF(OFFSET(I7,ROW(I$4)-ROW(I7),0)="TT",SUM(INDIRECT(ADDRESS(ROW(I7),COLUMN($D7)+1)&amp;":"&amp;ADDRESS(ROW(I7),COLUMN(I7)-1),TRUE)),IF($A7="TT",SUM(INDIRECT(ADDRESS(MATCH("HE",$A:$A,0)+1,COLUMN(I7))&amp;":"&amp;ADDRESS(ROW(I7)-1,COLUMN(I7)),TRUE)),IF(ROUND(INDIRECT("EGR!"&amp;CELL("address",OFFSET(I7,0,EGR!$D$3-COLUMN(I7))),TRUE),2) * ROUND(OFFSET(INDIRECT("'Proposal Budget'!A1",TRUE),MATCH($A7,'Proposal Budget'!$A:$A,0)-1,COLUMN($AN7)-1),2)=0,0,ROUND(INDIRECT("EGR!"&amp;CELL("address",I7),TRUE),2) / ROUND(INDIRECT("EGR!"&amp;CELL("address",OFFSET(I7,0,EGR!$D$3-COLUMN(I7))),TRUE),2) * ROUND(OFFSET(INDIRECT("'Proposal Budget'!A1",TRUE),MATCH($A7,'Proposal Budget'!$A:$A,0)-1,COLUMN($AN7)-1),2)))))</f>
        <v>No budget defined</v>
      </c>
      <c r="J7" s="124" t="str">
        <f ca="1">IF(StatusBudget=0,"No budget defined",IF(OFFSET(J7,ROW(J$4)-ROW(J7),0)="TT",SUM(INDIRECT(ADDRESS(ROW(J7),COLUMN($D7)+1)&amp;":"&amp;ADDRESS(ROW(J7),COLUMN(J7)-1),TRUE)),IF($A7="TT",SUM(INDIRECT(ADDRESS(MATCH("HE",$A:$A,0)+1,COLUMN(J7))&amp;":"&amp;ADDRESS(ROW(J7)-1,COLUMN(J7)),TRUE)),IF(ROUND(INDIRECT("EGR!"&amp;CELL("address",OFFSET(J7,0,EGR!$D$3-COLUMN(J7))),TRUE),2) * ROUND(OFFSET(INDIRECT("'Proposal Budget'!A1",TRUE),MATCH($A7,'Proposal Budget'!$A:$A,0)-1,COLUMN($AN7)-1),2)=0,0,ROUND(INDIRECT("EGR!"&amp;CELL("address",J7),TRUE),2) / ROUND(INDIRECT("EGR!"&amp;CELL("address",OFFSET(J7,0,EGR!$D$3-COLUMN(J7))),TRUE),2) * ROUND(OFFSET(INDIRECT("'Proposal Budget'!A1",TRUE),MATCH($A7,'Proposal Budget'!$A:$A,0)-1,COLUMN($AN7)-1),2)))))</f>
        <v>No budget defined</v>
      </c>
      <c r="K7" s="124" t="str">
        <f ca="1">IF(StatusBudget=0,"No budget defined",IF(OFFSET(K7,ROW(K$4)-ROW(K7),0)="TT",SUM(INDIRECT(ADDRESS(ROW(K7),COLUMN($D7)+1)&amp;":"&amp;ADDRESS(ROW(K7),COLUMN(K7)-1),TRUE)),IF($A7="TT",SUM(INDIRECT(ADDRESS(MATCH("HE",$A:$A,0)+1,COLUMN(K7))&amp;":"&amp;ADDRESS(ROW(K7)-1,COLUMN(K7)),TRUE)),IF(ROUND(INDIRECT("EGR!"&amp;CELL("address",OFFSET(K7,0,EGR!$D$3-COLUMN(K7))),TRUE),2) * ROUND(OFFSET(INDIRECT("'Proposal Budget'!A1",TRUE),MATCH($A7,'Proposal Budget'!$A:$A,0)-1,COLUMN($AN7)-1),2)=0,0,ROUND(INDIRECT("EGR!"&amp;CELL("address",K7),TRUE),2) / ROUND(INDIRECT("EGR!"&amp;CELL("address",OFFSET(K7,0,EGR!$D$3-COLUMN(K7))),TRUE),2) * ROUND(OFFSET(INDIRECT("'Proposal Budget'!A1",TRUE),MATCH($A7,'Proposal Budget'!$A:$A,0)-1,COLUMN($AN7)-1),2)))))</f>
        <v>No budget defined</v>
      </c>
      <c r="L7" s="124" t="str">
        <f ca="1">IF(StatusBudget=0,"No budget defined",IF(OFFSET(L7,ROW(L$4)-ROW(L7),0)="TT",SUM(INDIRECT(ADDRESS(ROW(L7),COLUMN($D7)+1)&amp;":"&amp;ADDRESS(ROW(L7),COLUMN(L7)-1),TRUE)),IF($A7="TT",SUM(INDIRECT(ADDRESS(MATCH("HE",$A:$A,0)+1,COLUMN(L7))&amp;":"&amp;ADDRESS(ROW(L7)-1,COLUMN(L7)),TRUE)),IF(ROUND(INDIRECT("EGR!"&amp;CELL("address",OFFSET(L7,0,EGR!$D$3-COLUMN(L7))),TRUE),2) * ROUND(OFFSET(INDIRECT("'Proposal Budget'!A1",TRUE),MATCH($A7,'Proposal Budget'!$A:$A,0)-1,COLUMN($AN7)-1),2)=0,0,ROUND(INDIRECT("EGR!"&amp;CELL("address",L7),TRUE),2) / ROUND(INDIRECT("EGR!"&amp;CELL("address",OFFSET(L7,0,EGR!$D$3-COLUMN(L7))),TRUE),2) * ROUND(OFFSET(INDIRECT("'Proposal Budget'!A1",TRUE),MATCH($A7,'Proposal Budget'!$A:$A,0)-1,COLUMN($AN7)-1),2)))))</f>
        <v>No budget defined</v>
      </c>
      <c r="M7" s="124" t="str">
        <f ca="1">IF(StatusBudget=0,"No budget defined",IF(OFFSET(M7,ROW(M$4)-ROW(M7),0)="TT",SUM(INDIRECT(ADDRESS(ROW(M7),COLUMN($D7)+1)&amp;":"&amp;ADDRESS(ROW(M7),COLUMN(M7)-1),TRUE)),IF($A7="TT",SUM(INDIRECT(ADDRESS(MATCH("HE",$A:$A,0)+1,COLUMN(M7))&amp;":"&amp;ADDRESS(ROW(M7)-1,COLUMN(M7)),TRUE)),IF(ROUND(INDIRECT("EGR!"&amp;CELL("address",OFFSET(M7,0,EGR!$D$3-COLUMN(M7))),TRUE),2) * ROUND(OFFSET(INDIRECT("'Proposal Budget'!A1",TRUE),MATCH($A7,'Proposal Budget'!$A:$A,0)-1,COLUMN($AN7)-1),2)=0,0,ROUND(INDIRECT("EGR!"&amp;CELL("address",M7),TRUE),2) / ROUND(INDIRECT("EGR!"&amp;CELL("address",OFFSET(M7,0,EGR!$D$3-COLUMN(M7))),TRUE),2) * ROUND(OFFSET(INDIRECT("'Proposal Budget'!A1",TRUE),MATCH($A7,'Proposal Budget'!$A:$A,0)-1,COLUMN($AN7)-1),2)))))</f>
        <v>No budget defined</v>
      </c>
    </row>
    <row r="8" spans="1:13">
      <c r="A8">
        <v>2</v>
      </c>
      <c r="B8" s="46">
        <f t="shared" ca="1" si="1"/>
        <v>2</v>
      </c>
      <c r="C8" s="57" t="str">
        <f ca="1">IF(OFFSET(C8,0,-2)="TT","TOTAL",""&amp;INDIRECT("'Beneficiaries List'!B" &amp; MATCH(A8,'Beneficiaries List'!J:J,0),TRUE))</f>
        <v/>
      </c>
      <c r="D8" s="57" t="str">
        <f ca="1">IF(OFFSET(C8,0,-2)="TT","Consortium",""&amp;INDIRECT("'Beneficiaries List'!C" &amp; MATCH(A8,'Beneficiaries List'!J:J,0),TRUE))</f>
        <v/>
      </c>
      <c r="E8" s="124" t="str">
        <f ca="1">IF(StatusBudget=0,"No budget defined",IF(OFFSET(E8,ROW(E$4)-ROW(E8),0)="TT",SUM(INDIRECT(ADDRESS(ROW(E8),COLUMN($D8)+1)&amp;":"&amp;ADDRESS(ROW(E8),COLUMN(E8)-1),TRUE)),IF($A8="TT",SUM(INDIRECT(ADDRESS(MATCH("HE",$A:$A,0)+1,COLUMN(E8))&amp;":"&amp;ADDRESS(ROW(E8)-1,COLUMN(E8)),TRUE)),IF(ROUND(INDIRECT("EGR!"&amp;CELL("address",OFFSET(E8,0,EGR!$D$3-COLUMN(E8))),TRUE),2) * ROUND(OFFSET(INDIRECT("'Proposal Budget'!A1",TRUE),MATCH($A8,'Proposal Budget'!$A:$A,0)-1,COLUMN($AN8)-1),2)=0,0,ROUND(INDIRECT("EGR!"&amp;CELL("address",E8),TRUE),2) / ROUND(INDIRECT("EGR!"&amp;CELL("address",OFFSET(E8,0,EGR!$D$3-COLUMN(E8))),TRUE),2) * ROUND(OFFSET(INDIRECT("'Proposal Budget'!A1",TRUE),MATCH($A8,'Proposal Budget'!$A:$A,0)-1,COLUMN($AN8)-1),2)))))</f>
        <v>No budget defined</v>
      </c>
      <c r="F8" s="124" t="str">
        <f ca="1">IF(StatusBudget=0,"No budget defined",IF(OFFSET(F8,ROW(F$4)-ROW(F8),0)="TT",SUM(INDIRECT(ADDRESS(ROW(F8),COLUMN($D8)+1)&amp;":"&amp;ADDRESS(ROW(F8),COLUMN(F8)-1),TRUE)),IF($A8="TT",SUM(INDIRECT(ADDRESS(MATCH("HE",$A:$A,0)+1,COLUMN(F8))&amp;":"&amp;ADDRESS(ROW(F8)-1,COLUMN(F8)),TRUE)),IF(ROUND(INDIRECT("EGR!"&amp;CELL("address",OFFSET(F8,0,EGR!$D$3-COLUMN(F8))),TRUE),2) * ROUND(OFFSET(INDIRECT("'Proposal Budget'!A1",TRUE),MATCH($A8,'Proposal Budget'!$A:$A,0)-1,COLUMN($AN8)-1),2)=0,0,ROUND(INDIRECT("EGR!"&amp;CELL("address",F8),TRUE),2) / ROUND(INDIRECT("EGR!"&amp;CELL("address",OFFSET(F8,0,EGR!$D$3-COLUMN(F8))),TRUE),2) * ROUND(OFFSET(INDIRECT("'Proposal Budget'!A1",TRUE),MATCH($A8,'Proposal Budget'!$A:$A,0)-1,COLUMN($AN8)-1),2)))))</f>
        <v>No budget defined</v>
      </c>
      <c r="G8" s="124" t="str">
        <f ca="1">IF(StatusBudget=0,"No budget defined",IF(OFFSET(G8,ROW(G$4)-ROW(G8),0)="TT",SUM(INDIRECT(ADDRESS(ROW(G8),COLUMN($D8)+1)&amp;":"&amp;ADDRESS(ROW(G8),COLUMN(G8)-1),TRUE)),IF($A8="TT",SUM(INDIRECT(ADDRESS(MATCH("HE",$A:$A,0)+1,COLUMN(G8))&amp;":"&amp;ADDRESS(ROW(G8)-1,COLUMN(G8)),TRUE)),IF(ROUND(INDIRECT("EGR!"&amp;CELL("address",OFFSET(G8,0,EGR!$D$3-COLUMN(G8))),TRUE),2) * ROUND(OFFSET(INDIRECT("'Proposal Budget'!A1",TRUE),MATCH($A8,'Proposal Budget'!$A:$A,0)-1,COLUMN($AN8)-1),2)=0,0,ROUND(INDIRECT("EGR!"&amp;CELL("address",G8),TRUE),2) / ROUND(INDIRECT("EGR!"&amp;CELL("address",OFFSET(G8,0,EGR!$D$3-COLUMN(G8))),TRUE),2) * ROUND(OFFSET(INDIRECT("'Proposal Budget'!A1",TRUE),MATCH($A8,'Proposal Budget'!$A:$A,0)-1,COLUMN($AN8)-1),2)))))</f>
        <v>No budget defined</v>
      </c>
      <c r="H8" s="124" t="str">
        <f ca="1">IF(StatusBudget=0,"No budget defined",IF(OFFSET(H8,ROW(H$4)-ROW(H8),0)="TT",SUM(INDIRECT(ADDRESS(ROW(H8),COLUMN($D8)+1)&amp;":"&amp;ADDRESS(ROW(H8),COLUMN(H8)-1),TRUE)),IF($A8="TT",SUM(INDIRECT(ADDRESS(MATCH("HE",$A:$A,0)+1,COLUMN(H8))&amp;":"&amp;ADDRESS(ROW(H8)-1,COLUMN(H8)),TRUE)),IF(ROUND(INDIRECT("EGR!"&amp;CELL("address",OFFSET(H8,0,EGR!$D$3-COLUMN(H8))),TRUE),2) * ROUND(OFFSET(INDIRECT("'Proposal Budget'!A1",TRUE),MATCH($A8,'Proposal Budget'!$A:$A,0)-1,COLUMN($AN8)-1),2)=0,0,ROUND(INDIRECT("EGR!"&amp;CELL("address",H8),TRUE),2) / ROUND(INDIRECT("EGR!"&amp;CELL("address",OFFSET(H8,0,EGR!$D$3-COLUMN(H8))),TRUE),2) * ROUND(OFFSET(INDIRECT("'Proposal Budget'!A1",TRUE),MATCH($A8,'Proposal Budget'!$A:$A,0)-1,COLUMN($AN8)-1),2)))))</f>
        <v>No budget defined</v>
      </c>
      <c r="I8" s="124" t="str">
        <f ca="1">IF(StatusBudget=0,"No budget defined",IF(OFFSET(I8,ROW(I$4)-ROW(I8),0)="TT",SUM(INDIRECT(ADDRESS(ROW(I8),COLUMN($D8)+1)&amp;":"&amp;ADDRESS(ROW(I8),COLUMN(I8)-1),TRUE)),IF($A8="TT",SUM(INDIRECT(ADDRESS(MATCH("HE",$A:$A,0)+1,COLUMN(I8))&amp;":"&amp;ADDRESS(ROW(I8)-1,COLUMN(I8)),TRUE)),IF(ROUND(INDIRECT("EGR!"&amp;CELL("address",OFFSET(I8,0,EGR!$D$3-COLUMN(I8))),TRUE),2) * ROUND(OFFSET(INDIRECT("'Proposal Budget'!A1",TRUE),MATCH($A8,'Proposal Budget'!$A:$A,0)-1,COLUMN($AN8)-1),2)=0,0,ROUND(INDIRECT("EGR!"&amp;CELL("address",I8),TRUE),2) / ROUND(INDIRECT("EGR!"&amp;CELL("address",OFFSET(I8,0,EGR!$D$3-COLUMN(I8))),TRUE),2) * ROUND(OFFSET(INDIRECT("'Proposal Budget'!A1",TRUE),MATCH($A8,'Proposal Budget'!$A:$A,0)-1,COLUMN($AN8)-1),2)))))</f>
        <v>No budget defined</v>
      </c>
      <c r="J8" s="124" t="str">
        <f ca="1">IF(StatusBudget=0,"No budget defined",IF(OFFSET(J8,ROW(J$4)-ROW(J8),0)="TT",SUM(INDIRECT(ADDRESS(ROW(J8),COLUMN($D8)+1)&amp;":"&amp;ADDRESS(ROW(J8),COLUMN(J8)-1),TRUE)),IF($A8="TT",SUM(INDIRECT(ADDRESS(MATCH("HE",$A:$A,0)+1,COLUMN(J8))&amp;":"&amp;ADDRESS(ROW(J8)-1,COLUMN(J8)),TRUE)),IF(ROUND(INDIRECT("EGR!"&amp;CELL("address",OFFSET(J8,0,EGR!$D$3-COLUMN(J8))),TRUE),2) * ROUND(OFFSET(INDIRECT("'Proposal Budget'!A1",TRUE),MATCH($A8,'Proposal Budget'!$A:$A,0)-1,COLUMN($AN8)-1),2)=0,0,ROUND(INDIRECT("EGR!"&amp;CELL("address",J8),TRUE),2) / ROUND(INDIRECT("EGR!"&amp;CELL("address",OFFSET(J8,0,EGR!$D$3-COLUMN(J8))),TRUE),2) * ROUND(OFFSET(INDIRECT("'Proposal Budget'!A1",TRUE),MATCH($A8,'Proposal Budget'!$A:$A,0)-1,COLUMN($AN8)-1),2)))))</f>
        <v>No budget defined</v>
      </c>
      <c r="K8" s="124" t="str">
        <f ca="1">IF(StatusBudget=0,"No budget defined",IF(OFFSET(K8,ROW(K$4)-ROW(K8),0)="TT",SUM(INDIRECT(ADDRESS(ROW(K8),COLUMN($D8)+1)&amp;":"&amp;ADDRESS(ROW(K8),COLUMN(K8)-1),TRUE)),IF($A8="TT",SUM(INDIRECT(ADDRESS(MATCH("HE",$A:$A,0)+1,COLUMN(K8))&amp;":"&amp;ADDRESS(ROW(K8)-1,COLUMN(K8)),TRUE)),IF(ROUND(INDIRECT("EGR!"&amp;CELL("address",OFFSET(K8,0,EGR!$D$3-COLUMN(K8))),TRUE),2) * ROUND(OFFSET(INDIRECT("'Proposal Budget'!A1",TRUE),MATCH($A8,'Proposal Budget'!$A:$A,0)-1,COLUMN($AN8)-1),2)=0,0,ROUND(INDIRECT("EGR!"&amp;CELL("address",K8),TRUE),2) / ROUND(INDIRECT("EGR!"&amp;CELL("address",OFFSET(K8,0,EGR!$D$3-COLUMN(K8))),TRUE),2) * ROUND(OFFSET(INDIRECT("'Proposal Budget'!A1",TRUE),MATCH($A8,'Proposal Budget'!$A:$A,0)-1,COLUMN($AN8)-1),2)))))</f>
        <v>No budget defined</v>
      </c>
      <c r="L8" s="124" t="str">
        <f ca="1">IF(StatusBudget=0,"No budget defined",IF(OFFSET(L8,ROW(L$4)-ROW(L8),0)="TT",SUM(INDIRECT(ADDRESS(ROW(L8),COLUMN($D8)+1)&amp;":"&amp;ADDRESS(ROW(L8),COLUMN(L8)-1),TRUE)),IF($A8="TT",SUM(INDIRECT(ADDRESS(MATCH("HE",$A:$A,0)+1,COLUMN(L8))&amp;":"&amp;ADDRESS(ROW(L8)-1,COLUMN(L8)),TRUE)),IF(ROUND(INDIRECT("EGR!"&amp;CELL("address",OFFSET(L8,0,EGR!$D$3-COLUMN(L8))),TRUE),2) * ROUND(OFFSET(INDIRECT("'Proposal Budget'!A1",TRUE),MATCH($A8,'Proposal Budget'!$A:$A,0)-1,COLUMN($AN8)-1),2)=0,0,ROUND(INDIRECT("EGR!"&amp;CELL("address",L8),TRUE),2) / ROUND(INDIRECT("EGR!"&amp;CELL("address",OFFSET(L8,0,EGR!$D$3-COLUMN(L8))),TRUE),2) * ROUND(OFFSET(INDIRECT("'Proposal Budget'!A1",TRUE),MATCH($A8,'Proposal Budget'!$A:$A,0)-1,COLUMN($AN8)-1),2)))))</f>
        <v>No budget defined</v>
      </c>
      <c r="M8" s="124" t="str">
        <f ca="1">IF(StatusBudget=0,"No budget defined",IF(OFFSET(M8,ROW(M$4)-ROW(M8),0)="TT",SUM(INDIRECT(ADDRESS(ROW(M8),COLUMN($D8)+1)&amp;":"&amp;ADDRESS(ROW(M8),COLUMN(M8)-1),TRUE)),IF($A8="TT",SUM(INDIRECT(ADDRESS(MATCH("HE",$A:$A,0)+1,COLUMN(M8))&amp;":"&amp;ADDRESS(ROW(M8)-1,COLUMN(M8)),TRUE)),IF(ROUND(INDIRECT("EGR!"&amp;CELL("address",OFFSET(M8,0,EGR!$D$3-COLUMN(M8))),TRUE),2) * ROUND(OFFSET(INDIRECT("'Proposal Budget'!A1",TRUE),MATCH($A8,'Proposal Budget'!$A:$A,0)-1,COLUMN($AN8)-1),2)=0,0,ROUND(INDIRECT("EGR!"&amp;CELL("address",M8),TRUE),2) / ROUND(INDIRECT("EGR!"&amp;CELL("address",OFFSET(M8,0,EGR!$D$3-COLUMN(M8))),TRUE),2) * ROUND(OFFSET(INDIRECT("'Proposal Budget'!A1",TRUE),MATCH($A8,'Proposal Budget'!$A:$A,0)-1,COLUMN($AN8)-1),2)))))</f>
        <v>No budget defined</v>
      </c>
    </row>
    <row r="9" spans="1:13">
      <c r="A9">
        <v>3</v>
      </c>
      <c r="B9" s="46">
        <f t="shared" ca="1" si="1"/>
        <v>1</v>
      </c>
      <c r="C9" s="57" t="str">
        <f ca="1">IF(OFFSET(C9,0,-2)="TT","TOTAL",""&amp;INDIRECT("'Beneficiaries List'!B" &amp; MATCH(A9,'Beneficiaries List'!J:J,0),TRUE))</f>
        <v/>
      </c>
      <c r="D9" s="57" t="str">
        <f ca="1">IF(OFFSET(C9,0,-2)="TT","Consortium",""&amp;INDIRECT("'Beneficiaries List'!C" &amp; MATCH(A9,'Beneficiaries List'!J:J,0),TRUE))</f>
        <v/>
      </c>
      <c r="E9" s="124" t="str">
        <f ca="1">IF(StatusBudget=0,"No budget defined",IF(OFFSET(E9,ROW(E$4)-ROW(E9),0)="TT",SUM(INDIRECT(ADDRESS(ROW(E9),COLUMN($D9)+1)&amp;":"&amp;ADDRESS(ROW(E9),COLUMN(E9)-1),TRUE)),IF($A9="TT",SUM(INDIRECT(ADDRESS(MATCH("HE",$A:$A,0)+1,COLUMN(E9))&amp;":"&amp;ADDRESS(ROW(E9)-1,COLUMN(E9)),TRUE)),IF(ROUND(INDIRECT("EGR!"&amp;CELL("address",OFFSET(E9,0,EGR!$D$3-COLUMN(E9))),TRUE),2) * ROUND(OFFSET(INDIRECT("'Proposal Budget'!A1",TRUE),MATCH($A9,'Proposal Budget'!$A:$A,0)-1,COLUMN($AN9)-1),2)=0,0,ROUND(INDIRECT("EGR!"&amp;CELL("address",E9),TRUE),2) / ROUND(INDIRECT("EGR!"&amp;CELL("address",OFFSET(E9,0,EGR!$D$3-COLUMN(E9))),TRUE),2) * ROUND(OFFSET(INDIRECT("'Proposal Budget'!A1",TRUE),MATCH($A9,'Proposal Budget'!$A:$A,0)-1,COLUMN($AN9)-1),2)))))</f>
        <v>No budget defined</v>
      </c>
      <c r="F9" s="124" t="str">
        <f ca="1">IF(StatusBudget=0,"No budget defined",IF(OFFSET(F9,ROW(F$4)-ROW(F9),0)="TT",SUM(INDIRECT(ADDRESS(ROW(F9),COLUMN($D9)+1)&amp;":"&amp;ADDRESS(ROW(F9),COLUMN(F9)-1),TRUE)),IF($A9="TT",SUM(INDIRECT(ADDRESS(MATCH("HE",$A:$A,0)+1,COLUMN(F9))&amp;":"&amp;ADDRESS(ROW(F9)-1,COLUMN(F9)),TRUE)),IF(ROUND(INDIRECT("EGR!"&amp;CELL("address",OFFSET(F9,0,EGR!$D$3-COLUMN(F9))),TRUE),2) * ROUND(OFFSET(INDIRECT("'Proposal Budget'!A1",TRUE),MATCH($A9,'Proposal Budget'!$A:$A,0)-1,COLUMN($AN9)-1),2)=0,0,ROUND(INDIRECT("EGR!"&amp;CELL("address",F9),TRUE),2) / ROUND(INDIRECT("EGR!"&amp;CELL("address",OFFSET(F9,0,EGR!$D$3-COLUMN(F9))),TRUE),2) * ROUND(OFFSET(INDIRECT("'Proposal Budget'!A1",TRUE),MATCH($A9,'Proposal Budget'!$A:$A,0)-1,COLUMN($AN9)-1),2)))))</f>
        <v>No budget defined</v>
      </c>
      <c r="G9" s="124" t="str">
        <f ca="1">IF(StatusBudget=0,"No budget defined",IF(OFFSET(G9,ROW(G$4)-ROW(G9),0)="TT",SUM(INDIRECT(ADDRESS(ROW(G9),COLUMN($D9)+1)&amp;":"&amp;ADDRESS(ROW(G9),COLUMN(G9)-1),TRUE)),IF($A9="TT",SUM(INDIRECT(ADDRESS(MATCH("HE",$A:$A,0)+1,COLUMN(G9))&amp;":"&amp;ADDRESS(ROW(G9)-1,COLUMN(G9)),TRUE)),IF(ROUND(INDIRECT("EGR!"&amp;CELL("address",OFFSET(G9,0,EGR!$D$3-COLUMN(G9))),TRUE),2) * ROUND(OFFSET(INDIRECT("'Proposal Budget'!A1",TRUE),MATCH($A9,'Proposal Budget'!$A:$A,0)-1,COLUMN($AN9)-1),2)=0,0,ROUND(INDIRECT("EGR!"&amp;CELL("address",G9),TRUE),2) / ROUND(INDIRECT("EGR!"&amp;CELL("address",OFFSET(G9,0,EGR!$D$3-COLUMN(G9))),TRUE),2) * ROUND(OFFSET(INDIRECT("'Proposal Budget'!A1",TRUE),MATCH($A9,'Proposal Budget'!$A:$A,0)-1,COLUMN($AN9)-1),2)))))</f>
        <v>No budget defined</v>
      </c>
      <c r="H9" s="124" t="str">
        <f ca="1">IF(StatusBudget=0,"No budget defined",IF(OFFSET(H9,ROW(H$4)-ROW(H9),0)="TT",SUM(INDIRECT(ADDRESS(ROW(H9),COLUMN($D9)+1)&amp;":"&amp;ADDRESS(ROW(H9),COLUMN(H9)-1),TRUE)),IF($A9="TT",SUM(INDIRECT(ADDRESS(MATCH("HE",$A:$A,0)+1,COLUMN(H9))&amp;":"&amp;ADDRESS(ROW(H9)-1,COLUMN(H9)),TRUE)),IF(ROUND(INDIRECT("EGR!"&amp;CELL("address",OFFSET(H9,0,EGR!$D$3-COLUMN(H9))),TRUE),2) * ROUND(OFFSET(INDIRECT("'Proposal Budget'!A1",TRUE),MATCH($A9,'Proposal Budget'!$A:$A,0)-1,COLUMN($AN9)-1),2)=0,0,ROUND(INDIRECT("EGR!"&amp;CELL("address",H9),TRUE),2) / ROUND(INDIRECT("EGR!"&amp;CELL("address",OFFSET(H9,0,EGR!$D$3-COLUMN(H9))),TRUE),2) * ROUND(OFFSET(INDIRECT("'Proposal Budget'!A1",TRUE),MATCH($A9,'Proposal Budget'!$A:$A,0)-1,COLUMN($AN9)-1),2)))))</f>
        <v>No budget defined</v>
      </c>
      <c r="I9" s="124" t="str">
        <f ca="1">IF(StatusBudget=0,"No budget defined",IF(OFFSET(I9,ROW(I$4)-ROW(I9),0)="TT",SUM(INDIRECT(ADDRESS(ROW(I9),COLUMN($D9)+1)&amp;":"&amp;ADDRESS(ROW(I9),COLUMN(I9)-1),TRUE)),IF($A9="TT",SUM(INDIRECT(ADDRESS(MATCH("HE",$A:$A,0)+1,COLUMN(I9))&amp;":"&amp;ADDRESS(ROW(I9)-1,COLUMN(I9)),TRUE)),IF(ROUND(INDIRECT("EGR!"&amp;CELL("address",OFFSET(I9,0,EGR!$D$3-COLUMN(I9))),TRUE),2) * ROUND(OFFSET(INDIRECT("'Proposal Budget'!A1",TRUE),MATCH($A9,'Proposal Budget'!$A:$A,0)-1,COLUMN($AN9)-1),2)=0,0,ROUND(INDIRECT("EGR!"&amp;CELL("address",I9),TRUE),2) / ROUND(INDIRECT("EGR!"&amp;CELL("address",OFFSET(I9,0,EGR!$D$3-COLUMN(I9))),TRUE),2) * ROUND(OFFSET(INDIRECT("'Proposal Budget'!A1",TRUE),MATCH($A9,'Proposal Budget'!$A:$A,0)-1,COLUMN($AN9)-1),2)))))</f>
        <v>No budget defined</v>
      </c>
      <c r="J9" s="124" t="str">
        <f ca="1">IF(StatusBudget=0,"No budget defined",IF(OFFSET(J9,ROW(J$4)-ROW(J9),0)="TT",SUM(INDIRECT(ADDRESS(ROW(J9),COLUMN($D9)+1)&amp;":"&amp;ADDRESS(ROW(J9),COLUMN(J9)-1),TRUE)),IF($A9="TT",SUM(INDIRECT(ADDRESS(MATCH("HE",$A:$A,0)+1,COLUMN(J9))&amp;":"&amp;ADDRESS(ROW(J9)-1,COLUMN(J9)),TRUE)),IF(ROUND(INDIRECT("EGR!"&amp;CELL("address",OFFSET(J9,0,EGR!$D$3-COLUMN(J9))),TRUE),2) * ROUND(OFFSET(INDIRECT("'Proposal Budget'!A1",TRUE),MATCH($A9,'Proposal Budget'!$A:$A,0)-1,COLUMN($AN9)-1),2)=0,0,ROUND(INDIRECT("EGR!"&amp;CELL("address",J9),TRUE),2) / ROUND(INDIRECT("EGR!"&amp;CELL("address",OFFSET(J9,0,EGR!$D$3-COLUMN(J9))),TRUE),2) * ROUND(OFFSET(INDIRECT("'Proposal Budget'!A1",TRUE),MATCH($A9,'Proposal Budget'!$A:$A,0)-1,COLUMN($AN9)-1),2)))))</f>
        <v>No budget defined</v>
      </c>
      <c r="K9" s="124" t="str">
        <f ca="1">IF(StatusBudget=0,"No budget defined",IF(OFFSET(K9,ROW(K$4)-ROW(K9),0)="TT",SUM(INDIRECT(ADDRESS(ROW(K9),COLUMN($D9)+1)&amp;":"&amp;ADDRESS(ROW(K9),COLUMN(K9)-1),TRUE)),IF($A9="TT",SUM(INDIRECT(ADDRESS(MATCH("HE",$A:$A,0)+1,COLUMN(K9))&amp;":"&amp;ADDRESS(ROW(K9)-1,COLUMN(K9)),TRUE)),IF(ROUND(INDIRECT("EGR!"&amp;CELL("address",OFFSET(K9,0,EGR!$D$3-COLUMN(K9))),TRUE),2) * ROUND(OFFSET(INDIRECT("'Proposal Budget'!A1",TRUE),MATCH($A9,'Proposal Budget'!$A:$A,0)-1,COLUMN($AN9)-1),2)=0,0,ROUND(INDIRECT("EGR!"&amp;CELL("address",K9),TRUE),2) / ROUND(INDIRECT("EGR!"&amp;CELL("address",OFFSET(K9,0,EGR!$D$3-COLUMN(K9))),TRUE),2) * ROUND(OFFSET(INDIRECT("'Proposal Budget'!A1",TRUE),MATCH($A9,'Proposal Budget'!$A:$A,0)-1,COLUMN($AN9)-1),2)))))</f>
        <v>No budget defined</v>
      </c>
      <c r="L9" s="124" t="str">
        <f ca="1">IF(StatusBudget=0,"No budget defined",IF(OFFSET(L9,ROW(L$4)-ROW(L9),0)="TT",SUM(INDIRECT(ADDRESS(ROW(L9),COLUMN($D9)+1)&amp;":"&amp;ADDRESS(ROW(L9),COLUMN(L9)-1),TRUE)),IF($A9="TT",SUM(INDIRECT(ADDRESS(MATCH("HE",$A:$A,0)+1,COLUMN(L9))&amp;":"&amp;ADDRESS(ROW(L9)-1,COLUMN(L9)),TRUE)),IF(ROUND(INDIRECT("EGR!"&amp;CELL("address",OFFSET(L9,0,EGR!$D$3-COLUMN(L9))),TRUE),2) * ROUND(OFFSET(INDIRECT("'Proposal Budget'!A1",TRUE),MATCH($A9,'Proposal Budget'!$A:$A,0)-1,COLUMN($AN9)-1),2)=0,0,ROUND(INDIRECT("EGR!"&amp;CELL("address",L9),TRUE),2) / ROUND(INDIRECT("EGR!"&amp;CELL("address",OFFSET(L9,0,EGR!$D$3-COLUMN(L9))),TRUE),2) * ROUND(OFFSET(INDIRECT("'Proposal Budget'!A1",TRUE),MATCH($A9,'Proposal Budget'!$A:$A,0)-1,COLUMN($AN9)-1),2)))))</f>
        <v>No budget defined</v>
      </c>
      <c r="M9" s="124" t="str">
        <f ca="1">IF(StatusBudget=0,"No budget defined",IF(OFFSET(M9,ROW(M$4)-ROW(M9),0)="TT",SUM(INDIRECT(ADDRESS(ROW(M9),COLUMN($D9)+1)&amp;":"&amp;ADDRESS(ROW(M9),COLUMN(M9)-1),TRUE)),IF($A9="TT",SUM(INDIRECT(ADDRESS(MATCH("HE",$A:$A,0)+1,COLUMN(M9))&amp;":"&amp;ADDRESS(ROW(M9)-1,COLUMN(M9)),TRUE)),IF(ROUND(INDIRECT("EGR!"&amp;CELL("address",OFFSET(M9,0,EGR!$D$3-COLUMN(M9))),TRUE),2) * ROUND(OFFSET(INDIRECT("'Proposal Budget'!A1",TRUE),MATCH($A9,'Proposal Budget'!$A:$A,0)-1,COLUMN($AN9)-1),2)=0,0,ROUND(INDIRECT("EGR!"&amp;CELL("address",M9),TRUE),2) / ROUND(INDIRECT("EGR!"&amp;CELL("address",OFFSET(M9,0,EGR!$D$3-COLUMN(M9))),TRUE),2) * ROUND(OFFSET(INDIRECT("'Proposal Budget'!A1",TRUE),MATCH($A9,'Proposal Budget'!$A:$A,0)-1,COLUMN($AN9)-1),2)))))</f>
        <v>No budget defined</v>
      </c>
    </row>
    <row r="10" spans="1:13">
      <c r="A10">
        <v>4</v>
      </c>
      <c r="B10" s="46">
        <f t="shared" ca="1" si="1"/>
        <v>2</v>
      </c>
      <c r="C10" s="57" t="str">
        <f ca="1">IF(OFFSET(C10,0,-2)="TT","TOTAL",""&amp;INDIRECT("'Beneficiaries List'!B" &amp; MATCH(A10,'Beneficiaries List'!J:J,0),TRUE))</f>
        <v/>
      </c>
      <c r="D10" s="57" t="str">
        <f ca="1">IF(OFFSET(C10,0,-2)="TT","Consortium",""&amp;INDIRECT("'Beneficiaries List'!C" &amp; MATCH(A10,'Beneficiaries List'!J:J,0),TRUE))</f>
        <v/>
      </c>
      <c r="E10" s="124" t="str">
        <f ca="1">IF(StatusBudget=0,"No budget defined",IF(OFFSET(E10,ROW(E$4)-ROW(E10),0)="TT",SUM(INDIRECT(ADDRESS(ROW(E10),COLUMN($D10)+1)&amp;":"&amp;ADDRESS(ROW(E10),COLUMN(E10)-1),TRUE)),IF($A10="TT",SUM(INDIRECT(ADDRESS(MATCH("HE",$A:$A,0)+1,COLUMN(E10))&amp;":"&amp;ADDRESS(ROW(E10)-1,COLUMN(E10)),TRUE)),IF(ROUND(INDIRECT("EGR!"&amp;CELL("address",OFFSET(E10,0,EGR!$D$3-COLUMN(E10))),TRUE),2) * ROUND(OFFSET(INDIRECT("'Proposal Budget'!A1",TRUE),MATCH($A10,'Proposal Budget'!$A:$A,0)-1,COLUMN($AN10)-1),2)=0,0,ROUND(INDIRECT("EGR!"&amp;CELL("address",E10),TRUE),2) / ROUND(INDIRECT("EGR!"&amp;CELL("address",OFFSET(E10,0,EGR!$D$3-COLUMN(E10))),TRUE),2) * ROUND(OFFSET(INDIRECT("'Proposal Budget'!A1",TRUE),MATCH($A10,'Proposal Budget'!$A:$A,0)-1,COLUMN($AN10)-1),2)))))</f>
        <v>No budget defined</v>
      </c>
      <c r="F10" s="124" t="str">
        <f ca="1">IF(StatusBudget=0,"No budget defined",IF(OFFSET(F10,ROW(F$4)-ROW(F10),0)="TT",SUM(INDIRECT(ADDRESS(ROW(F10),COLUMN($D10)+1)&amp;":"&amp;ADDRESS(ROW(F10),COLUMN(F10)-1),TRUE)),IF($A10="TT",SUM(INDIRECT(ADDRESS(MATCH("HE",$A:$A,0)+1,COLUMN(F10))&amp;":"&amp;ADDRESS(ROW(F10)-1,COLUMN(F10)),TRUE)),IF(ROUND(INDIRECT("EGR!"&amp;CELL("address",OFFSET(F10,0,EGR!$D$3-COLUMN(F10))),TRUE),2) * ROUND(OFFSET(INDIRECT("'Proposal Budget'!A1",TRUE),MATCH($A10,'Proposal Budget'!$A:$A,0)-1,COLUMN($AN10)-1),2)=0,0,ROUND(INDIRECT("EGR!"&amp;CELL("address",F10),TRUE),2) / ROUND(INDIRECT("EGR!"&amp;CELL("address",OFFSET(F10,0,EGR!$D$3-COLUMN(F10))),TRUE),2) * ROUND(OFFSET(INDIRECT("'Proposal Budget'!A1",TRUE),MATCH($A10,'Proposal Budget'!$A:$A,0)-1,COLUMN($AN10)-1),2)))))</f>
        <v>No budget defined</v>
      </c>
      <c r="G10" s="124" t="str">
        <f ca="1">IF(StatusBudget=0,"No budget defined",IF(OFFSET(G10,ROW(G$4)-ROW(G10),0)="TT",SUM(INDIRECT(ADDRESS(ROW(G10),COLUMN($D10)+1)&amp;":"&amp;ADDRESS(ROW(G10),COLUMN(G10)-1),TRUE)),IF($A10="TT",SUM(INDIRECT(ADDRESS(MATCH("HE",$A:$A,0)+1,COLUMN(G10))&amp;":"&amp;ADDRESS(ROW(G10)-1,COLUMN(G10)),TRUE)),IF(ROUND(INDIRECT("EGR!"&amp;CELL("address",OFFSET(G10,0,EGR!$D$3-COLUMN(G10))),TRUE),2) * ROUND(OFFSET(INDIRECT("'Proposal Budget'!A1",TRUE),MATCH($A10,'Proposal Budget'!$A:$A,0)-1,COLUMN($AN10)-1),2)=0,0,ROUND(INDIRECT("EGR!"&amp;CELL("address",G10),TRUE),2) / ROUND(INDIRECT("EGR!"&amp;CELL("address",OFFSET(G10,0,EGR!$D$3-COLUMN(G10))),TRUE),2) * ROUND(OFFSET(INDIRECT("'Proposal Budget'!A1",TRUE),MATCH($A10,'Proposal Budget'!$A:$A,0)-1,COLUMN($AN10)-1),2)))))</f>
        <v>No budget defined</v>
      </c>
      <c r="H10" s="124" t="str">
        <f ca="1">IF(StatusBudget=0,"No budget defined",IF(OFFSET(H10,ROW(H$4)-ROW(H10),0)="TT",SUM(INDIRECT(ADDRESS(ROW(H10),COLUMN($D10)+1)&amp;":"&amp;ADDRESS(ROW(H10),COLUMN(H10)-1),TRUE)),IF($A10="TT",SUM(INDIRECT(ADDRESS(MATCH("HE",$A:$A,0)+1,COLUMN(H10))&amp;":"&amp;ADDRESS(ROW(H10)-1,COLUMN(H10)),TRUE)),IF(ROUND(INDIRECT("EGR!"&amp;CELL("address",OFFSET(H10,0,EGR!$D$3-COLUMN(H10))),TRUE),2) * ROUND(OFFSET(INDIRECT("'Proposal Budget'!A1",TRUE),MATCH($A10,'Proposal Budget'!$A:$A,0)-1,COLUMN($AN10)-1),2)=0,0,ROUND(INDIRECT("EGR!"&amp;CELL("address",H10),TRUE),2) / ROUND(INDIRECT("EGR!"&amp;CELL("address",OFFSET(H10,0,EGR!$D$3-COLUMN(H10))),TRUE),2) * ROUND(OFFSET(INDIRECT("'Proposal Budget'!A1",TRUE),MATCH($A10,'Proposal Budget'!$A:$A,0)-1,COLUMN($AN10)-1),2)))))</f>
        <v>No budget defined</v>
      </c>
      <c r="I10" s="124" t="str">
        <f ca="1">IF(StatusBudget=0,"No budget defined",IF(OFFSET(I10,ROW(I$4)-ROW(I10),0)="TT",SUM(INDIRECT(ADDRESS(ROW(I10),COLUMN($D10)+1)&amp;":"&amp;ADDRESS(ROW(I10),COLUMN(I10)-1),TRUE)),IF($A10="TT",SUM(INDIRECT(ADDRESS(MATCH("HE",$A:$A,0)+1,COLUMN(I10))&amp;":"&amp;ADDRESS(ROW(I10)-1,COLUMN(I10)),TRUE)),IF(ROUND(INDIRECT("EGR!"&amp;CELL("address",OFFSET(I10,0,EGR!$D$3-COLUMN(I10))),TRUE),2) * ROUND(OFFSET(INDIRECT("'Proposal Budget'!A1",TRUE),MATCH($A10,'Proposal Budget'!$A:$A,0)-1,COLUMN($AN10)-1),2)=0,0,ROUND(INDIRECT("EGR!"&amp;CELL("address",I10),TRUE),2) / ROUND(INDIRECT("EGR!"&amp;CELL("address",OFFSET(I10,0,EGR!$D$3-COLUMN(I10))),TRUE),2) * ROUND(OFFSET(INDIRECT("'Proposal Budget'!A1",TRUE),MATCH($A10,'Proposal Budget'!$A:$A,0)-1,COLUMN($AN10)-1),2)))))</f>
        <v>No budget defined</v>
      </c>
      <c r="J10" s="124" t="str">
        <f ca="1">IF(StatusBudget=0,"No budget defined",IF(OFFSET(J10,ROW(J$4)-ROW(J10),0)="TT",SUM(INDIRECT(ADDRESS(ROW(J10),COLUMN($D10)+1)&amp;":"&amp;ADDRESS(ROW(J10),COLUMN(J10)-1),TRUE)),IF($A10="TT",SUM(INDIRECT(ADDRESS(MATCH("HE",$A:$A,0)+1,COLUMN(J10))&amp;":"&amp;ADDRESS(ROW(J10)-1,COLUMN(J10)),TRUE)),IF(ROUND(INDIRECT("EGR!"&amp;CELL("address",OFFSET(J10,0,EGR!$D$3-COLUMN(J10))),TRUE),2) * ROUND(OFFSET(INDIRECT("'Proposal Budget'!A1",TRUE),MATCH($A10,'Proposal Budget'!$A:$A,0)-1,COLUMN($AN10)-1),2)=0,0,ROUND(INDIRECT("EGR!"&amp;CELL("address",J10),TRUE),2) / ROUND(INDIRECT("EGR!"&amp;CELL("address",OFFSET(J10,0,EGR!$D$3-COLUMN(J10))),TRUE),2) * ROUND(OFFSET(INDIRECT("'Proposal Budget'!A1",TRUE),MATCH($A10,'Proposal Budget'!$A:$A,0)-1,COLUMN($AN10)-1),2)))))</f>
        <v>No budget defined</v>
      </c>
      <c r="K10" s="124" t="str">
        <f ca="1">IF(StatusBudget=0,"No budget defined",IF(OFFSET(K10,ROW(K$4)-ROW(K10),0)="TT",SUM(INDIRECT(ADDRESS(ROW(K10),COLUMN($D10)+1)&amp;":"&amp;ADDRESS(ROW(K10),COLUMN(K10)-1),TRUE)),IF($A10="TT",SUM(INDIRECT(ADDRESS(MATCH("HE",$A:$A,0)+1,COLUMN(K10))&amp;":"&amp;ADDRESS(ROW(K10)-1,COLUMN(K10)),TRUE)),IF(ROUND(INDIRECT("EGR!"&amp;CELL("address",OFFSET(K10,0,EGR!$D$3-COLUMN(K10))),TRUE),2) * ROUND(OFFSET(INDIRECT("'Proposal Budget'!A1",TRUE),MATCH($A10,'Proposal Budget'!$A:$A,0)-1,COLUMN($AN10)-1),2)=0,0,ROUND(INDIRECT("EGR!"&amp;CELL("address",K10),TRUE),2) / ROUND(INDIRECT("EGR!"&amp;CELL("address",OFFSET(K10,0,EGR!$D$3-COLUMN(K10))),TRUE),2) * ROUND(OFFSET(INDIRECT("'Proposal Budget'!A1",TRUE),MATCH($A10,'Proposal Budget'!$A:$A,0)-1,COLUMN($AN10)-1),2)))))</f>
        <v>No budget defined</v>
      </c>
      <c r="L10" s="124" t="str">
        <f ca="1">IF(StatusBudget=0,"No budget defined",IF(OFFSET(L10,ROW(L$4)-ROW(L10),0)="TT",SUM(INDIRECT(ADDRESS(ROW(L10),COLUMN($D10)+1)&amp;":"&amp;ADDRESS(ROW(L10),COLUMN(L10)-1),TRUE)),IF($A10="TT",SUM(INDIRECT(ADDRESS(MATCH("HE",$A:$A,0)+1,COLUMN(L10))&amp;":"&amp;ADDRESS(ROW(L10)-1,COLUMN(L10)),TRUE)),IF(ROUND(INDIRECT("EGR!"&amp;CELL("address",OFFSET(L10,0,EGR!$D$3-COLUMN(L10))),TRUE),2) * ROUND(OFFSET(INDIRECT("'Proposal Budget'!A1",TRUE),MATCH($A10,'Proposal Budget'!$A:$A,0)-1,COLUMN($AN10)-1),2)=0,0,ROUND(INDIRECT("EGR!"&amp;CELL("address",L10),TRUE),2) / ROUND(INDIRECT("EGR!"&amp;CELL("address",OFFSET(L10,0,EGR!$D$3-COLUMN(L10))),TRUE),2) * ROUND(OFFSET(INDIRECT("'Proposal Budget'!A1",TRUE),MATCH($A10,'Proposal Budget'!$A:$A,0)-1,COLUMN($AN10)-1),2)))))</f>
        <v>No budget defined</v>
      </c>
      <c r="M10" s="124" t="str">
        <f ca="1">IF(StatusBudget=0,"No budget defined",IF(OFFSET(M10,ROW(M$4)-ROW(M10),0)="TT",SUM(INDIRECT(ADDRESS(ROW(M10),COLUMN($D10)+1)&amp;":"&amp;ADDRESS(ROW(M10),COLUMN(M10)-1),TRUE)),IF($A10="TT",SUM(INDIRECT(ADDRESS(MATCH("HE",$A:$A,0)+1,COLUMN(M10))&amp;":"&amp;ADDRESS(ROW(M10)-1,COLUMN(M10)),TRUE)),IF(ROUND(INDIRECT("EGR!"&amp;CELL("address",OFFSET(M10,0,EGR!$D$3-COLUMN(M10))),TRUE),2) * ROUND(OFFSET(INDIRECT("'Proposal Budget'!A1",TRUE),MATCH($A10,'Proposal Budget'!$A:$A,0)-1,COLUMN($AN10)-1),2)=0,0,ROUND(INDIRECT("EGR!"&amp;CELL("address",M10),TRUE),2) / ROUND(INDIRECT("EGR!"&amp;CELL("address",OFFSET(M10,0,EGR!$D$3-COLUMN(M10))),TRUE),2) * ROUND(OFFSET(INDIRECT("'Proposal Budget'!A1",TRUE),MATCH($A10,'Proposal Budget'!$A:$A,0)-1,COLUMN($AN10)-1),2)))))</f>
        <v>No budget defined</v>
      </c>
    </row>
    <row r="11" spans="1:13">
      <c r="A11">
        <v>5</v>
      </c>
      <c r="B11" s="46">
        <f t="shared" ca="1" si="1"/>
        <v>1</v>
      </c>
      <c r="C11" s="57" t="str">
        <f ca="1">IF(OFFSET(C11,0,-2)="TT","TOTAL",""&amp;INDIRECT("'Beneficiaries List'!B" &amp; MATCH(A11,'Beneficiaries List'!J:J,0),TRUE))</f>
        <v/>
      </c>
      <c r="D11" s="57" t="str">
        <f ca="1">IF(OFFSET(C11,0,-2)="TT","Consortium",""&amp;INDIRECT("'Beneficiaries List'!C" &amp; MATCH(A11,'Beneficiaries List'!J:J,0),TRUE))</f>
        <v/>
      </c>
      <c r="E11" s="124" t="str">
        <f ca="1">IF(StatusBudget=0,"No budget defined",IF(OFFSET(E11,ROW(E$4)-ROW(E11),0)="TT",SUM(INDIRECT(ADDRESS(ROW(E11),COLUMN($D11)+1)&amp;":"&amp;ADDRESS(ROW(E11),COLUMN(E11)-1),TRUE)),IF($A11="TT",SUM(INDIRECT(ADDRESS(MATCH("HE",$A:$A,0)+1,COLUMN(E11))&amp;":"&amp;ADDRESS(ROW(E11)-1,COLUMN(E11)),TRUE)),IF(ROUND(INDIRECT("EGR!"&amp;CELL("address",OFFSET(E11,0,EGR!$D$3-COLUMN(E11))),TRUE),2) * ROUND(OFFSET(INDIRECT("'Proposal Budget'!A1",TRUE),MATCH($A11,'Proposal Budget'!$A:$A,0)-1,COLUMN($AN11)-1),2)=0,0,ROUND(INDIRECT("EGR!"&amp;CELL("address",E11),TRUE),2) / ROUND(INDIRECT("EGR!"&amp;CELL("address",OFFSET(E11,0,EGR!$D$3-COLUMN(E11))),TRUE),2) * ROUND(OFFSET(INDIRECT("'Proposal Budget'!A1",TRUE),MATCH($A11,'Proposal Budget'!$A:$A,0)-1,COLUMN($AN11)-1),2)))))</f>
        <v>No budget defined</v>
      </c>
      <c r="F11" s="124" t="str">
        <f ca="1">IF(StatusBudget=0,"No budget defined",IF(OFFSET(F11,ROW(F$4)-ROW(F11),0)="TT",SUM(INDIRECT(ADDRESS(ROW(F11),COLUMN($D11)+1)&amp;":"&amp;ADDRESS(ROW(F11),COLUMN(F11)-1),TRUE)),IF($A11="TT",SUM(INDIRECT(ADDRESS(MATCH("HE",$A:$A,0)+1,COLUMN(F11))&amp;":"&amp;ADDRESS(ROW(F11)-1,COLUMN(F11)),TRUE)),IF(ROUND(INDIRECT("EGR!"&amp;CELL("address",OFFSET(F11,0,EGR!$D$3-COLUMN(F11))),TRUE),2) * ROUND(OFFSET(INDIRECT("'Proposal Budget'!A1",TRUE),MATCH($A11,'Proposal Budget'!$A:$A,0)-1,COLUMN($AN11)-1),2)=0,0,ROUND(INDIRECT("EGR!"&amp;CELL("address",F11),TRUE),2) / ROUND(INDIRECT("EGR!"&amp;CELL("address",OFFSET(F11,0,EGR!$D$3-COLUMN(F11))),TRUE),2) * ROUND(OFFSET(INDIRECT("'Proposal Budget'!A1",TRUE),MATCH($A11,'Proposal Budget'!$A:$A,0)-1,COLUMN($AN11)-1),2)))))</f>
        <v>No budget defined</v>
      </c>
      <c r="G11" s="124" t="str">
        <f ca="1">IF(StatusBudget=0,"No budget defined",IF(OFFSET(G11,ROW(G$4)-ROW(G11),0)="TT",SUM(INDIRECT(ADDRESS(ROW(G11),COLUMN($D11)+1)&amp;":"&amp;ADDRESS(ROW(G11),COLUMN(G11)-1),TRUE)),IF($A11="TT",SUM(INDIRECT(ADDRESS(MATCH("HE",$A:$A,0)+1,COLUMN(G11))&amp;":"&amp;ADDRESS(ROW(G11)-1,COLUMN(G11)),TRUE)),IF(ROUND(INDIRECT("EGR!"&amp;CELL("address",OFFSET(G11,0,EGR!$D$3-COLUMN(G11))),TRUE),2) * ROUND(OFFSET(INDIRECT("'Proposal Budget'!A1",TRUE),MATCH($A11,'Proposal Budget'!$A:$A,0)-1,COLUMN($AN11)-1),2)=0,0,ROUND(INDIRECT("EGR!"&amp;CELL("address",G11),TRUE),2) / ROUND(INDIRECT("EGR!"&amp;CELL("address",OFFSET(G11,0,EGR!$D$3-COLUMN(G11))),TRUE),2) * ROUND(OFFSET(INDIRECT("'Proposal Budget'!A1",TRUE),MATCH($A11,'Proposal Budget'!$A:$A,0)-1,COLUMN($AN11)-1),2)))))</f>
        <v>No budget defined</v>
      </c>
      <c r="H11" s="124" t="str">
        <f ca="1">IF(StatusBudget=0,"No budget defined",IF(OFFSET(H11,ROW(H$4)-ROW(H11),0)="TT",SUM(INDIRECT(ADDRESS(ROW(H11),COLUMN($D11)+1)&amp;":"&amp;ADDRESS(ROW(H11),COLUMN(H11)-1),TRUE)),IF($A11="TT",SUM(INDIRECT(ADDRESS(MATCH("HE",$A:$A,0)+1,COLUMN(H11))&amp;":"&amp;ADDRESS(ROW(H11)-1,COLUMN(H11)),TRUE)),IF(ROUND(INDIRECT("EGR!"&amp;CELL("address",OFFSET(H11,0,EGR!$D$3-COLUMN(H11))),TRUE),2) * ROUND(OFFSET(INDIRECT("'Proposal Budget'!A1",TRUE),MATCH($A11,'Proposal Budget'!$A:$A,0)-1,COLUMN($AN11)-1),2)=0,0,ROUND(INDIRECT("EGR!"&amp;CELL("address",H11),TRUE),2) / ROUND(INDIRECT("EGR!"&amp;CELL("address",OFFSET(H11,0,EGR!$D$3-COLUMN(H11))),TRUE),2) * ROUND(OFFSET(INDIRECT("'Proposal Budget'!A1",TRUE),MATCH($A11,'Proposal Budget'!$A:$A,0)-1,COLUMN($AN11)-1),2)))))</f>
        <v>No budget defined</v>
      </c>
      <c r="I11" s="124" t="str">
        <f ca="1">IF(StatusBudget=0,"No budget defined",IF(OFFSET(I11,ROW(I$4)-ROW(I11),0)="TT",SUM(INDIRECT(ADDRESS(ROW(I11),COLUMN($D11)+1)&amp;":"&amp;ADDRESS(ROW(I11),COLUMN(I11)-1),TRUE)),IF($A11="TT",SUM(INDIRECT(ADDRESS(MATCH("HE",$A:$A,0)+1,COLUMN(I11))&amp;":"&amp;ADDRESS(ROW(I11)-1,COLUMN(I11)),TRUE)),IF(ROUND(INDIRECT("EGR!"&amp;CELL("address",OFFSET(I11,0,EGR!$D$3-COLUMN(I11))),TRUE),2) * ROUND(OFFSET(INDIRECT("'Proposal Budget'!A1",TRUE),MATCH($A11,'Proposal Budget'!$A:$A,0)-1,COLUMN($AN11)-1),2)=0,0,ROUND(INDIRECT("EGR!"&amp;CELL("address",I11),TRUE),2) / ROUND(INDIRECT("EGR!"&amp;CELL("address",OFFSET(I11,0,EGR!$D$3-COLUMN(I11))),TRUE),2) * ROUND(OFFSET(INDIRECT("'Proposal Budget'!A1",TRUE),MATCH($A11,'Proposal Budget'!$A:$A,0)-1,COLUMN($AN11)-1),2)))))</f>
        <v>No budget defined</v>
      </c>
      <c r="J11" s="124" t="str">
        <f ca="1">IF(StatusBudget=0,"No budget defined",IF(OFFSET(J11,ROW(J$4)-ROW(J11),0)="TT",SUM(INDIRECT(ADDRESS(ROW(J11),COLUMN($D11)+1)&amp;":"&amp;ADDRESS(ROW(J11),COLUMN(J11)-1),TRUE)),IF($A11="TT",SUM(INDIRECT(ADDRESS(MATCH("HE",$A:$A,0)+1,COLUMN(J11))&amp;":"&amp;ADDRESS(ROW(J11)-1,COLUMN(J11)),TRUE)),IF(ROUND(INDIRECT("EGR!"&amp;CELL("address",OFFSET(J11,0,EGR!$D$3-COLUMN(J11))),TRUE),2) * ROUND(OFFSET(INDIRECT("'Proposal Budget'!A1",TRUE),MATCH($A11,'Proposal Budget'!$A:$A,0)-1,COLUMN($AN11)-1),2)=0,0,ROUND(INDIRECT("EGR!"&amp;CELL("address",J11),TRUE),2) / ROUND(INDIRECT("EGR!"&amp;CELL("address",OFFSET(J11,0,EGR!$D$3-COLUMN(J11))),TRUE),2) * ROUND(OFFSET(INDIRECT("'Proposal Budget'!A1",TRUE),MATCH($A11,'Proposal Budget'!$A:$A,0)-1,COLUMN($AN11)-1),2)))))</f>
        <v>No budget defined</v>
      </c>
      <c r="K11" s="124" t="str">
        <f ca="1">IF(StatusBudget=0,"No budget defined",IF(OFFSET(K11,ROW(K$4)-ROW(K11),0)="TT",SUM(INDIRECT(ADDRESS(ROW(K11),COLUMN($D11)+1)&amp;":"&amp;ADDRESS(ROW(K11),COLUMN(K11)-1),TRUE)),IF($A11="TT",SUM(INDIRECT(ADDRESS(MATCH("HE",$A:$A,0)+1,COLUMN(K11))&amp;":"&amp;ADDRESS(ROW(K11)-1,COLUMN(K11)),TRUE)),IF(ROUND(INDIRECT("EGR!"&amp;CELL("address",OFFSET(K11,0,EGR!$D$3-COLUMN(K11))),TRUE),2) * ROUND(OFFSET(INDIRECT("'Proposal Budget'!A1",TRUE),MATCH($A11,'Proposal Budget'!$A:$A,0)-1,COLUMN($AN11)-1),2)=0,0,ROUND(INDIRECT("EGR!"&amp;CELL("address",K11),TRUE),2) / ROUND(INDIRECT("EGR!"&amp;CELL("address",OFFSET(K11,0,EGR!$D$3-COLUMN(K11))),TRUE),2) * ROUND(OFFSET(INDIRECT("'Proposal Budget'!A1",TRUE),MATCH($A11,'Proposal Budget'!$A:$A,0)-1,COLUMN($AN11)-1),2)))))</f>
        <v>No budget defined</v>
      </c>
      <c r="L11" s="124" t="str">
        <f ca="1">IF(StatusBudget=0,"No budget defined",IF(OFFSET(L11,ROW(L$4)-ROW(L11),0)="TT",SUM(INDIRECT(ADDRESS(ROW(L11),COLUMN($D11)+1)&amp;":"&amp;ADDRESS(ROW(L11),COLUMN(L11)-1),TRUE)),IF($A11="TT",SUM(INDIRECT(ADDRESS(MATCH("HE",$A:$A,0)+1,COLUMN(L11))&amp;":"&amp;ADDRESS(ROW(L11)-1,COLUMN(L11)),TRUE)),IF(ROUND(INDIRECT("EGR!"&amp;CELL("address",OFFSET(L11,0,EGR!$D$3-COLUMN(L11))),TRUE),2) * ROUND(OFFSET(INDIRECT("'Proposal Budget'!A1",TRUE),MATCH($A11,'Proposal Budget'!$A:$A,0)-1,COLUMN($AN11)-1),2)=0,0,ROUND(INDIRECT("EGR!"&amp;CELL("address",L11),TRUE),2) / ROUND(INDIRECT("EGR!"&amp;CELL("address",OFFSET(L11,0,EGR!$D$3-COLUMN(L11))),TRUE),2) * ROUND(OFFSET(INDIRECT("'Proposal Budget'!A1",TRUE),MATCH($A11,'Proposal Budget'!$A:$A,0)-1,COLUMN($AN11)-1),2)))))</f>
        <v>No budget defined</v>
      </c>
      <c r="M11" s="124" t="str">
        <f ca="1">IF(StatusBudget=0,"No budget defined",IF(OFFSET(M11,ROW(M$4)-ROW(M11),0)="TT",SUM(INDIRECT(ADDRESS(ROW(M11),COLUMN($D11)+1)&amp;":"&amp;ADDRESS(ROW(M11),COLUMN(M11)-1),TRUE)),IF($A11="TT",SUM(INDIRECT(ADDRESS(MATCH("HE",$A:$A,0)+1,COLUMN(M11))&amp;":"&amp;ADDRESS(ROW(M11)-1,COLUMN(M11)),TRUE)),IF(ROUND(INDIRECT("EGR!"&amp;CELL("address",OFFSET(M11,0,EGR!$D$3-COLUMN(M11))),TRUE),2) * ROUND(OFFSET(INDIRECT("'Proposal Budget'!A1",TRUE),MATCH($A11,'Proposal Budget'!$A:$A,0)-1,COLUMN($AN11)-1),2)=0,0,ROUND(INDIRECT("EGR!"&amp;CELL("address",M11),TRUE),2) / ROUND(INDIRECT("EGR!"&amp;CELL("address",OFFSET(M11,0,EGR!$D$3-COLUMN(M11))),TRUE),2) * ROUND(OFFSET(INDIRECT("'Proposal Budget'!A1",TRUE),MATCH($A11,'Proposal Budget'!$A:$A,0)-1,COLUMN($AN11)-1),2)))))</f>
        <v>No budget defined</v>
      </c>
    </row>
    <row r="12" spans="1:13">
      <c r="A12">
        <v>6</v>
      </c>
      <c r="B12" s="46">
        <f t="shared" ca="1" si="1"/>
        <v>2</v>
      </c>
      <c r="C12" s="57" t="str">
        <f ca="1">IF(OFFSET(C12,0,-2)="TT","TOTAL",""&amp;INDIRECT("'Beneficiaries List'!B" &amp; MATCH(A12,'Beneficiaries List'!J:J,0),TRUE))</f>
        <v/>
      </c>
      <c r="D12" s="57" t="str">
        <f ca="1">IF(OFFSET(C12,0,-2)="TT","Consortium",""&amp;INDIRECT("'Beneficiaries List'!C" &amp; MATCH(A12,'Beneficiaries List'!J:J,0),TRUE))</f>
        <v/>
      </c>
      <c r="E12" s="124" t="str">
        <f ca="1">IF(StatusBudget=0,"No budget defined",IF(OFFSET(E12,ROW(E$4)-ROW(E12),0)="TT",SUM(INDIRECT(ADDRESS(ROW(E12),COLUMN($D12)+1)&amp;":"&amp;ADDRESS(ROW(E12),COLUMN(E12)-1),TRUE)),IF($A12="TT",SUM(INDIRECT(ADDRESS(MATCH("HE",$A:$A,0)+1,COLUMN(E12))&amp;":"&amp;ADDRESS(ROW(E12)-1,COLUMN(E12)),TRUE)),IF(ROUND(INDIRECT("EGR!"&amp;CELL("address",OFFSET(E12,0,EGR!$D$3-COLUMN(E12))),TRUE),2) * ROUND(OFFSET(INDIRECT("'Proposal Budget'!A1",TRUE),MATCH($A12,'Proposal Budget'!$A:$A,0)-1,COLUMN($AN12)-1),2)=0,0,ROUND(INDIRECT("EGR!"&amp;CELL("address",E12),TRUE),2) / ROUND(INDIRECT("EGR!"&amp;CELL("address",OFFSET(E12,0,EGR!$D$3-COLUMN(E12))),TRUE),2) * ROUND(OFFSET(INDIRECT("'Proposal Budget'!A1",TRUE),MATCH($A12,'Proposal Budget'!$A:$A,0)-1,COLUMN($AN12)-1),2)))))</f>
        <v>No budget defined</v>
      </c>
      <c r="F12" s="124" t="str">
        <f ca="1">IF(StatusBudget=0,"No budget defined",IF(OFFSET(F12,ROW(F$4)-ROW(F12),0)="TT",SUM(INDIRECT(ADDRESS(ROW(F12),COLUMN($D12)+1)&amp;":"&amp;ADDRESS(ROW(F12),COLUMN(F12)-1),TRUE)),IF($A12="TT",SUM(INDIRECT(ADDRESS(MATCH("HE",$A:$A,0)+1,COLUMN(F12))&amp;":"&amp;ADDRESS(ROW(F12)-1,COLUMN(F12)),TRUE)),IF(ROUND(INDIRECT("EGR!"&amp;CELL("address",OFFSET(F12,0,EGR!$D$3-COLUMN(F12))),TRUE),2) * ROUND(OFFSET(INDIRECT("'Proposal Budget'!A1",TRUE),MATCH($A12,'Proposal Budget'!$A:$A,0)-1,COLUMN($AN12)-1),2)=0,0,ROUND(INDIRECT("EGR!"&amp;CELL("address",F12),TRUE),2) / ROUND(INDIRECT("EGR!"&amp;CELL("address",OFFSET(F12,0,EGR!$D$3-COLUMN(F12))),TRUE),2) * ROUND(OFFSET(INDIRECT("'Proposal Budget'!A1",TRUE),MATCH($A12,'Proposal Budget'!$A:$A,0)-1,COLUMN($AN12)-1),2)))))</f>
        <v>No budget defined</v>
      </c>
      <c r="G12" s="124" t="str">
        <f ca="1">IF(StatusBudget=0,"No budget defined",IF(OFFSET(G12,ROW(G$4)-ROW(G12),0)="TT",SUM(INDIRECT(ADDRESS(ROW(G12),COLUMN($D12)+1)&amp;":"&amp;ADDRESS(ROW(G12),COLUMN(G12)-1),TRUE)),IF($A12="TT",SUM(INDIRECT(ADDRESS(MATCH("HE",$A:$A,0)+1,COLUMN(G12))&amp;":"&amp;ADDRESS(ROW(G12)-1,COLUMN(G12)),TRUE)),IF(ROUND(INDIRECT("EGR!"&amp;CELL("address",OFFSET(G12,0,EGR!$D$3-COLUMN(G12))),TRUE),2) * ROUND(OFFSET(INDIRECT("'Proposal Budget'!A1",TRUE),MATCH($A12,'Proposal Budget'!$A:$A,0)-1,COLUMN($AN12)-1),2)=0,0,ROUND(INDIRECT("EGR!"&amp;CELL("address",G12),TRUE),2) / ROUND(INDIRECT("EGR!"&amp;CELL("address",OFFSET(G12,0,EGR!$D$3-COLUMN(G12))),TRUE),2) * ROUND(OFFSET(INDIRECT("'Proposal Budget'!A1",TRUE),MATCH($A12,'Proposal Budget'!$A:$A,0)-1,COLUMN($AN12)-1),2)))))</f>
        <v>No budget defined</v>
      </c>
      <c r="H12" s="124" t="str">
        <f ca="1">IF(StatusBudget=0,"No budget defined",IF(OFFSET(H12,ROW(H$4)-ROW(H12),0)="TT",SUM(INDIRECT(ADDRESS(ROW(H12),COLUMN($D12)+1)&amp;":"&amp;ADDRESS(ROW(H12),COLUMN(H12)-1),TRUE)),IF($A12="TT",SUM(INDIRECT(ADDRESS(MATCH("HE",$A:$A,0)+1,COLUMN(H12))&amp;":"&amp;ADDRESS(ROW(H12)-1,COLUMN(H12)),TRUE)),IF(ROUND(INDIRECT("EGR!"&amp;CELL("address",OFFSET(H12,0,EGR!$D$3-COLUMN(H12))),TRUE),2) * ROUND(OFFSET(INDIRECT("'Proposal Budget'!A1",TRUE),MATCH($A12,'Proposal Budget'!$A:$A,0)-1,COLUMN($AN12)-1),2)=0,0,ROUND(INDIRECT("EGR!"&amp;CELL("address",H12),TRUE),2) / ROUND(INDIRECT("EGR!"&amp;CELL("address",OFFSET(H12,0,EGR!$D$3-COLUMN(H12))),TRUE),2) * ROUND(OFFSET(INDIRECT("'Proposal Budget'!A1",TRUE),MATCH($A12,'Proposal Budget'!$A:$A,0)-1,COLUMN($AN12)-1),2)))))</f>
        <v>No budget defined</v>
      </c>
      <c r="I12" s="124" t="str">
        <f ca="1">IF(StatusBudget=0,"No budget defined",IF(OFFSET(I12,ROW(I$4)-ROW(I12),0)="TT",SUM(INDIRECT(ADDRESS(ROW(I12),COLUMN($D12)+1)&amp;":"&amp;ADDRESS(ROW(I12),COLUMN(I12)-1),TRUE)),IF($A12="TT",SUM(INDIRECT(ADDRESS(MATCH("HE",$A:$A,0)+1,COLUMN(I12))&amp;":"&amp;ADDRESS(ROW(I12)-1,COLUMN(I12)),TRUE)),IF(ROUND(INDIRECT("EGR!"&amp;CELL("address",OFFSET(I12,0,EGR!$D$3-COLUMN(I12))),TRUE),2) * ROUND(OFFSET(INDIRECT("'Proposal Budget'!A1",TRUE),MATCH($A12,'Proposal Budget'!$A:$A,0)-1,COLUMN($AN12)-1),2)=0,0,ROUND(INDIRECT("EGR!"&amp;CELL("address",I12),TRUE),2) / ROUND(INDIRECT("EGR!"&amp;CELL("address",OFFSET(I12,0,EGR!$D$3-COLUMN(I12))),TRUE),2) * ROUND(OFFSET(INDIRECT("'Proposal Budget'!A1",TRUE),MATCH($A12,'Proposal Budget'!$A:$A,0)-1,COLUMN($AN12)-1),2)))))</f>
        <v>No budget defined</v>
      </c>
      <c r="J12" s="124" t="str">
        <f ca="1">IF(StatusBudget=0,"No budget defined",IF(OFFSET(J12,ROW(J$4)-ROW(J12),0)="TT",SUM(INDIRECT(ADDRESS(ROW(J12),COLUMN($D12)+1)&amp;":"&amp;ADDRESS(ROW(J12),COLUMN(J12)-1),TRUE)),IF($A12="TT",SUM(INDIRECT(ADDRESS(MATCH("HE",$A:$A,0)+1,COLUMN(J12))&amp;":"&amp;ADDRESS(ROW(J12)-1,COLUMN(J12)),TRUE)),IF(ROUND(INDIRECT("EGR!"&amp;CELL("address",OFFSET(J12,0,EGR!$D$3-COLUMN(J12))),TRUE),2) * ROUND(OFFSET(INDIRECT("'Proposal Budget'!A1",TRUE),MATCH($A12,'Proposal Budget'!$A:$A,0)-1,COLUMN($AN12)-1),2)=0,0,ROUND(INDIRECT("EGR!"&amp;CELL("address",J12),TRUE),2) / ROUND(INDIRECT("EGR!"&amp;CELL("address",OFFSET(J12,0,EGR!$D$3-COLUMN(J12))),TRUE),2) * ROUND(OFFSET(INDIRECT("'Proposal Budget'!A1",TRUE),MATCH($A12,'Proposal Budget'!$A:$A,0)-1,COLUMN($AN12)-1),2)))))</f>
        <v>No budget defined</v>
      </c>
      <c r="K12" s="124" t="str">
        <f ca="1">IF(StatusBudget=0,"No budget defined",IF(OFFSET(K12,ROW(K$4)-ROW(K12),0)="TT",SUM(INDIRECT(ADDRESS(ROW(K12),COLUMN($D12)+1)&amp;":"&amp;ADDRESS(ROW(K12),COLUMN(K12)-1),TRUE)),IF($A12="TT",SUM(INDIRECT(ADDRESS(MATCH("HE",$A:$A,0)+1,COLUMN(K12))&amp;":"&amp;ADDRESS(ROW(K12)-1,COLUMN(K12)),TRUE)),IF(ROUND(INDIRECT("EGR!"&amp;CELL("address",OFFSET(K12,0,EGR!$D$3-COLUMN(K12))),TRUE),2) * ROUND(OFFSET(INDIRECT("'Proposal Budget'!A1",TRUE),MATCH($A12,'Proposal Budget'!$A:$A,0)-1,COLUMN($AN12)-1),2)=0,0,ROUND(INDIRECT("EGR!"&amp;CELL("address",K12),TRUE),2) / ROUND(INDIRECT("EGR!"&amp;CELL("address",OFFSET(K12,0,EGR!$D$3-COLUMN(K12))),TRUE),2) * ROUND(OFFSET(INDIRECT("'Proposal Budget'!A1",TRUE),MATCH($A12,'Proposal Budget'!$A:$A,0)-1,COLUMN($AN12)-1),2)))))</f>
        <v>No budget defined</v>
      </c>
      <c r="L12" s="124" t="str">
        <f ca="1">IF(StatusBudget=0,"No budget defined",IF(OFFSET(L12,ROW(L$4)-ROW(L12),0)="TT",SUM(INDIRECT(ADDRESS(ROW(L12),COLUMN($D12)+1)&amp;":"&amp;ADDRESS(ROW(L12),COLUMN(L12)-1),TRUE)),IF($A12="TT",SUM(INDIRECT(ADDRESS(MATCH("HE",$A:$A,0)+1,COLUMN(L12))&amp;":"&amp;ADDRESS(ROW(L12)-1,COLUMN(L12)),TRUE)),IF(ROUND(INDIRECT("EGR!"&amp;CELL("address",OFFSET(L12,0,EGR!$D$3-COLUMN(L12))),TRUE),2) * ROUND(OFFSET(INDIRECT("'Proposal Budget'!A1",TRUE),MATCH($A12,'Proposal Budget'!$A:$A,0)-1,COLUMN($AN12)-1),2)=0,0,ROUND(INDIRECT("EGR!"&amp;CELL("address",L12),TRUE),2) / ROUND(INDIRECT("EGR!"&amp;CELL("address",OFFSET(L12,0,EGR!$D$3-COLUMN(L12))),TRUE),2) * ROUND(OFFSET(INDIRECT("'Proposal Budget'!A1",TRUE),MATCH($A12,'Proposal Budget'!$A:$A,0)-1,COLUMN($AN12)-1),2)))))</f>
        <v>No budget defined</v>
      </c>
      <c r="M12" s="124" t="str">
        <f ca="1">IF(StatusBudget=0,"No budget defined",IF(OFFSET(M12,ROW(M$4)-ROW(M12),0)="TT",SUM(INDIRECT(ADDRESS(ROW(M12),COLUMN($D12)+1)&amp;":"&amp;ADDRESS(ROW(M12),COLUMN(M12)-1),TRUE)),IF($A12="TT",SUM(INDIRECT(ADDRESS(MATCH("HE",$A:$A,0)+1,COLUMN(M12))&amp;":"&amp;ADDRESS(ROW(M12)-1,COLUMN(M12)),TRUE)),IF(ROUND(INDIRECT("EGR!"&amp;CELL("address",OFFSET(M12,0,EGR!$D$3-COLUMN(M12))),TRUE),2) * ROUND(OFFSET(INDIRECT("'Proposal Budget'!A1",TRUE),MATCH($A12,'Proposal Budget'!$A:$A,0)-1,COLUMN($AN12)-1),2)=0,0,ROUND(INDIRECT("EGR!"&amp;CELL("address",M12),TRUE),2) / ROUND(INDIRECT("EGR!"&amp;CELL("address",OFFSET(M12,0,EGR!$D$3-COLUMN(M12))),TRUE),2) * ROUND(OFFSET(INDIRECT("'Proposal Budget'!A1",TRUE),MATCH($A12,'Proposal Budget'!$A:$A,0)-1,COLUMN($AN12)-1),2)))))</f>
        <v>No budget defined</v>
      </c>
    </row>
    <row r="13" spans="1:13">
      <c r="A13">
        <v>7</v>
      </c>
      <c r="B13" s="46">
        <f t="shared" ca="1" si="1"/>
        <v>1</v>
      </c>
      <c r="C13" s="57" t="str">
        <f ca="1">IF(OFFSET(C13,0,-2)="TT","TOTAL",""&amp;INDIRECT("'Beneficiaries List'!B" &amp; MATCH(A13,'Beneficiaries List'!J:J,0),TRUE))</f>
        <v/>
      </c>
      <c r="D13" s="57" t="str">
        <f ca="1">IF(OFFSET(C13,0,-2)="TT","Consortium",""&amp;INDIRECT("'Beneficiaries List'!C" &amp; MATCH(A13,'Beneficiaries List'!J:J,0),TRUE))</f>
        <v/>
      </c>
      <c r="E13" s="124" t="str">
        <f ca="1">IF(StatusBudget=0,"No budget defined",IF(OFFSET(E13,ROW(E$4)-ROW(E13),0)="TT",SUM(INDIRECT(ADDRESS(ROW(E13),COLUMN($D13)+1)&amp;":"&amp;ADDRESS(ROW(E13),COLUMN(E13)-1),TRUE)),IF($A13="TT",SUM(INDIRECT(ADDRESS(MATCH("HE",$A:$A,0)+1,COLUMN(E13))&amp;":"&amp;ADDRESS(ROW(E13)-1,COLUMN(E13)),TRUE)),IF(ROUND(INDIRECT("EGR!"&amp;CELL("address",OFFSET(E13,0,EGR!$D$3-COLUMN(E13))),TRUE),2) * ROUND(OFFSET(INDIRECT("'Proposal Budget'!A1",TRUE),MATCH($A13,'Proposal Budget'!$A:$A,0)-1,COLUMN($AN13)-1),2)=0,0,ROUND(INDIRECT("EGR!"&amp;CELL("address",E13),TRUE),2) / ROUND(INDIRECT("EGR!"&amp;CELL("address",OFFSET(E13,0,EGR!$D$3-COLUMN(E13))),TRUE),2) * ROUND(OFFSET(INDIRECT("'Proposal Budget'!A1",TRUE),MATCH($A13,'Proposal Budget'!$A:$A,0)-1,COLUMN($AN13)-1),2)))))</f>
        <v>No budget defined</v>
      </c>
      <c r="F13" s="124" t="str">
        <f ca="1">IF(StatusBudget=0,"No budget defined",IF(OFFSET(F13,ROW(F$4)-ROW(F13),0)="TT",SUM(INDIRECT(ADDRESS(ROW(F13),COLUMN($D13)+1)&amp;":"&amp;ADDRESS(ROW(F13),COLUMN(F13)-1),TRUE)),IF($A13="TT",SUM(INDIRECT(ADDRESS(MATCH("HE",$A:$A,0)+1,COLUMN(F13))&amp;":"&amp;ADDRESS(ROW(F13)-1,COLUMN(F13)),TRUE)),IF(ROUND(INDIRECT("EGR!"&amp;CELL("address",OFFSET(F13,0,EGR!$D$3-COLUMN(F13))),TRUE),2) * ROUND(OFFSET(INDIRECT("'Proposal Budget'!A1",TRUE),MATCH($A13,'Proposal Budget'!$A:$A,0)-1,COLUMN($AN13)-1),2)=0,0,ROUND(INDIRECT("EGR!"&amp;CELL("address",F13),TRUE),2) / ROUND(INDIRECT("EGR!"&amp;CELL("address",OFFSET(F13,0,EGR!$D$3-COLUMN(F13))),TRUE),2) * ROUND(OFFSET(INDIRECT("'Proposal Budget'!A1",TRUE),MATCH($A13,'Proposal Budget'!$A:$A,0)-1,COLUMN($AN13)-1),2)))))</f>
        <v>No budget defined</v>
      </c>
      <c r="G13" s="124" t="str">
        <f ca="1">IF(StatusBudget=0,"No budget defined",IF(OFFSET(G13,ROW(G$4)-ROW(G13),0)="TT",SUM(INDIRECT(ADDRESS(ROW(G13),COLUMN($D13)+1)&amp;":"&amp;ADDRESS(ROW(G13),COLUMN(G13)-1),TRUE)),IF($A13="TT",SUM(INDIRECT(ADDRESS(MATCH("HE",$A:$A,0)+1,COLUMN(G13))&amp;":"&amp;ADDRESS(ROW(G13)-1,COLUMN(G13)),TRUE)),IF(ROUND(INDIRECT("EGR!"&amp;CELL("address",OFFSET(G13,0,EGR!$D$3-COLUMN(G13))),TRUE),2) * ROUND(OFFSET(INDIRECT("'Proposal Budget'!A1",TRUE),MATCH($A13,'Proposal Budget'!$A:$A,0)-1,COLUMN($AN13)-1),2)=0,0,ROUND(INDIRECT("EGR!"&amp;CELL("address",G13),TRUE),2) / ROUND(INDIRECT("EGR!"&amp;CELL("address",OFFSET(G13,0,EGR!$D$3-COLUMN(G13))),TRUE),2) * ROUND(OFFSET(INDIRECT("'Proposal Budget'!A1",TRUE),MATCH($A13,'Proposal Budget'!$A:$A,0)-1,COLUMN($AN13)-1),2)))))</f>
        <v>No budget defined</v>
      </c>
      <c r="H13" s="124" t="str">
        <f ca="1">IF(StatusBudget=0,"No budget defined",IF(OFFSET(H13,ROW(H$4)-ROW(H13),0)="TT",SUM(INDIRECT(ADDRESS(ROW(H13),COLUMN($D13)+1)&amp;":"&amp;ADDRESS(ROW(H13),COLUMN(H13)-1),TRUE)),IF($A13="TT",SUM(INDIRECT(ADDRESS(MATCH("HE",$A:$A,0)+1,COLUMN(H13))&amp;":"&amp;ADDRESS(ROW(H13)-1,COLUMN(H13)),TRUE)),IF(ROUND(INDIRECT("EGR!"&amp;CELL("address",OFFSET(H13,0,EGR!$D$3-COLUMN(H13))),TRUE),2) * ROUND(OFFSET(INDIRECT("'Proposal Budget'!A1",TRUE),MATCH($A13,'Proposal Budget'!$A:$A,0)-1,COLUMN($AN13)-1),2)=0,0,ROUND(INDIRECT("EGR!"&amp;CELL("address",H13),TRUE),2) / ROUND(INDIRECT("EGR!"&amp;CELL("address",OFFSET(H13,0,EGR!$D$3-COLUMN(H13))),TRUE),2) * ROUND(OFFSET(INDIRECT("'Proposal Budget'!A1",TRUE),MATCH($A13,'Proposal Budget'!$A:$A,0)-1,COLUMN($AN13)-1),2)))))</f>
        <v>No budget defined</v>
      </c>
      <c r="I13" s="124" t="str">
        <f ca="1">IF(StatusBudget=0,"No budget defined",IF(OFFSET(I13,ROW(I$4)-ROW(I13),0)="TT",SUM(INDIRECT(ADDRESS(ROW(I13),COLUMN($D13)+1)&amp;":"&amp;ADDRESS(ROW(I13),COLUMN(I13)-1),TRUE)),IF($A13="TT",SUM(INDIRECT(ADDRESS(MATCH("HE",$A:$A,0)+1,COLUMN(I13))&amp;":"&amp;ADDRESS(ROW(I13)-1,COLUMN(I13)),TRUE)),IF(ROUND(INDIRECT("EGR!"&amp;CELL("address",OFFSET(I13,0,EGR!$D$3-COLUMN(I13))),TRUE),2) * ROUND(OFFSET(INDIRECT("'Proposal Budget'!A1",TRUE),MATCH($A13,'Proposal Budget'!$A:$A,0)-1,COLUMN($AN13)-1),2)=0,0,ROUND(INDIRECT("EGR!"&amp;CELL("address",I13),TRUE),2) / ROUND(INDIRECT("EGR!"&amp;CELL("address",OFFSET(I13,0,EGR!$D$3-COLUMN(I13))),TRUE),2) * ROUND(OFFSET(INDIRECT("'Proposal Budget'!A1",TRUE),MATCH($A13,'Proposal Budget'!$A:$A,0)-1,COLUMN($AN13)-1),2)))))</f>
        <v>No budget defined</v>
      </c>
      <c r="J13" s="124" t="str">
        <f ca="1">IF(StatusBudget=0,"No budget defined",IF(OFFSET(J13,ROW(J$4)-ROW(J13),0)="TT",SUM(INDIRECT(ADDRESS(ROW(J13),COLUMN($D13)+1)&amp;":"&amp;ADDRESS(ROW(J13),COLUMN(J13)-1),TRUE)),IF($A13="TT",SUM(INDIRECT(ADDRESS(MATCH("HE",$A:$A,0)+1,COLUMN(J13))&amp;":"&amp;ADDRESS(ROW(J13)-1,COLUMN(J13)),TRUE)),IF(ROUND(INDIRECT("EGR!"&amp;CELL("address",OFFSET(J13,0,EGR!$D$3-COLUMN(J13))),TRUE),2) * ROUND(OFFSET(INDIRECT("'Proposal Budget'!A1",TRUE),MATCH($A13,'Proposal Budget'!$A:$A,0)-1,COLUMN($AN13)-1),2)=0,0,ROUND(INDIRECT("EGR!"&amp;CELL("address",J13),TRUE),2) / ROUND(INDIRECT("EGR!"&amp;CELL("address",OFFSET(J13,0,EGR!$D$3-COLUMN(J13))),TRUE),2) * ROUND(OFFSET(INDIRECT("'Proposal Budget'!A1",TRUE),MATCH($A13,'Proposal Budget'!$A:$A,0)-1,COLUMN($AN13)-1),2)))))</f>
        <v>No budget defined</v>
      </c>
      <c r="K13" s="124" t="str">
        <f ca="1">IF(StatusBudget=0,"No budget defined",IF(OFFSET(K13,ROW(K$4)-ROW(K13),0)="TT",SUM(INDIRECT(ADDRESS(ROW(K13),COLUMN($D13)+1)&amp;":"&amp;ADDRESS(ROW(K13),COLUMN(K13)-1),TRUE)),IF($A13="TT",SUM(INDIRECT(ADDRESS(MATCH("HE",$A:$A,0)+1,COLUMN(K13))&amp;":"&amp;ADDRESS(ROW(K13)-1,COLUMN(K13)),TRUE)),IF(ROUND(INDIRECT("EGR!"&amp;CELL("address",OFFSET(K13,0,EGR!$D$3-COLUMN(K13))),TRUE),2) * ROUND(OFFSET(INDIRECT("'Proposal Budget'!A1",TRUE),MATCH($A13,'Proposal Budget'!$A:$A,0)-1,COLUMN($AN13)-1),2)=0,0,ROUND(INDIRECT("EGR!"&amp;CELL("address",K13),TRUE),2) / ROUND(INDIRECT("EGR!"&amp;CELL("address",OFFSET(K13,0,EGR!$D$3-COLUMN(K13))),TRUE),2) * ROUND(OFFSET(INDIRECT("'Proposal Budget'!A1",TRUE),MATCH($A13,'Proposal Budget'!$A:$A,0)-1,COLUMN($AN13)-1),2)))))</f>
        <v>No budget defined</v>
      </c>
      <c r="L13" s="124" t="str">
        <f ca="1">IF(StatusBudget=0,"No budget defined",IF(OFFSET(L13,ROW(L$4)-ROW(L13),0)="TT",SUM(INDIRECT(ADDRESS(ROW(L13),COLUMN($D13)+1)&amp;":"&amp;ADDRESS(ROW(L13),COLUMN(L13)-1),TRUE)),IF($A13="TT",SUM(INDIRECT(ADDRESS(MATCH("HE",$A:$A,0)+1,COLUMN(L13))&amp;":"&amp;ADDRESS(ROW(L13)-1,COLUMN(L13)),TRUE)),IF(ROUND(INDIRECT("EGR!"&amp;CELL("address",OFFSET(L13,0,EGR!$D$3-COLUMN(L13))),TRUE),2) * ROUND(OFFSET(INDIRECT("'Proposal Budget'!A1",TRUE),MATCH($A13,'Proposal Budget'!$A:$A,0)-1,COLUMN($AN13)-1),2)=0,0,ROUND(INDIRECT("EGR!"&amp;CELL("address",L13),TRUE),2) / ROUND(INDIRECT("EGR!"&amp;CELL("address",OFFSET(L13,0,EGR!$D$3-COLUMN(L13))),TRUE),2) * ROUND(OFFSET(INDIRECT("'Proposal Budget'!A1",TRUE),MATCH($A13,'Proposal Budget'!$A:$A,0)-1,COLUMN($AN13)-1),2)))))</f>
        <v>No budget defined</v>
      </c>
      <c r="M13" s="124" t="str">
        <f ca="1">IF(StatusBudget=0,"No budget defined",IF(OFFSET(M13,ROW(M$4)-ROW(M13),0)="TT",SUM(INDIRECT(ADDRESS(ROW(M13),COLUMN($D13)+1)&amp;":"&amp;ADDRESS(ROW(M13),COLUMN(M13)-1),TRUE)),IF($A13="TT",SUM(INDIRECT(ADDRESS(MATCH("HE",$A:$A,0)+1,COLUMN(M13))&amp;":"&amp;ADDRESS(ROW(M13)-1,COLUMN(M13)),TRUE)),IF(ROUND(INDIRECT("EGR!"&amp;CELL("address",OFFSET(M13,0,EGR!$D$3-COLUMN(M13))),TRUE),2) * ROUND(OFFSET(INDIRECT("'Proposal Budget'!A1",TRUE),MATCH($A13,'Proposal Budget'!$A:$A,0)-1,COLUMN($AN13)-1),2)=0,0,ROUND(INDIRECT("EGR!"&amp;CELL("address",M13),TRUE),2) / ROUND(INDIRECT("EGR!"&amp;CELL("address",OFFSET(M13,0,EGR!$D$3-COLUMN(M13))),TRUE),2) * ROUND(OFFSET(INDIRECT("'Proposal Budget'!A1",TRUE),MATCH($A13,'Proposal Budget'!$A:$A,0)-1,COLUMN($AN13)-1),2)))))</f>
        <v>No budget defined</v>
      </c>
    </row>
    <row r="14" spans="1:13">
      <c r="A14">
        <v>8</v>
      </c>
      <c r="B14" s="46">
        <f t="shared" ca="1" si="1"/>
        <v>2</v>
      </c>
      <c r="C14" s="57" t="str">
        <f ca="1">IF(OFFSET(C14,0,-2)="TT","TOTAL",""&amp;INDIRECT("'Beneficiaries List'!B" &amp; MATCH(A14,'Beneficiaries List'!J:J,0),TRUE))</f>
        <v/>
      </c>
      <c r="D14" s="57" t="str">
        <f ca="1">IF(OFFSET(C14,0,-2)="TT","Consortium",""&amp;INDIRECT("'Beneficiaries List'!C" &amp; MATCH(A14,'Beneficiaries List'!J:J,0),TRUE))</f>
        <v/>
      </c>
      <c r="E14" s="124" t="str">
        <f ca="1">IF(StatusBudget=0,"No budget defined",IF(OFFSET(E14,ROW(E$4)-ROW(E14),0)="TT",SUM(INDIRECT(ADDRESS(ROW(E14),COLUMN($D14)+1)&amp;":"&amp;ADDRESS(ROW(E14),COLUMN(E14)-1),TRUE)),IF($A14="TT",SUM(INDIRECT(ADDRESS(MATCH("HE",$A:$A,0)+1,COLUMN(E14))&amp;":"&amp;ADDRESS(ROW(E14)-1,COLUMN(E14)),TRUE)),IF(ROUND(INDIRECT("EGR!"&amp;CELL("address",OFFSET(E14,0,EGR!$D$3-COLUMN(E14))),TRUE),2) * ROUND(OFFSET(INDIRECT("'Proposal Budget'!A1",TRUE),MATCH($A14,'Proposal Budget'!$A:$A,0)-1,COLUMN($AN14)-1),2)=0,0,ROUND(INDIRECT("EGR!"&amp;CELL("address",E14),TRUE),2) / ROUND(INDIRECT("EGR!"&amp;CELL("address",OFFSET(E14,0,EGR!$D$3-COLUMN(E14))),TRUE),2) * ROUND(OFFSET(INDIRECT("'Proposal Budget'!A1",TRUE),MATCH($A14,'Proposal Budget'!$A:$A,0)-1,COLUMN($AN14)-1),2)))))</f>
        <v>No budget defined</v>
      </c>
      <c r="F14" s="124" t="str">
        <f ca="1">IF(StatusBudget=0,"No budget defined",IF(OFFSET(F14,ROW(F$4)-ROW(F14),0)="TT",SUM(INDIRECT(ADDRESS(ROW(F14),COLUMN($D14)+1)&amp;":"&amp;ADDRESS(ROW(F14),COLUMN(F14)-1),TRUE)),IF($A14="TT",SUM(INDIRECT(ADDRESS(MATCH("HE",$A:$A,0)+1,COLUMN(F14))&amp;":"&amp;ADDRESS(ROW(F14)-1,COLUMN(F14)),TRUE)),IF(ROUND(INDIRECT("EGR!"&amp;CELL("address",OFFSET(F14,0,EGR!$D$3-COLUMN(F14))),TRUE),2) * ROUND(OFFSET(INDIRECT("'Proposal Budget'!A1",TRUE),MATCH($A14,'Proposal Budget'!$A:$A,0)-1,COLUMN($AN14)-1),2)=0,0,ROUND(INDIRECT("EGR!"&amp;CELL("address",F14),TRUE),2) / ROUND(INDIRECT("EGR!"&amp;CELL("address",OFFSET(F14,0,EGR!$D$3-COLUMN(F14))),TRUE),2) * ROUND(OFFSET(INDIRECT("'Proposal Budget'!A1",TRUE),MATCH($A14,'Proposal Budget'!$A:$A,0)-1,COLUMN($AN14)-1),2)))))</f>
        <v>No budget defined</v>
      </c>
      <c r="G14" s="124" t="str">
        <f ca="1">IF(StatusBudget=0,"No budget defined",IF(OFFSET(G14,ROW(G$4)-ROW(G14),0)="TT",SUM(INDIRECT(ADDRESS(ROW(G14),COLUMN($D14)+1)&amp;":"&amp;ADDRESS(ROW(G14),COLUMN(G14)-1),TRUE)),IF($A14="TT",SUM(INDIRECT(ADDRESS(MATCH("HE",$A:$A,0)+1,COLUMN(G14))&amp;":"&amp;ADDRESS(ROW(G14)-1,COLUMN(G14)),TRUE)),IF(ROUND(INDIRECT("EGR!"&amp;CELL("address",OFFSET(G14,0,EGR!$D$3-COLUMN(G14))),TRUE),2) * ROUND(OFFSET(INDIRECT("'Proposal Budget'!A1",TRUE),MATCH($A14,'Proposal Budget'!$A:$A,0)-1,COLUMN($AN14)-1),2)=0,0,ROUND(INDIRECT("EGR!"&amp;CELL("address",G14),TRUE),2) / ROUND(INDIRECT("EGR!"&amp;CELL("address",OFFSET(G14,0,EGR!$D$3-COLUMN(G14))),TRUE),2) * ROUND(OFFSET(INDIRECT("'Proposal Budget'!A1",TRUE),MATCH($A14,'Proposal Budget'!$A:$A,0)-1,COLUMN($AN14)-1),2)))))</f>
        <v>No budget defined</v>
      </c>
      <c r="H14" s="124" t="str">
        <f ca="1">IF(StatusBudget=0,"No budget defined",IF(OFFSET(H14,ROW(H$4)-ROW(H14),0)="TT",SUM(INDIRECT(ADDRESS(ROW(H14),COLUMN($D14)+1)&amp;":"&amp;ADDRESS(ROW(H14),COLUMN(H14)-1),TRUE)),IF($A14="TT",SUM(INDIRECT(ADDRESS(MATCH("HE",$A:$A,0)+1,COLUMN(H14))&amp;":"&amp;ADDRESS(ROW(H14)-1,COLUMN(H14)),TRUE)),IF(ROUND(INDIRECT("EGR!"&amp;CELL("address",OFFSET(H14,0,EGR!$D$3-COLUMN(H14))),TRUE),2) * ROUND(OFFSET(INDIRECT("'Proposal Budget'!A1",TRUE),MATCH($A14,'Proposal Budget'!$A:$A,0)-1,COLUMN($AN14)-1),2)=0,0,ROUND(INDIRECT("EGR!"&amp;CELL("address",H14),TRUE),2) / ROUND(INDIRECT("EGR!"&amp;CELL("address",OFFSET(H14,0,EGR!$D$3-COLUMN(H14))),TRUE),2) * ROUND(OFFSET(INDIRECT("'Proposal Budget'!A1",TRUE),MATCH($A14,'Proposal Budget'!$A:$A,0)-1,COLUMN($AN14)-1),2)))))</f>
        <v>No budget defined</v>
      </c>
      <c r="I14" s="124" t="str">
        <f ca="1">IF(StatusBudget=0,"No budget defined",IF(OFFSET(I14,ROW(I$4)-ROW(I14),0)="TT",SUM(INDIRECT(ADDRESS(ROW(I14),COLUMN($D14)+1)&amp;":"&amp;ADDRESS(ROW(I14),COLUMN(I14)-1),TRUE)),IF($A14="TT",SUM(INDIRECT(ADDRESS(MATCH("HE",$A:$A,0)+1,COLUMN(I14))&amp;":"&amp;ADDRESS(ROW(I14)-1,COLUMN(I14)),TRUE)),IF(ROUND(INDIRECT("EGR!"&amp;CELL("address",OFFSET(I14,0,EGR!$D$3-COLUMN(I14))),TRUE),2) * ROUND(OFFSET(INDIRECT("'Proposal Budget'!A1",TRUE),MATCH($A14,'Proposal Budget'!$A:$A,0)-1,COLUMN($AN14)-1),2)=0,0,ROUND(INDIRECT("EGR!"&amp;CELL("address",I14),TRUE),2) / ROUND(INDIRECT("EGR!"&amp;CELL("address",OFFSET(I14,0,EGR!$D$3-COLUMN(I14))),TRUE),2) * ROUND(OFFSET(INDIRECT("'Proposal Budget'!A1",TRUE),MATCH($A14,'Proposal Budget'!$A:$A,0)-1,COLUMN($AN14)-1),2)))))</f>
        <v>No budget defined</v>
      </c>
      <c r="J14" s="124" t="str">
        <f ca="1">IF(StatusBudget=0,"No budget defined",IF(OFFSET(J14,ROW(J$4)-ROW(J14),0)="TT",SUM(INDIRECT(ADDRESS(ROW(J14),COLUMN($D14)+1)&amp;":"&amp;ADDRESS(ROW(J14),COLUMN(J14)-1),TRUE)),IF($A14="TT",SUM(INDIRECT(ADDRESS(MATCH("HE",$A:$A,0)+1,COLUMN(J14))&amp;":"&amp;ADDRESS(ROW(J14)-1,COLUMN(J14)),TRUE)),IF(ROUND(INDIRECT("EGR!"&amp;CELL("address",OFFSET(J14,0,EGR!$D$3-COLUMN(J14))),TRUE),2) * ROUND(OFFSET(INDIRECT("'Proposal Budget'!A1",TRUE),MATCH($A14,'Proposal Budget'!$A:$A,0)-1,COLUMN($AN14)-1),2)=0,0,ROUND(INDIRECT("EGR!"&amp;CELL("address",J14),TRUE),2) / ROUND(INDIRECT("EGR!"&amp;CELL("address",OFFSET(J14,0,EGR!$D$3-COLUMN(J14))),TRUE),2) * ROUND(OFFSET(INDIRECT("'Proposal Budget'!A1",TRUE),MATCH($A14,'Proposal Budget'!$A:$A,0)-1,COLUMN($AN14)-1),2)))))</f>
        <v>No budget defined</v>
      </c>
      <c r="K14" s="124" t="str">
        <f ca="1">IF(StatusBudget=0,"No budget defined",IF(OFFSET(K14,ROW(K$4)-ROW(K14),0)="TT",SUM(INDIRECT(ADDRESS(ROW(K14),COLUMN($D14)+1)&amp;":"&amp;ADDRESS(ROW(K14),COLUMN(K14)-1),TRUE)),IF($A14="TT",SUM(INDIRECT(ADDRESS(MATCH("HE",$A:$A,0)+1,COLUMN(K14))&amp;":"&amp;ADDRESS(ROW(K14)-1,COLUMN(K14)),TRUE)),IF(ROUND(INDIRECT("EGR!"&amp;CELL("address",OFFSET(K14,0,EGR!$D$3-COLUMN(K14))),TRUE),2) * ROUND(OFFSET(INDIRECT("'Proposal Budget'!A1",TRUE),MATCH($A14,'Proposal Budget'!$A:$A,0)-1,COLUMN($AN14)-1),2)=0,0,ROUND(INDIRECT("EGR!"&amp;CELL("address",K14),TRUE),2) / ROUND(INDIRECT("EGR!"&amp;CELL("address",OFFSET(K14,0,EGR!$D$3-COLUMN(K14))),TRUE),2) * ROUND(OFFSET(INDIRECT("'Proposal Budget'!A1",TRUE),MATCH($A14,'Proposal Budget'!$A:$A,0)-1,COLUMN($AN14)-1),2)))))</f>
        <v>No budget defined</v>
      </c>
      <c r="L14" s="124" t="str">
        <f ca="1">IF(StatusBudget=0,"No budget defined",IF(OFFSET(L14,ROW(L$4)-ROW(L14),0)="TT",SUM(INDIRECT(ADDRESS(ROW(L14),COLUMN($D14)+1)&amp;":"&amp;ADDRESS(ROW(L14),COLUMN(L14)-1),TRUE)),IF($A14="TT",SUM(INDIRECT(ADDRESS(MATCH("HE",$A:$A,0)+1,COLUMN(L14))&amp;":"&amp;ADDRESS(ROW(L14)-1,COLUMN(L14)),TRUE)),IF(ROUND(INDIRECT("EGR!"&amp;CELL("address",OFFSET(L14,0,EGR!$D$3-COLUMN(L14))),TRUE),2) * ROUND(OFFSET(INDIRECT("'Proposal Budget'!A1",TRUE),MATCH($A14,'Proposal Budget'!$A:$A,0)-1,COLUMN($AN14)-1),2)=0,0,ROUND(INDIRECT("EGR!"&amp;CELL("address",L14),TRUE),2) / ROUND(INDIRECT("EGR!"&amp;CELL("address",OFFSET(L14,0,EGR!$D$3-COLUMN(L14))),TRUE),2) * ROUND(OFFSET(INDIRECT("'Proposal Budget'!A1",TRUE),MATCH($A14,'Proposal Budget'!$A:$A,0)-1,COLUMN($AN14)-1),2)))))</f>
        <v>No budget defined</v>
      </c>
      <c r="M14" s="124" t="str">
        <f ca="1">IF(StatusBudget=0,"No budget defined",IF(OFFSET(M14,ROW(M$4)-ROW(M14),0)="TT",SUM(INDIRECT(ADDRESS(ROW(M14),COLUMN($D14)+1)&amp;":"&amp;ADDRESS(ROW(M14),COLUMN(M14)-1),TRUE)),IF($A14="TT",SUM(INDIRECT(ADDRESS(MATCH("HE",$A:$A,0)+1,COLUMN(M14))&amp;":"&amp;ADDRESS(ROW(M14)-1,COLUMN(M14)),TRUE)),IF(ROUND(INDIRECT("EGR!"&amp;CELL("address",OFFSET(M14,0,EGR!$D$3-COLUMN(M14))),TRUE),2) * ROUND(OFFSET(INDIRECT("'Proposal Budget'!A1",TRUE),MATCH($A14,'Proposal Budget'!$A:$A,0)-1,COLUMN($AN14)-1),2)=0,0,ROUND(INDIRECT("EGR!"&amp;CELL("address",M14),TRUE),2) / ROUND(INDIRECT("EGR!"&amp;CELL("address",OFFSET(M14,0,EGR!$D$3-COLUMN(M14))),TRUE),2) * ROUND(OFFSET(INDIRECT("'Proposal Budget'!A1",TRUE),MATCH($A14,'Proposal Budget'!$A:$A,0)-1,COLUMN($AN14)-1),2)))))</f>
        <v>No budget defined</v>
      </c>
    </row>
    <row r="15" spans="1:13">
      <c r="A15">
        <v>9</v>
      </c>
      <c r="B15" s="46">
        <f t="shared" ca="1" si="1"/>
        <v>1</v>
      </c>
      <c r="C15" s="57" t="str">
        <f ca="1">IF(OFFSET(C15,0,-2)="TT","TOTAL",""&amp;INDIRECT("'Beneficiaries List'!B" &amp; MATCH(A15,'Beneficiaries List'!J:J,0),TRUE))</f>
        <v/>
      </c>
      <c r="D15" s="57" t="str">
        <f ca="1">IF(OFFSET(C15,0,-2)="TT","Consortium",""&amp;INDIRECT("'Beneficiaries List'!C" &amp; MATCH(A15,'Beneficiaries List'!J:J,0),TRUE))</f>
        <v/>
      </c>
      <c r="E15" s="124" t="str">
        <f ca="1">IF(StatusBudget=0,"No budget defined",IF(OFFSET(E15,ROW(E$4)-ROW(E15),0)="TT",SUM(INDIRECT(ADDRESS(ROW(E15),COLUMN($D15)+1)&amp;":"&amp;ADDRESS(ROW(E15),COLUMN(E15)-1),TRUE)),IF($A15="TT",SUM(INDIRECT(ADDRESS(MATCH("HE",$A:$A,0)+1,COLUMN(E15))&amp;":"&amp;ADDRESS(ROW(E15)-1,COLUMN(E15)),TRUE)),IF(ROUND(INDIRECT("EGR!"&amp;CELL("address",OFFSET(E15,0,EGR!$D$3-COLUMN(E15))),TRUE),2) * ROUND(OFFSET(INDIRECT("'Proposal Budget'!A1",TRUE),MATCH($A15,'Proposal Budget'!$A:$A,0)-1,COLUMN($AN15)-1),2)=0,0,ROUND(INDIRECT("EGR!"&amp;CELL("address",E15),TRUE),2) / ROUND(INDIRECT("EGR!"&amp;CELL("address",OFFSET(E15,0,EGR!$D$3-COLUMN(E15))),TRUE),2) * ROUND(OFFSET(INDIRECT("'Proposal Budget'!A1",TRUE),MATCH($A15,'Proposal Budget'!$A:$A,0)-1,COLUMN($AN15)-1),2)))))</f>
        <v>No budget defined</v>
      </c>
      <c r="F15" s="124" t="str">
        <f ca="1">IF(StatusBudget=0,"No budget defined",IF(OFFSET(F15,ROW(F$4)-ROW(F15),0)="TT",SUM(INDIRECT(ADDRESS(ROW(F15),COLUMN($D15)+1)&amp;":"&amp;ADDRESS(ROW(F15),COLUMN(F15)-1),TRUE)),IF($A15="TT",SUM(INDIRECT(ADDRESS(MATCH("HE",$A:$A,0)+1,COLUMN(F15))&amp;":"&amp;ADDRESS(ROW(F15)-1,COLUMN(F15)),TRUE)),IF(ROUND(INDIRECT("EGR!"&amp;CELL("address",OFFSET(F15,0,EGR!$D$3-COLUMN(F15))),TRUE),2) * ROUND(OFFSET(INDIRECT("'Proposal Budget'!A1",TRUE),MATCH($A15,'Proposal Budget'!$A:$A,0)-1,COLUMN($AN15)-1),2)=0,0,ROUND(INDIRECT("EGR!"&amp;CELL("address",F15),TRUE),2) / ROUND(INDIRECT("EGR!"&amp;CELL("address",OFFSET(F15,0,EGR!$D$3-COLUMN(F15))),TRUE),2) * ROUND(OFFSET(INDIRECT("'Proposal Budget'!A1",TRUE),MATCH($A15,'Proposal Budget'!$A:$A,0)-1,COLUMN($AN15)-1),2)))))</f>
        <v>No budget defined</v>
      </c>
      <c r="G15" s="124" t="str">
        <f ca="1">IF(StatusBudget=0,"No budget defined",IF(OFFSET(G15,ROW(G$4)-ROW(G15),0)="TT",SUM(INDIRECT(ADDRESS(ROW(G15),COLUMN($D15)+1)&amp;":"&amp;ADDRESS(ROW(G15),COLUMN(G15)-1),TRUE)),IF($A15="TT",SUM(INDIRECT(ADDRESS(MATCH("HE",$A:$A,0)+1,COLUMN(G15))&amp;":"&amp;ADDRESS(ROW(G15)-1,COLUMN(G15)),TRUE)),IF(ROUND(INDIRECT("EGR!"&amp;CELL("address",OFFSET(G15,0,EGR!$D$3-COLUMN(G15))),TRUE),2) * ROUND(OFFSET(INDIRECT("'Proposal Budget'!A1",TRUE),MATCH($A15,'Proposal Budget'!$A:$A,0)-1,COLUMN($AN15)-1),2)=0,0,ROUND(INDIRECT("EGR!"&amp;CELL("address",G15),TRUE),2) / ROUND(INDIRECT("EGR!"&amp;CELL("address",OFFSET(G15,0,EGR!$D$3-COLUMN(G15))),TRUE),2) * ROUND(OFFSET(INDIRECT("'Proposal Budget'!A1",TRUE),MATCH($A15,'Proposal Budget'!$A:$A,0)-1,COLUMN($AN15)-1),2)))))</f>
        <v>No budget defined</v>
      </c>
      <c r="H15" s="124" t="str">
        <f ca="1">IF(StatusBudget=0,"No budget defined",IF(OFFSET(H15,ROW(H$4)-ROW(H15),0)="TT",SUM(INDIRECT(ADDRESS(ROW(H15),COLUMN($D15)+1)&amp;":"&amp;ADDRESS(ROW(H15),COLUMN(H15)-1),TRUE)),IF($A15="TT",SUM(INDIRECT(ADDRESS(MATCH("HE",$A:$A,0)+1,COLUMN(H15))&amp;":"&amp;ADDRESS(ROW(H15)-1,COLUMN(H15)),TRUE)),IF(ROUND(INDIRECT("EGR!"&amp;CELL("address",OFFSET(H15,0,EGR!$D$3-COLUMN(H15))),TRUE),2) * ROUND(OFFSET(INDIRECT("'Proposal Budget'!A1",TRUE),MATCH($A15,'Proposal Budget'!$A:$A,0)-1,COLUMN($AN15)-1),2)=0,0,ROUND(INDIRECT("EGR!"&amp;CELL("address",H15),TRUE),2) / ROUND(INDIRECT("EGR!"&amp;CELL("address",OFFSET(H15,0,EGR!$D$3-COLUMN(H15))),TRUE),2) * ROUND(OFFSET(INDIRECT("'Proposal Budget'!A1",TRUE),MATCH($A15,'Proposal Budget'!$A:$A,0)-1,COLUMN($AN15)-1),2)))))</f>
        <v>No budget defined</v>
      </c>
      <c r="I15" s="124" t="str">
        <f ca="1">IF(StatusBudget=0,"No budget defined",IF(OFFSET(I15,ROW(I$4)-ROW(I15),0)="TT",SUM(INDIRECT(ADDRESS(ROW(I15),COLUMN($D15)+1)&amp;":"&amp;ADDRESS(ROW(I15),COLUMN(I15)-1),TRUE)),IF($A15="TT",SUM(INDIRECT(ADDRESS(MATCH("HE",$A:$A,0)+1,COLUMN(I15))&amp;":"&amp;ADDRESS(ROW(I15)-1,COLUMN(I15)),TRUE)),IF(ROUND(INDIRECT("EGR!"&amp;CELL("address",OFFSET(I15,0,EGR!$D$3-COLUMN(I15))),TRUE),2) * ROUND(OFFSET(INDIRECT("'Proposal Budget'!A1",TRUE),MATCH($A15,'Proposal Budget'!$A:$A,0)-1,COLUMN($AN15)-1),2)=0,0,ROUND(INDIRECT("EGR!"&amp;CELL("address",I15),TRUE),2) / ROUND(INDIRECT("EGR!"&amp;CELL("address",OFFSET(I15,0,EGR!$D$3-COLUMN(I15))),TRUE),2) * ROUND(OFFSET(INDIRECT("'Proposal Budget'!A1",TRUE),MATCH($A15,'Proposal Budget'!$A:$A,0)-1,COLUMN($AN15)-1),2)))))</f>
        <v>No budget defined</v>
      </c>
      <c r="J15" s="124" t="str">
        <f ca="1">IF(StatusBudget=0,"No budget defined",IF(OFFSET(J15,ROW(J$4)-ROW(J15),0)="TT",SUM(INDIRECT(ADDRESS(ROW(J15),COLUMN($D15)+1)&amp;":"&amp;ADDRESS(ROW(J15),COLUMN(J15)-1),TRUE)),IF($A15="TT",SUM(INDIRECT(ADDRESS(MATCH("HE",$A:$A,0)+1,COLUMN(J15))&amp;":"&amp;ADDRESS(ROW(J15)-1,COLUMN(J15)),TRUE)),IF(ROUND(INDIRECT("EGR!"&amp;CELL("address",OFFSET(J15,0,EGR!$D$3-COLUMN(J15))),TRUE),2) * ROUND(OFFSET(INDIRECT("'Proposal Budget'!A1",TRUE),MATCH($A15,'Proposal Budget'!$A:$A,0)-1,COLUMN($AN15)-1),2)=0,0,ROUND(INDIRECT("EGR!"&amp;CELL("address",J15),TRUE),2) / ROUND(INDIRECT("EGR!"&amp;CELL("address",OFFSET(J15,0,EGR!$D$3-COLUMN(J15))),TRUE),2) * ROUND(OFFSET(INDIRECT("'Proposal Budget'!A1",TRUE),MATCH($A15,'Proposal Budget'!$A:$A,0)-1,COLUMN($AN15)-1),2)))))</f>
        <v>No budget defined</v>
      </c>
      <c r="K15" s="124" t="str">
        <f ca="1">IF(StatusBudget=0,"No budget defined",IF(OFFSET(K15,ROW(K$4)-ROW(K15),0)="TT",SUM(INDIRECT(ADDRESS(ROW(K15),COLUMN($D15)+1)&amp;":"&amp;ADDRESS(ROW(K15),COLUMN(K15)-1),TRUE)),IF($A15="TT",SUM(INDIRECT(ADDRESS(MATCH("HE",$A:$A,0)+1,COLUMN(K15))&amp;":"&amp;ADDRESS(ROW(K15)-1,COLUMN(K15)),TRUE)),IF(ROUND(INDIRECT("EGR!"&amp;CELL("address",OFFSET(K15,0,EGR!$D$3-COLUMN(K15))),TRUE),2) * ROUND(OFFSET(INDIRECT("'Proposal Budget'!A1",TRUE),MATCH($A15,'Proposal Budget'!$A:$A,0)-1,COLUMN($AN15)-1),2)=0,0,ROUND(INDIRECT("EGR!"&amp;CELL("address",K15),TRUE),2) / ROUND(INDIRECT("EGR!"&amp;CELL("address",OFFSET(K15,0,EGR!$D$3-COLUMN(K15))),TRUE),2) * ROUND(OFFSET(INDIRECT("'Proposal Budget'!A1",TRUE),MATCH($A15,'Proposal Budget'!$A:$A,0)-1,COLUMN($AN15)-1),2)))))</f>
        <v>No budget defined</v>
      </c>
      <c r="L15" s="124" t="str">
        <f ca="1">IF(StatusBudget=0,"No budget defined",IF(OFFSET(L15,ROW(L$4)-ROW(L15),0)="TT",SUM(INDIRECT(ADDRESS(ROW(L15),COLUMN($D15)+1)&amp;":"&amp;ADDRESS(ROW(L15),COLUMN(L15)-1),TRUE)),IF($A15="TT",SUM(INDIRECT(ADDRESS(MATCH("HE",$A:$A,0)+1,COLUMN(L15))&amp;":"&amp;ADDRESS(ROW(L15)-1,COLUMN(L15)),TRUE)),IF(ROUND(INDIRECT("EGR!"&amp;CELL("address",OFFSET(L15,0,EGR!$D$3-COLUMN(L15))),TRUE),2) * ROUND(OFFSET(INDIRECT("'Proposal Budget'!A1",TRUE),MATCH($A15,'Proposal Budget'!$A:$A,0)-1,COLUMN($AN15)-1),2)=0,0,ROUND(INDIRECT("EGR!"&amp;CELL("address",L15),TRUE),2) / ROUND(INDIRECT("EGR!"&amp;CELL("address",OFFSET(L15,0,EGR!$D$3-COLUMN(L15))),TRUE),2) * ROUND(OFFSET(INDIRECT("'Proposal Budget'!A1",TRUE),MATCH($A15,'Proposal Budget'!$A:$A,0)-1,COLUMN($AN15)-1),2)))))</f>
        <v>No budget defined</v>
      </c>
      <c r="M15" s="124" t="str">
        <f ca="1">IF(StatusBudget=0,"No budget defined",IF(OFFSET(M15,ROW(M$4)-ROW(M15),0)="TT",SUM(INDIRECT(ADDRESS(ROW(M15),COLUMN($D15)+1)&amp;":"&amp;ADDRESS(ROW(M15),COLUMN(M15)-1),TRUE)),IF($A15="TT",SUM(INDIRECT(ADDRESS(MATCH("HE",$A:$A,0)+1,COLUMN(M15))&amp;":"&amp;ADDRESS(ROW(M15)-1,COLUMN(M15)),TRUE)),IF(ROUND(INDIRECT("EGR!"&amp;CELL("address",OFFSET(M15,0,EGR!$D$3-COLUMN(M15))),TRUE),2) * ROUND(OFFSET(INDIRECT("'Proposal Budget'!A1",TRUE),MATCH($A15,'Proposal Budget'!$A:$A,0)-1,COLUMN($AN15)-1),2)=0,0,ROUND(INDIRECT("EGR!"&amp;CELL("address",M15),TRUE),2) / ROUND(INDIRECT("EGR!"&amp;CELL("address",OFFSET(M15,0,EGR!$D$3-COLUMN(M15))),TRUE),2) * ROUND(OFFSET(INDIRECT("'Proposal Budget'!A1",TRUE),MATCH($A15,'Proposal Budget'!$A:$A,0)-1,COLUMN($AN15)-1),2)))))</f>
        <v>No budget defined</v>
      </c>
    </row>
    <row r="16" spans="1:13">
      <c r="A16">
        <v>10</v>
      </c>
      <c r="B16" s="46">
        <f t="shared" ca="1" si="1"/>
        <v>2</v>
      </c>
      <c r="C16" s="57" t="str">
        <f ca="1">IF(OFFSET(C16,0,-2)="TT","TOTAL",""&amp;INDIRECT("'Beneficiaries List'!B" &amp; MATCH(A16,'Beneficiaries List'!J:J,0),TRUE))</f>
        <v/>
      </c>
      <c r="D16" s="57" t="str">
        <f ca="1">IF(OFFSET(C16,0,-2)="TT","Consortium",""&amp;INDIRECT("'Beneficiaries List'!C" &amp; MATCH(A16,'Beneficiaries List'!J:J,0),TRUE))</f>
        <v/>
      </c>
      <c r="E16" s="124" t="str">
        <f ca="1">IF(StatusBudget=0,"No budget defined",IF(OFFSET(E16,ROW(E$4)-ROW(E16),0)="TT",SUM(INDIRECT(ADDRESS(ROW(E16),COLUMN($D16)+1)&amp;":"&amp;ADDRESS(ROW(E16),COLUMN(E16)-1),TRUE)),IF($A16="TT",SUM(INDIRECT(ADDRESS(MATCH("HE",$A:$A,0)+1,COLUMN(E16))&amp;":"&amp;ADDRESS(ROW(E16)-1,COLUMN(E16)),TRUE)),IF(ROUND(INDIRECT("EGR!"&amp;CELL("address",OFFSET(E16,0,EGR!$D$3-COLUMN(E16))),TRUE),2) * ROUND(OFFSET(INDIRECT("'Proposal Budget'!A1",TRUE),MATCH($A16,'Proposal Budget'!$A:$A,0)-1,COLUMN($AN16)-1),2)=0,0,ROUND(INDIRECT("EGR!"&amp;CELL("address",E16),TRUE),2) / ROUND(INDIRECT("EGR!"&amp;CELL("address",OFFSET(E16,0,EGR!$D$3-COLUMN(E16))),TRUE),2) * ROUND(OFFSET(INDIRECT("'Proposal Budget'!A1",TRUE),MATCH($A16,'Proposal Budget'!$A:$A,0)-1,COLUMN($AN16)-1),2)))))</f>
        <v>No budget defined</v>
      </c>
      <c r="F16" s="124" t="str">
        <f ca="1">IF(StatusBudget=0,"No budget defined",IF(OFFSET(F16,ROW(F$4)-ROW(F16),0)="TT",SUM(INDIRECT(ADDRESS(ROW(F16),COLUMN($D16)+1)&amp;":"&amp;ADDRESS(ROW(F16),COLUMN(F16)-1),TRUE)),IF($A16="TT",SUM(INDIRECT(ADDRESS(MATCH("HE",$A:$A,0)+1,COLUMN(F16))&amp;":"&amp;ADDRESS(ROW(F16)-1,COLUMN(F16)),TRUE)),IF(ROUND(INDIRECT("EGR!"&amp;CELL("address",OFFSET(F16,0,EGR!$D$3-COLUMN(F16))),TRUE),2) * ROUND(OFFSET(INDIRECT("'Proposal Budget'!A1",TRUE),MATCH($A16,'Proposal Budget'!$A:$A,0)-1,COLUMN($AN16)-1),2)=0,0,ROUND(INDIRECT("EGR!"&amp;CELL("address",F16),TRUE),2) / ROUND(INDIRECT("EGR!"&amp;CELL("address",OFFSET(F16,0,EGR!$D$3-COLUMN(F16))),TRUE),2) * ROUND(OFFSET(INDIRECT("'Proposal Budget'!A1",TRUE),MATCH($A16,'Proposal Budget'!$A:$A,0)-1,COLUMN($AN16)-1),2)))))</f>
        <v>No budget defined</v>
      </c>
      <c r="G16" s="124" t="str">
        <f ca="1">IF(StatusBudget=0,"No budget defined",IF(OFFSET(G16,ROW(G$4)-ROW(G16),0)="TT",SUM(INDIRECT(ADDRESS(ROW(G16),COLUMN($D16)+1)&amp;":"&amp;ADDRESS(ROW(G16),COLUMN(G16)-1),TRUE)),IF($A16="TT",SUM(INDIRECT(ADDRESS(MATCH("HE",$A:$A,0)+1,COLUMN(G16))&amp;":"&amp;ADDRESS(ROW(G16)-1,COLUMN(G16)),TRUE)),IF(ROUND(INDIRECT("EGR!"&amp;CELL("address",OFFSET(G16,0,EGR!$D$3-COLUMN(G16))),TRUE),2) * ROUND(OFFSET(INDIRECT("'Proposal Budget'!A1",TRUE),MATCH($A16,'Proposal Budget'!$A:$A,0)-1,COLUMN($AN16)-1),2)=0,0,ROUND(INDIRECT("EGR!"&amp;CELL("address",G16),TRUE),2) / ROUND(INDIRECT("EGR!"&amp;CELL("address",OFFSET(G16,0,EGR!$D$3-COLUMN(G16))),TRUE),2) * ROUND(OFFSET(INDIRECT("'Proposal Budget'!A1",TRUE),MATCH($A16,'Proposal Budget'!$A:$A,0)-1,COLUMN($AN16)-1),2)))))</f>
        <v>No budget defined</v>
      </c>
      <c r="H16" s="124" t="str">
        <f ca="1">IF(StatusBudget=0,"No budget defined",IF(OFFSET(H16,ROW(H$4)-ROW(H16),0)="TT",SUM(INDIRECT(ADDRESS(ROW(H16),COLUMN($D16)+1)&amp;":"&amp;ADDRESS(ROW(H16),COLUMN(H16)-1),TRUE)),IF($A16="TT",SUM(INDIRECT(ADDRESS(MATCH("HE",$A:$A,0)+1,COLUMN(H16))&amp;":"&amp;ADDRESS(ROW(H16)-1,COLUMN(H16)),TRUE)),IF(ROUND(INDIRECT("EGR!"&amp;CELL("address",OFFSET(H16,0,EGR!$D$3-COLUMN(H16))),TRUE),2) * ROUND(OFFSET(INDIRECT("'Proposal Budget'!A1",TRUE),MATCH($A16,'Proposal Budget'!$A:$A,0)-1,COLUMN($AN16)-1),2)=0,0,ROUND(INDIRECT("EGR!"&amp;CELL("address",H16),TRUE),2) / ROUND(INDIRECT("EGR!"&amp;CELL("address",OFFSET(H16,0,EGR!$D$3-COLUMN(H16))),TRUE),2) * ROUND(OFFSET(INDIRECT("'Proposal Budget'!A1",TRUE),MATCH($A16,'Proposal Budget'!$A:$A,0)-1,COLUMN($AN16)-1),2)))))</f>
        <v>No budget defined</v>
      </c>
      <c r="I16" s="124" t="str">
        <f ca="1">IF(StatusBudget=0,"No budget defined",IF(OFFSET(I16,ROW(I$4)-ROW(I16),0)="TT",SUM(INDIRECT(ADDRESS(ROW(I16),COLUMN($D16)+1)&amp;":"&amp;ADDRESS(ROW(I16),COLUMN(I16)-1),TRUE)),IF($A16="TT",SUM(INDIRECT(ADDRESS(MATCH("HE",$A:$A,0)+1,COLUMN(I16))&amp;":"&amp;ADDRESS(ROW(I16)-1,COLUMN(I16)),TRUE)),IF(ROUND(INDIRECT("EGR!"&amp;CELL("address",OFFSET(I16,0,EGR!$D$3-COLUMN(I16))),TRUE),2) * ROUND(OFFSET(INDIRECT("'Proposal Budget'!A1",TRUE),MATCH($A16,'Proposal Budget'!$A:$A,0)-1,COLUMN($AN16)-1),2)=0,0,ROUND(INDIRECT("EGR!"&amp;CELL("address",I16),TRUE),2) / ROUND(INDIRECT("EGR!"&amp;CELL("address",OFFSET(I16,0,EGR!$D$3-COLUMN(I16))),TRUE),2) * ROUND(OFFSET(INDIRECT("'Proposal Budget'!A1",TRUE),MATCH($A16,'Proposal Budget'!$A:$A,0)-1,COLUMN($AN16)-1),2)))))</f>
        <v>No budget defined</v>
      </c>
      <c r="J16" s="124" t="str">
        <f ca="1">IF(StatusBudget=0,"No budget defined",IF(OFFSET(J16,ROW(J$4)-ROW(J16),0)="TT",SUM(INDIRECT(ADDRESS(ROW(J16),COLUMN($D16)+1)&amp;":"&amp;ADDRESS(ROW(J16),COLUMN(J16)-1),TRUE)),IF($A16="TT",SUM(INDIRECT(ADDRESS(MATCH("HE",$A:$A,0)+1,COLUMN(J16))&amp;":"&amp;ADDRESS(ROW(J16)-1,COLUMN(J16)),TRUE)),IF(ROUND(INDIRECT("EGR!"&amp;CELL("address",OFFSET(J16,0,EGR!$D$3-COLUMN(J16))),TRUE),2) * ROUND(OFFSET(INDIRECT("'Proposal Budget'!A1",TRUE),MATCH($A16,'Proposal Budget'!$A:$A,0)-1,COLUMN($AN16)-1),2)=0,0,ROUND(INDIRECT("EGR!"&amp;CELL("address",J16),TRUE),2) / ROUND(INDIRECT("EGR!"&amp;CELL("address",OFFSET(J16,0,EGR!$D$3-COLUMN(J16))),TRUE),2) * ROUND(OFFSET(INDIRECT("'Proposal Budget'!A1",TRUE),MATCH($A16,'Proposal Budget'!$A:$A,0)-1,COLUMN($AN16)-1),2)))))</f>
        <v>No budget defined</v>
      </c>
      <c r="K16" s="124" t="str">
        <f ca="1">IF(StatusBudget=0,"No budget defined",IF(OFFSET(K16,ROW(K$4)-ROW(K16),0)="TT",SUM(INDIRECT(ADDRESS(ROW(K16),COLUMN($D16)+1)&amp;":"&amp;ADDRESS(ROW(K16),COLUMN(K16)-1),TRUE)),IF($A16="TT",SUM(INDIRECT(ADDRESS(MATCH("HE",$A:$A,0)+1,COLUMN(K16))&amp;":"&amp;ADDRESS(ROW(K16)-1,COLUMN(K16)),TRUE)),IF(ROUND(INDIRECT("EGR!"&amp;CELL("address",OFFSET(K16,0,EGR!$D$3-COLUMN(K16))),TRUE),2) * ROUND(OFFSET(INDIRECT("'Proposal Budget'!A1",TRUE),MATCH($A16,'Proposal Budget'!$A:$A,0)-1,COLUMN($AN16)-1),2)=0,0,ROUND(INDIRECT("EGR!"&amp;CELL("address",K16),TRUE),2) / ROUND(INDIRECT("EGR!"&amp;CELL("address",OFFSET(K16,0,EGR!$D$3-COLUMN(K16))),TRUE),2) * ROUND(OFFSET(INDIRECT("'Proposal Budget'!A1",TRUE),MATCH($A16,'Proposal Budget'!$A:$A,0)-1,COLUMN($AN16)-1),2)))))</f>
        <v>No budget defined</v>
      </c>
      <c r="L16" s="124" t="str">
        <f ca="1">IF(StatusBudget=0,"No budget defined",IF(OFFSET(L16,ROW(L$4)-ROW(L16),0)="TT",SUM(INDIRECT(ADDRESS(ROW(L16),COLUMN($D16)+1)&amp;":"&amp;ADDRESS(ROW(L16),COLUMN(L16)-1),TRUE)),IF($A16="TT",SUM(INDIRECT(ADDRESS(MATCH("HE",$A:$A,0)+1,COLUMN(L16))&amp;":"&amp;ADDRESS(ROW(L16)-1,COLUMN(L16)),TRUE)),IF(ROUND(INDIRECT("EGR!"&amp;CELL("address",OFFSET(L16,0,EGR!$D$3-COLUMN(L16))),TRUE),2) * ROUND(OFFSET(INDIRECT("'Proposal Budget'!A1",TRUE),MATCH($A16,'Proposal Budget'!$A:$A,0)-1,COLUMN($AN16)-1),2)=0,0,ROUND(INDIRECT("EGR!"&amp;CELL("address",L16),TRUE),2) / ROUND(INDIRECT("EGR!"&amp;CELL("address",OFFSET(L16,0,EGR!$D$3-COLUMN(L16))),TRUE),2) * ROUND(OFFSET(INDIRECT("'Proposal Budget'!A1",TRUE),MATCH($A16,'Proposal Budget'!$A:$A,0)-1,COLUMN($AN16)-1),2)))))</f>
        <v>No budget defined</v>
      </c>
      <c r="M16" s="124" t="str">
        <f ca="1">IF(StatusBudget=0,"No budget defined",IF(OFFSET(M16,ROW(M$4)-ROW(M16),0)="TT",SUM(INDIRECT(ADDRESS(ROW(M16),COLUMN($D16)+1)&amp;":"&amp;ADDRESS(ROW(M16),COLUMN(M16)-1),TRUE)),IF($A16="TT",SUM(INDIRECT(ADDRESS(MATCH("HE",$A:$A,0)+1,COLUMN(M16))&amp;":"&amp;ADDRESS(ROW(M16)-1,COLUMN(M16)),TRUE)),IF(ROUND(INDIRECT("EGR!"&amp;CELL("address",OFFSET(M16,0,EGR!$D$3-COLUMN(M16))),TRUE),2) * ROUND(OFFSET(INDIRECT("'Proposal Budget'!A1",TRUE),MATCH($A16,'Proposal Budget'!$A:$A,0)-1,COLUMN($AN16)-1),2)=0,0,ROUND(INDIRECT("EGR!"&amp;CELL("address",M16),TRUE),2) / ROUND(INDIRECT("EGR!"&amp;CELL("address",OFFSET(M16,0,EGR!$D$3-COLUMN(M16))),TRUE),2) * ROUND(OFFSET(INDIRECT("'Proposal Budget'!A1",TRUE),MATCH($A16,'Proposal Budget'!$A:$A,0)-1,COLUMN($AN16)-1),2)))))</f>
        <v>No budget defined</v>
      </c>
    </row>
    <row r="17" spans="1:13">
      <c r="A17">
        <v>11</v>
      </c>
      <c r="B17" s="46">
        <f t="shared" ca="1" si="1"/>
        <v>1</v>
      </c>
      <c r="C17" s="57" t="str">
        <f ca="1">IF(OFFSET(C17,0,-2)="TT","TOTAL",""&amp;INDIRECT("'Beneficiaries List'!B" &amp; MATCH(A17,'Beneficiaries List'!J:J,0),TRUE))</f>
        <v/>
      </c>
      <c r="D17" s="57" t="str">
        <f ca="1">IF(OFFSET(C17,0,-2)="TT","Consortium",""&amp;INDIRECT("'Beneficiaries List'!C" &amp; MATCH(A17,'Beneficiaries List'!J:J,0),TRUE))</f>
        <v/>
      </c>
      <c r="E17" s="124" t="str">
        <f ca="1">IF(StatusBudget=0,"No budget defined",IF(OFFSET(E17,ROW(E$4)-ROW(E17),0)="TT",SUM(INDIRECT(ADDRESS(ROW(E17),COLUMN($D17)+1)&amp;":"&amp;ADDRESS(ROW(E17),COLUMN(E17)-1),TRUE)),IF($A17="TT",SUM(INDIRECT(ADDRESS(MATCH("HE",$A:$A,0)+1,COLUMN(E17))&amp;":"&amp;ADDRESS(ROW(E17)-1,COLUMN(E17)),TRUE)),IF(ROUND(INDIRECT("EGR!"&amp;CELL("address",OFFSET(E17,0,EGR!$D$3-COLUMN(E17))),TRUE),2) * ROUND(OFFSET(INDIRECT("'Proposal Budget'!A1",TRUE),MATCH($A17,'Proposal Budget'!$A:$A,0)-1,COLUMN($AN17)-1),2)=0,0,ROUND(INDIRECT("EGR!"&amp;CELL("address",E17),TRUE),2) / ROUND(INDIRECT("EGR!"&amp;CELL("address",OFFSET(E17,0,EGR!$D$3-COLUMN(E17))),TRUE),2) * ROUND(OFFSET(INDIRECT("'Proposal Budget'!A1",TRUE),MATCH($A17,'Proposal Budget'!$A:$A,0)-1,COLUMN($AN17)-1),2)))))</f>
        <v>No budget defined</v>
      </c>
      <c r="F17" s="124" t="str">
        <f ca="1">IF(StatusBudget=0,"No budget defined",IF(OFFSET(F17,ROW(F$4)-ROW(F17),0)="TT",SUM(INDIRECT(ADDRESS(ROW(F17),COLUMN($D17)+1)&amp;":"&amp;ADDRESS(ROW(F17),COLUMN(F17)-1),TRUE)),IF($A17="TT",SUM(INDIRECT(ADDRESS(MATCH("HE",$A:$A,0)+1,COLUMN(F17))&amp;":"&amp;ADDRESS(ROW(F17)-1,COLUMN(F17)),TRUE)),IF(ROUND(INDIRECT("EGR!"&amp;CELL("address",OFFSET(F17,0,EGR!$D$3-COLUMN(F17))),TRUE),2) * ROUND(OFFSET(INDIRECT("'Proposal Budget'!A1",TRUE),MATCH($A17,'Proposal Budget'!$A:$A,0)-1,COLUMN($AN17)-1),2)=0,0,ROUND(INDIRECT("EGR!"&amp;CELL("address",F17),TRUE),2) / ROUND(INDIRECT("EGR!"&amp;CELL("address",OFFSET(F17,0,EGR!$D$3-COLUMN(F17))),TRUE),2) * ROUND(OFFSET(INDIRECT("'Proposal Budget'!A1",TRUE),MATCH($A17,'Proposal Budget'!$A:$A,0)-1,COLUMN($AN17)-1),2)))))</f>
        <v>No budget defined</v>
      </c>
      <c r="G17" s="124" t="str">
        <f ca="1">IF(StatusBudget=0,"No budget defined",IF(OFFSET(G17,ROW(G$4)-ROW(G17),0)="TT",SUM(INDIRECT(ADDRESS(ROW(G17),COLUMN($D17)+1)&amp;":"&amp;ADDRESS(ROW(G17),COLUMN(G17)-1),TRUE)),IF($A17="TT",SUM(INDIRECT(ADDRESS(MATCH("HE",$A:$A,0)+1,COLUMN(G17))&amp;":"&amp;ADDRESS(ROW(G17)-1,COLUMN(G17)),TRUE)),IF(ROUND(INDIRECT("EGR!"&amp;CELL("address",OFFSET(G17,0,EGR!$D$3-COLUMN(G17))),TRUE),2) * ROUND(OFFSET(INDIRECT("'Proposal Budget'!A1",TRUE),MATCH($A17,'Proposal Budget'!$A:$A,0)-1,COLUMN($AN17)-1),2)=0,0,ROUND(INDIRECT("EGR!"&amp;CELL("address",G17),TRUE),2) / ROUND(INDIRECT("EGR!"&amp;CELL("address",OFFSET(G17,0,EGR!$D$3-COLUMN(G17))),TRUE),2) * ROUND(OFFSET(INDIRECT("'Proposal Budget'!A1",TRUE),MATCH($A17,'Proposal Budget'!$A:$A,0)-1,COLUMN($AN17)-1),2)))))</f>
        <v>No budget defined</v>
      </c>
      <c r="H17" s="124" t="str">
        <f ca="1">IF(StatusBudget=0,"No budget defined",IF(OFFSET(H17,ROW(H$4)-ROW(H17),0)="TT",SUM(INDIRECT(ADDRESS(ROW(H17),COLUMN($D17)+1)&amp;":"&amp;ADDRESS(ROW(H17),COLUMN(H17)-1),TRUE)),IF($A17="TT",SUM(INDIRECT(ADDRESS(MATCH("HE",$A:$A,0)+1,COLUMN(H17))&amp;":"&amp;ADDRESS(ROW(H17)-1,COLUMN(H17)),TRUE)),IF(ROUND(INDIRECT("EGR!"&amp;CELL("address",OFFSET(H17,0,EGR!$D$3-COLUMN(H17))),TRUE),2) * ROUND(OFFSET(INDIRECT("'Proposal Budget'!A1",TRUE),MATCH($A17,'Proposal Budget'!$A:$A,0)-1,COLUMN($AN17)-1),2)=0,0,ROUND(INDIRECT("EGR!"&amp;CELL("address",H17),TRUE),2) / ROUND(INDIRECT("EGR!"&amp;CELL("address",OFFSET(H17,0,EGR!$D$3-COLUMN(H17))),TRUE),2) * ROUND(OFFSET(INDIRECT("'Proposal Budget'!A1",TRUE),MATCH($A17,'Proposal Budget'!$A:$A,0)-1,COLUMN($AN17)-1),2)))))</f>
        <v>No budget defined</v>
      </c>
      <c r="I17" s="124" t="str">
        <f ca="1">IF(StatusBudget=0,"No budget defined",IF(OFFSET(I17,ROW(I$4)-ROW(I17),0)="TT",SUM(INDIRECT(ADDRESS(ROW(I17),COLUMN($D17)+1)&amp;":"&amp;ADDRESS(ROW(I17),COLUMN(I17)-1),TRUE)),IF($A17="TT",SUM(INDIRECT(ADDRESS(MATCH("HE",$A:$A,0)+1,COLUMN(I17))&amp;":"&amp;ADDRESS(ROW(I17)-1,COLUMN(I17)),TRUE)),IF(ROUND(INDIRECT("EGR!"&amp;CELL("address",OFFSET(I17,0,EGR!$D$3-COLUMN(I17))),TRUE),2) * ROUND(OFFSET(INDIRECT("'Proposal Budget'!A1",TRUE),MATCH($A17,'Proposal Budget'!$A:$A,0)-1,COLUMN($AN17)-1),2)=0,0,ROUND(INDIRECT("EGR!"&amp;CELL("address",I17),TRUE),2) / ROUND(INDIRECT("EGR!"&amp;CELL("address",OFFSET(I17,0,EGR!$D$3-COLUMN(I17))),TRUE),2) * ROUND(OFFSET(INDIRECT("'Proposal Budget'!A1",TRUE),MATCH($A17,'Proposal Budget'!$A:$A,0)-1,COLUMN($AN17)-1),2)))))</f>
        <v>No budget defined</v>
      </c>
      <c r="J17" s="124" t="str">
        <f ca="1">IF(StatusBudget=0,"No budget defined",IF(OFFSET(J17,ROW(J$4)-ROW(J17),0)="TT",SUM(INDIRECT(ADDRESS(ROW(J17),COLUMN($D17)+1)&amp;":"&amp;ADDRESS(ROW(J17),COLUMN(J17)-1),TRUE)),IF($A17="TT",SUM(INDIRECT(ADDRESS(MATCH("HE",$A:$A,0)+1,COLUMN(J17))&amp;":"&amp;ADDRESS(ROW(J17)-1,COLUMN(J17)),TRUE)),IF(ROUND(INDIRECT("EGR!"&amp;CELL("address",OFFSET(J17,0,EGR!$D$3-COLUMN(J17))),TRUE),2) * ROUND(OFFSET(INDIRECT("'Proposal Budget'!A1",TRUE),MATCH($A17,'Proposal Budget'!$A:$A,0)-1,COLUMN($AN17)-1),2)=0,0,ROUND(INDIRECT("EGR!"&amp;CELL("address",J17),TRUE),2) / ROUND(INDIRECT("EGR!"&amp;CELL("address",OFFSET(J17,0,EGR!$D$3-COLUMN(J17))),TRUE),2) * ROUND(OFFSET(INDIRECT("'Proposal Budget'!A1",TRUE),MATCH($A17,'Proposal Budget'!$A:$A,0)-1,COLUMN($AN17)-1),2)))))</f>
        <v>No budget defined</v>
      </c>
      <c r="K17" s="124" t="str">
        <f ca="1">IF(StatusBudget=0,"No budget defined",IF(OFFSET(K17,ROW(K$4)-ROW(K17),0)="TT",SUM(INDIRECT(ADDRESS(ROW(K17),COLUMN($D17)+1)&amp;":"&amp;ADDRESS(ROW(K17),COLUMN(K17)-1),TRUE)),IF($A17="TT",SUM(INDIRECT(ADDRESS(MATCH("HE",$A:$A,0)+1,COLUMN(K17))&amp;":"&amp;ADDRESS(ROW(K17)-1,COLUMN(K17)),TRUE)),IF(ROUND(INDIRECT("EGR!"&amp;CELL("address",OFFSET(K17,0,EGR!$D$3-COLUMN(K17))),TRUE),2) * ROUND(OFFSET(INDIRECT("'Proposal Budget'!A1",TRUE),MATCH($A17,'Proposal Budget'!$A:$A,0)-1,COLUMN($AN17)-1),2)=0,0,ROUND(INDIRECT("EGR!"&amp;CELL("address",K17),TRUE),2) / ROUND(INDIRECT("EGR!"&amp;CELL("address",OFFSET(K17,0,EGR!$D$3-COLUMN(K17))),TRUE),2) * ROUND(OFFSET(INDIRECT("'Proposal Budget'!A1",TRUE),MATCH($A17,'Proposal Budget'!$A:$A,0)-1,COLUMN($AN17)-1),2)))))</f>
        <v>No budget defined</v>
      </c>
      <c r="L17" s="124" t="str">
        <f ca="1">IF(StatusBudget=0,"No budget defined",IF(OFFSET(L17,ROW(L$4)-ROW(L17),0)="TT",SUM(INDIRECT(ADDRESS(ROW(L17),COLUMN($D17)+1)&amp;":"&amp;ADDRESS(ROW(L17),COLUMN(L17)-1),TRUE)),IF($A17="TT",SUM(INDIRECT(ADDRESS(MATCH("HE",$A:$A,0)+1,COLUMN(L17))&amp;":"&amp;ADDRESS(ROW(L17)-1,COLUMN(L17)),TRUE)),IF(ROUND(INDIRECT("EGR!"&amp;CELL("address",OFFSET(L17,0,EGR!$D$3-COLUMN(L17))),TRUE),2) * ROUND(OFFSET(INDIRECT("'Proposal Budget'!A1",TRUE),MATCH($A17,'Proposal Budget'!$A:$A,0)-1,COLUMN($AN17)-1),2)=0,0,ROUND(INDIRECT("EGR!"&amp;CELL("address",L17),TRUE),2) / ROUND(INDIRECT("EGR!"&amp;CELL("address",OFFSET(L17,0,EGR!$D$3-COLUMN(L17))),TRUE),2) * ROUND(OFFSET(INDIRECT("'Proposal Budget'!A1",TRUE),MATCH($A17,'Proposal Budget'!$A:$A,0)-1,COLUMN($AN17)-1),2)))))</f>
        <v>No budget defined</v>
      </c>
      <c r="M17" s="124" t="str">
        <f ca="1">IF(StatusBudget=0,"No budget defined",IF(OFFSET(M17,ROW(M$4)-ROW(M17),0)="TT",SUM(INDIRECT(ADDRESS(ROW(M17),COLUMN($D17)+1)&amp;":"&amp;ADDRESS(ROW(M17),COLUMN(M17)-1),TRUE)),IF($A17="TT",SUM(INDIRECT(ADDRESS(MATCH("HE",$A:$A,0)+1,COLUMN(M17))&amp;":"&amp;ADDRESS(ROW(M17)-1,COLUMN(M17)),TRUE)),IF(ROUND(INDIRECT("EGR!"&amp;CELL("address",OFFSET(M17,0,EGR!$D$3-COLUMN(M17))),TRUE),2) * ROUND(OFFSET(INDIRECT("'Proposal Budget'!A1",TRUE),MATCH($A17,'Proposal Budget'!$A:$A,0)-1,COLUMN($AN17)-1),2)=0,0,ROUND(INDIRECT("EGR!"&amp;CELL("address",M17),TRUE),2) / ROUND(INDIRECT("EGR!"&amp;CELL("address",OFFSET(M17,0,EGR!$D$3-COLUMN(M17))),TRUE),2) * ROUND(OFFSET(INDIRECT("'Proposal Budget'!A1",TRUE),MATCH($A17,'Proposal Budget'!$A:$A,0)-1,COLUMN($AN17)-1),2)))))</f>
        <v>No budget defined</v>
      </c>
    </row>
    <row r="18" spans="1:13">
      <c r="A18">
        <v>12</v>
      </c>
      <c r="B18" s="46">
        <f t="shared" ca="1" si="1"/>
        <v>2</v>
      </c>
      <c r="C18" s="57" t="str">
        <f ca="1">IF(OFFSET(C18,0,-2)="TT","TOTAL",""&amp;INDIRECT("'Beneficiaries List'!B" &amp; MATCH(A18,'Beneficiaries List'!J:J,0),TRUE))</f>
        <v/>
      </c>
      <c r="D18" s="57" t="str">
        <f ca="1">IF(OFFSET(C18,0,-2)="TT","Consortium",""&amp;INDIRECT("'Beneficiaries List'!C" &amp; MATCH(A18,'Beneficiaries List'!J:J,0),TRUE))</f>
        <v/>
      </c>
      <c r="E18" s="124" t="str">
        <f ca="1">IF(StatusBudget=0,"No budget defined",IF(OFFSET(E18,ROW(E$4)-ROW(E18),0)="TT",SUM(INDIRECT(ADDRESS(ROW(E18),COLUMN($D18)+1)&amp;":"&amp;ADDRESS(ROW(E18),COLUMN(E18)-1),TRUE)),IF($A18="TT",SUM(INDIRECT(ADDRESS(MATCH("HE",$A:$A,0)+1,COLUMN(E18))&amp;":"&amp;ADDRESS(ROW(E18)-1,COLUMN(E18)),TRUE)),IF(ROUND(INDIRECT("EGR!"&amp;CELL("address",OFFSET(E18,0,EGR!$D$3-COLUMN(E18))),TRUE),2) * ROUND(OFFSET(INDIRECT("'Proposal Budget'!A1",TRUE),MATCH($A18,'Proposal Budget'!$A:$A,0)-1,COLUMN($AN18)-1),2)=0,0,ROUND(INDIRECT("EGR!"&amp;CELL("address",E18),TRUE),2) / ROUND(INDIRECT("EGR!"&amp;CELL("address",OFFSET(E18,0,EGR!$D$3-COLUMN(E18))),TRUE),2) * ROUND(OFFSET(INDIRECT("'Proposal Budget'!A1",TRUE),MATCH($A18,'Proposal Budget'!$A:$A,0)-1,COLUMN($AN18)-1),2)))))</f>
        <v>No budget defined</v>
      </c>
      <c r="F18" s="124" t="str">
        <f ca="1">IF(StatusBudget=0,"No budget defined",IF(OFFSET(F18,ROW(F$4)-ROW(F18),0)="TT",SUM(INDIRECT(ADDRESS(ROW(F18),COLUMN($D18)+1)&amp;":"&amp;ADDRESS(ROW(F18),COLUMN(F18)-1),TRUE)),IF($A18="TT",SUM(INDIRECT(ADDRESS(MATCH("HE",$A:$A,0)+1,COLUMN(F18))&amp;":"&amp;ADDRESS(ROW(F18)-1,COLUMN(F18)),TRUE)),IF(ROUND(INDIRECT("EGR!"&amp;CELL("address",OFFSET(F18,0,EGR!$D$3-COLUMN(F18))),TRUE),2) * ROUND(OFFSET(INDIRECT("'Proposal Budget'!A1",TRUE),MATCH($A18,'Proposal Budget'!$A:$A,0)-1,COLUMN($AN18)-1),2)=0,0,ROUND(INDIRECT("EGR!"&amp;CELL("address",F18),TRUE),2) / ROUND(INDIRECT("EGR!"&amp;CELL("address",OFFSET(F18,0,EGR!$D$3-COLUMN(F18))),TRUE),2) * ROUND(OFFSET(INDIRECT("'Proposal Budget'!A1",TRUE),MATCH($A18,'Proposal Budget'!$A:$A,0)-1,COLUMN($AN18)-1),2)))))</f>
        <v>No budget defined</v>
      </c>
      <c r="G18" s="124" t="str">
        <f ca="1">IF(StatusBudget=0,"No budget defined",IF(OFFSET(G18,ROW(G$4)-ROW(G18),0)="TT",SUM(INDIRECT(ADDRESS(ROW(G18),COLUMN($D18)+1)&amp;":"&amp;ADDRESS(ROW(G18),COLUMN(G18)-1),TRUE)),IF($A18="TT",SUM(INDIRECT(ADDRESS(MATCH("HE",$A:$A,0)+1,COLUMN(G18))&amp;":"&amp;ADDRESS(ROW(G18)-1,COLUMN(G18)),TRUE)),IF(ROUND(INDIRECT("EGR!"&amp;CELL("address",OFFSET(G18,0,EGR!$D$3-COLUMN(G18))),TRUE),2) * ROUND(OFFSET(INDIRECT("'Proposal Budget'!A1",TRUE),MATCH($A18,'Proposal Budget'!$A:$A,0)-1,COLUMN($AN18)-1),2)=0,0,ROUND(INDIRECT("EGR!"&amp;CELL("address",G18),TRUE),2) / ROUND(INDIRECT("EGR!"&amp;CELL("address",OFFSET(G18,0,EGR!$D$3-COLUMN(G18))),TRUE),2) * ROUND(OFFSET(INDIRECT("'Proposal Budget'!A1",TRUE),MATCH($A18,'Proposal Budget'!$A:$A,0)-1,COLUMN($AN18)-1),2)))))</f>
        <v>No budget defined</v>
      </c>
      <c r="H18" s="124" t="str">
        <f ca="1">IF(StatusBudget=0,"No budget defined",IF(OFFSET(H18,ROW(H$4)-ROW(H18),0)="TT",SUM(INDIRECT(ADDRESS(ROW(H18),COLUMN($D18)+1)&amp;":"&amp;ADDRESS(ROW(H18),COLUMN(H18)-1),TRUE)),IF($A18="TT",SUM(INDIRECT(ADDRESS(MATCH("HE",$A:$A,0)+1,COLUMN(H18))&amp;":"&amp;ADDRESS(ROW(H18)-1,COLUMN(H18)),TRUE)),IF(ROUND(INDIRECT("EGR!"&amp;CELL("address",OFFSET(H18,0,EGR!$D$3-COLUMN(H18))),TRUE),2) * ROUND(OFFSET(INDIRECT("'Proposal Budget'!A1",TRUE),MATCH($A18,'Proposal Budget'!$A:$A,0)-1,COLUMN($AN18)-1),2)=0,0,ROUND(INDIRECT("EGR!"&amp;CELL("address",H18),TRUE),2) / ROUND(INDIRECT("EGR!"&amp;CELL("address",OFFSET(H18,0,EGR!$D$3-COLUMN(H18))),TRUE),2) * ROUND(OFFSET(INDIRECT("'Proposal Budget'!A1",TRUE),MATCH($A18,'Proposal Budget'!$A:$A,0)-1,COLUMN($AN18)-1),2)))))</f>
        <v>No budget defined</v>
      </c>
      <c r="I18" s="124" t="str">
        <f ca="1">IF(StatusBudget=0,"No budget defined",IF(OFFSET(I18,ROW(I$4)-ROW(I18),0)="TT",SUM(INDIRECT(ADDRESS(ROW(I18),COLUMN($D18)+1)&amp;":"&amp;ADDRESS(ROW(I18),COLUMN(I18)-1),TRUE)),IF($A18="TT",SUM(INDIRECT(ADDRESS(MATCH("HE",$A:$A,0)+1,COLUMN(I18))&amp;":"&amp;ADDRESS(ROW(I18)-1,COLUMN(I18)),TRUE)),IF(ROUND(INDIRECT("EGR!"&amp;CELL("address",OFFSET(I18,0,EGR!$D$3-COLUMN(I18))),TRUE),2) * ROUND(OFFSET(INDIRECT("'Proposal Budget'!A1",TRUE),MATCH($A18,'Proposal Budget'!$A:$A,0)-1,COLUMN($AN18)-1),2)=0,0,ROUND(INDIRECT("EGR!"&amp;CELL("address",I18),TRUE),2) / ROUND(INDIRECT("EGR!"&amp;CELL("address",OFFSET(I18,0,EGR!$D$3-COLUMN(I18))),TRUE),2) * ROUND(OFFSET(INDIRECT("'Proposal Budget'!A1",TRUE),MATCH($A18,'Proposal Budget'!$A:$A,0)-1,COLUMN($AN18)-1),2)))))</f>
        <v>No budget defined</v>
      </c>
      <c r="J18" s="124" t="str">
        <f ca="1">IF(StatusBudget=0,"No budget defined",IF(OFFSET(J18,ROW(J$4)-ROW(J18),0)="TT",SUM(INDIRECT(ADDRESS(ROW(J18),COLUMN($D18)+1)&amp;":"&amp;ADDRESS(ROW(J18),COLUMN(J18)-1),TRUE)),IF($A18="TT",SUM(INDIRECT(ADDRESS(MATCH("HE",$A:$A,0)+1,COLUMN(J18))&amp;":"&amp;ADDRESS(ROW(J18)-1,COLUMN(J18)),TRUE)),IF(ROUND(INDIRECT("EGR!"&amp;CELL("address",OFFSET(J18,0,EGR!$D$3-COLUMN(J18))),TRUE),2) * ROUND(OFFSET(INDIRECT("'Proposal Budget'!A1",TRUE),MATCH($A18,'Proposal Budget'!$A:$A,0)-1,COLUMN($AN18)-1),2)=0,0,ROUND(INDIRECT("EGR!"&amp;CELL("address",J18),TRUE),2) / ROUND(INDIRECT("EGR!"&amp;CELL("address",OFFSET(J18,0,EGR!$D$3-COLUMN(J18))),TRUE),2) * ROUND(OFFSET(INDIRECT("'Proposal Budget'!A1",TRUE),MATCH($A18,'Proposal Budget'!$A:$A,0)-1,COLUMN($AN18)-1),2)))))</f>
        <v>No budget defined</v>
      </c>
      <c r="K18" s="124" t="str">
        <f ca="1">IF(StatusBudget=0,"No budget defined",IF(OFFSET(K18,ROW(K$4)-ROW(K18),0)="TT",SUM(INDIRECT(ADDRESS(ROW(K18),COLUMN($D18)+1)&amp;":"&amp;ADDRESS(ROW(K18),COLUMN(K18)-1),TRUE)),IF($A18="TT",SUM(INDIRECT(ADDRESS(MATCH("HE",$A:$A,0)+1,COLUMN(K18))&amp;":"&amp;ADDRESS(ROW(K18)-1,COLUMN(K18)),TRUE)),IF(ROUND(INDIRECT("EGR!"&amp;CELL("address",OFFSET(K18,0,EGR!$D$3-COLUMN(K18))),TRUE),2) * ROUND(OFFSET(INDIRECT("'Proposal Budget'!A1",TRUE),MATCH($A18,'Proposal Budget'!$A:$A,0)-1,COLUMN($AN18)-1),2)=0,0,ROUND(INDIRECT("EGR!"&amp;CELL("address",K18),TRUE),2) / ROUND(INDIRECT("EGR!"&amp;CELL("address",OFFSET(K18,0,EGR!$D$3-COLUMN(K18))),TRUE),2) * ROUND(OFFSET(INDIRECT("'Proposal Budget'!A1",TRUE),MATCH($A18,'Proposal Budget'!$A:$A,0)-1,COLUMN($AN18)-1),2)))))</f>
        <v>No budget defined</v>
      </c>
      <c r="L18" s="124" t="str">
        <f ca="1">IF(StatusBudget=0,"No budget defined",IF(OFFSET(L18,ROW(L$4)-ROW(L18),0)="TT",SUM(INDIRECT(ADDRESS(ROW(L18),COLUMN($D18)+1)&amp;":"&amp;ADDRESS(ROW(L18),COLUMN(L18)-1),TRUE)),IF($A18="TT",SUM(INDIRECT(ADDRESS(MATCH("HE",$A:$A,0)+1,COLUMN(L18))&amp;":"&amp;ADDRESS(ROW(L18)-1,COLUMN(L18)),TRUE)),IF(ROUND(INDIRECT("EGR!"&amp;CELL("address",OFFSET(L18,0,EGR!$D$3-COLUMN(L18))),TRUE),2) * ROUND(OFFSET(INDIRECT("'Proposal Budget'!A1",TRUE),MATCH($A18,'Proposal Budget'!$A:$A,0)-1,COLUMN($AN18)-1),2)=0,0,ROUND(INDIRECT("EGR!"&amp;CELL("address",L18),TRUE),2) / ROUND(INDIRECT("EGR!"&amp;CELL("address",OFFSET(L18,0,EGR!$D$3-COLUMN(L18))),TRUE),2) * ROUND(OFFSET(INDIRECT("'Proposal Budget'!A1",TRUE),MATCH($A18,'Proposal Budget'!$A:$A,0)-1,COLUMN($AN18)-1),2)))))</f>
        <v>No budget defined</v>
      </c>
      <c r="M18" s="124" t="str">
        <f ca="1">IF(StatusBudget=0,"No budget defined",IF(OFFSET(M18,ROW(M$4)-ROW(M18),0)="TT",SUM(INDIRECT(ADDRESS(ROW(M18),COLUMN($D18)+1)&amp;":"&amp;ADDRESS(ROW(M18),COLUMN(M18)-1),TRUE)),IF($A18="TT",SUM(INDIRECT(ADDRESS(MATCH("HE",$A:$A,0)+1,COLUMN(M18))&amp;":"&amp;ADDRESS(ROW(M18)-1,COLUMN(M18)),TRUE)),IF(ROUND(INDIRECT("EGR!"&amp;CELL("address",OFFSET(M18,0,EGR!$D$3-COLUMN(M18))),TRUE),2) * ROUND(OFFSET(INDIRECT("'Proposal Budget'!A1",TRUE),MATCH($A18,'Proposal Budget'!$A:$A,0)-1,COLUMN($AN18)-1),2)=0,0,ROUND(INDIRECT("EGR!"&amp;CELL("address",M18),TRUE),2) / ROUND(INDIRECT("EGR!"&amp;CELL("address",OFFSET(M18,0,EGR!$D$3-COLUMN(M18))),TRUE),2) * ROUND(OFFSET(INDIRECT("'Proposal Budget'!A1",TRUE),MATCH($A18,'Proposal Budget'!$A:$A,0)-1,COLUMN($AN18)-1),2)))))</f>
        <v>No budget defined</v>
      </c>
    </row>
    <row r="19" spans="1:13">
      <c r="A19" t="s">
        <v>138</v>
      </c>
      <c r="B19" s="46">
        <f t="shared" ca="1" si="1"/>
        <v>3</v>
      </c>
      <c r="C19" s="57" t="str">
        <f ca="1">IF(OFFSET(C19,0,-2)="TT","TOTAL",""&amp;INDIRECT("'Beneficiaries List'!B" &amp; MATCH(A19,'Beneficiaries List'!J:J,0),TRUE))</f>
        <v>TOTAL</v>
      </c>
      <c r="D19" s="57" t="str">
        <f ca="1">IF(OFFSET(C19,0,-2)="TT","Consortium",""&amp;INDIRECT("'Beneficiaries List'!C" &amp; MATCH(A19,'Beneficiaries List'!J:J,0),TRUE))</f>
        <v>Consortium</v>
      </c>
      <c r="E19" s="124" t="str">
        <f ca="1">IF(StatusBudget=0,"No budget defined",IF(OFFSET(E19,ROW(E$4)-ROW(E19),0)="TT",SUM(INDIRECT(ADDRESS(ROW(E19),COLUMN($D19)+1)&amp;":"&amp;ADDRESS(ROW(E19),COLUMN(E19)-1),TRUE)),IF($A19="TT",SUM(INDIRECT(ADDRESS(MATCH("HE",$A:$A,0)+1,COLUMN(E19))&amp;":"&amp;ADDRESS(ROW(E19)-1,COLUMN(E19)),TRUE)),IF(ROUND(INDIRECT("EGR!"&amp;CELL("address",OFFSET(E19,0,EGR!$D$3-COLUMN(E19))),TRUE),2) * ROUND(OFFSET(INDIRECT("'Proposal Budget'!A1",TRUE),MATCH($A19,'Proposal Budget'!$A:$A,0)-1,COLUMN($AN19)-1),2)=0,0,ROUND(INDIRECT("EGR!"&amp;CELL("address",E19),TRUE),2) / ROUND(INDIRECT("EGR!"&amp;CELL("address",OFFSET(E19,0,EGR!$D$3-COLUMN(E19))),TRUE),2) * ROUND(OFFSET(INDIRECT("'Proposal Budget'!A1",TRUE),MATCH($A19,'Proposal Budget'!$A:$A,0)-1,COLUMN($AN19)-1),2)))))</f>
        <v>No budget defined</v>
      </c>
      <c r="F19" s="124" t="str">
        <f ca="1">IF(StatusBudget=0,"No budget defined",IF(OFFSET(F19,ROW(F$4)-ROW(F19),0)="TT",SUM(INDIRECT(ADDRESS(ROW(F19),COLUMN($D19)+1)&amp;":"&amp;ADDRESS(ROW(F19),COLUMN(F19)-1),TRUE)),IF($A19="TT",SUM(INDIRECT(ADDRESS(MATCH("HE",$A:$A,0)+1,COLUMN(F19))&amp;":"&amp;ADDRESS(ROW(F19)-1,COLUMN(F19)),TRUE)),IF(ROUND(INDIRECT("EGR!"&amp;CELL("address",OFFSET(F19,0,EGR!$D$3-COLUMN(F19))),TRUE),2) * ROUND(OFFSET(INDIRECT("'Proposal Budget'!A1",TRUE),MATCH($A19,'Proposal Budget'!$A:$A,0)-1,COLUMN($AN19)-1),2)=0,0,ROUND(INDIRECT("EGR!"&amp;CELL("address",F19),TRUE),2) / ROUND(INDIRECT("EGR!"&amp;CELL("address",OFFSET(F19,0,EGR!$D$3-COLUMN(F19))),TRUE),2) * ROUND(OFFSET(INDIRECT("'Proposal Budget'!A1",TRUE),MATCH($A19,'Proposal Budget'!$A:$A,0)-1,COLUMN($AN19)-1),2)))))</f>
        <v>No budget defined</v>
      </c>
      <c r="G19" s="124" t="str">
        <f ca="1">IF(StatusBudget=0,"No budget defined",IF(OFFSET(G19,ROW(G$4)-ROW(G19),0)="TT",SUM(INDIRECT(ADDRESS(ROW(G19),COLUMN($D19)+1)&amp;":"&amp;ADDRESS(ROW(G19),COLUMN(G19)-1),TRUE)),IF($A19="TT",SUM(INDIRECT(ADDRESS(MATCH("HE",$A:$A,0)+1,COLUMN(G19))&amp;":"&amp;ADDRESS(ROW(G19)-1,COLUMN(G19)),TRUE)),IF(ROUND(INDIRECT("EGR!"&amp;CELL("address",OFFSET(G19,0,EGR!$D$3-COLUMN(G19))),TRUE),2) * ROUND(OFFSET(INDIRECT("'Proposal Budget'!A1",TRUE),MATCH($A19,'Proposal Budget'!$A:$A,0)-1,COLUMN($AN19)-1),2)=0,0,ROUND(INDIRECT("EGR!"&amp;CELL("address",G19),TRUE),2) / ROUND(INDIRECT("EGR!"&amp;CELL("address",OFFSET(G19,0,EGR!$D$3-COLUMN(G19))),TRUE),2) * ROUND(OFFSET(INDIRECT("'Proposal Budget'!A1",TRUE),MATCH($A19,'Proposal Budget'!$A:$A,0)-1,COLUMN($AN19)-1),2)))))</f>
        <v>No budget defined</v>
      </c>
      <c r="H19" s="124" t="str">
        <f ca="1">IF(StatusBudget=0,"No budget defined",IF(OFFSET(H19,ROW(H$4)-ROW(H19),0)="TT",SUM(INDIRECT(ADDRESS(ROW(H19),COLUMN($D19)+1)&amp;":"&amp;ADDRESS(ROW(H19),COLUMN(H19)-1),TRUE)),IF($A19="TT",SUM(INDIRECT(ADDRESS(MATCH("HE",$A:$A,0)+1,COLUMN(H19))&amp;":"&amp;ADDRESS(ROW(H19)-1,COLUMN(H19)),TRUE)),IF(ROUND(INDIRECT("EGR!"&amp;CELL("address",OFFSET(H19,0,EGR!$D$3-COLUMN(H19))),TRUE),2) * ROUND(OFFSET(INDIRECT("'Proposal Budget'!A1",TRUE),MATCH($A19,'Proposal Budget'!$A:$A,0)-1,COLUMN($AN19)-1),2)=0,0,ROUND(INDIRECT("EGR!"&amp;CELL("address",H19),TRUE),2) / ROUND(INDIRECT("EGR!"&amp;CELL("address",OFFSET(H19,0,EGR!$D$3-COLUMN(H19))),TRUE),2) * ROUND(OFFSET(INDIRECT("'Proposal Budget'!A1",TRUE),MATCH($A19,'Proposal Budget'!$A:$A,0)-1,COLUMN($AN19)-1),2)))))</f>
        <v>No budget defined</v>
      </c>
      <c r="I19" s="124" t="str">
        <f ca="1">IF(StatusBudget=0,"No budget defined",IF(OFFSET(I19,ROW(I$4)-ROW(I19),0)="TT",SUM(INDIRECT(ADDRESS(ROW(I19),COLUMN($D19)+1)&amp;":"&amp;ADDRESS(ROW(I19),COLUMN(I19)-1),TRUE)),IF($A19="TT",SUM(INDIRECT(ADDRESS(MATCH("HE",$A:$A,0)+1,COLUMN(I19))&amp;":"&amp;ADDRESS(ROW(I19)-1,COLUMN(I19)),TRUE)),IF(ROUND(INDIRECT("EGR!"&amp;CELL("address",OFFSET(I19,0,EGR!$D$3-COLUMN(I19))),TRUE),2) * ROUND(OFFSET(INDIRECT("'Proposal Budget'!A1",TRUE),MATCH($A19,'Proposal Budget'!$A:$A,0)-1,COLUMN($AN19)-1),2)=0,0,ROUND(INDIRECT("EGR!"&amp;CELL("address",I19),TRUE),2) / ROUND(INDIRECT("EGR!"&amp;CELL("address",OFFSET(I19,0,EGR!$D$3-COLUMN(I19))),TRUE),2) * ROUND(OFFSET(INDIRECT("'Proposal Budget'!A1",TRUE),MATCH($A19,'Proposal Budget'!$A:$A,0)-1,COLUMN($AN19)-1),2)))))</f>
        <v>No budget defined</v>
      </c>
      <c r="J19" s="124" t="str">
        <f ca="1">IF(StatusBudget=0,"No budget defined",IF(OFFSET(J19,ROW(J$4)-ROW(J19),0)="TT",SUM(INDIRECT(ADDRESS(ROW(J19),COLUMN($D19)+1)&amp;":"&amp;ADDRESS(ROW(J19),COLUMN(J19)-1),TRUE)),IF($A19="TT",SUM(INDIRECT(ADDRESS(MATCH("HE",$A:$A,0)+1,COLUMN(J19))&amp;":"&amp;ADDRESS(ROW(J19)-1,COLUMN(J19)),TRUE)),IF(ROUND(INDIRECT("EGR!"&amp;CELL("address",OFFSET(J19,0,EGR!$D$3-COLUMN(J19))),TRUE),2) * ROUND(OFFSET(INDIRECT("'Proposal Budget'!A1",TRUE),MATCH($A19,'Proposal Budget'!$A:$A,0)-1,COLUMN($AN19)-1),2)=0,0,ROUND(INDIRECT("EGR!"&amp;CELL("address",J19),TRUE),2) / ROUND(INDIRECT("EGR!"&amp;CELL("address",OFFSET(J19,0,EGR!$D$3-COLUMN(J19))),TRUE),2) * ROUND(OFFSET(INDIRECT("'Proposal Budget'!A1",TRUE),MATCH($A19,'Proposal Budget'!$A:$A,0)-1,COLUMN($AN19)-1),2)))))</f>
        <v>No budget defined</v>
      </c>
      <c r="K19" s="124" t="str">
        <f ca="1">IF(StatusBudget=0,"No budget defined",IF(OFFSET(K19,ROW(K$4)-ROW(K19),0)="TT",SUM(INDIRECT(ADDRESS(ROW(K19),COLUMN($D19)+1)&amp;":"&amp;ADDRESS(ROW(K19),COLUMN(K19)-1),TRUE)),IF($A19="TT",SUM(INDIRECT(ADDRESS(MATCH("HE",$A:$A,0)+1,COLUMN(K19))&amp;":"&amp;ADDRESS(ROW(K19)-1,COLUMN(K19)),TRUE)),IF(ROUND(INDIRECT("EGR!"&amp;CELL("address",OFFSET(K19,0,EGR!$D$3-COLUMN(K19))),TRUE),2) * ROUND(OFFSET(INDIRECT("'Proposal Budget'!A1",TRUE),MATCH($A19,'Proposal Budget'!$A:$A,0)-1,COLUMN($AN19)-1),2)=0,0,ROUND(INDIRECT("EGR!"&amp;CELL("address",K19),TRUE),2) / ROUND(INDIRECT("EGR!"&amp;CELL("address",OFFSET(K19,0,EGR!$D$3-COLUMN(K19))),TRUE),2) * ROUND(OFFSET(INDIRECT("'Proposal Budget'!A1",TRUE),MATCH($A19,'Proposal Budget'!$A:$A,0)-1,COLUMN($AN19)-1),2)))))</f>
        <v>No budget defined</v>
      </c>
      <c r="L19" s="124" t="str">
        <f ca="1">IF(StatusBudget=0,"No budget defined",IF(OFFSET(L19,ROW(L$4)-ROW(L19),0)="TT",SUM(INDIRECT(ADDRESS(ROW(L19),COLUMN($D19)+1)&amp;":"&amp;ADDRESS(ROW(L19),COLUMN(L19)-1),TRUE)),IF($A19="TT",SUM(INDIRECT(ADDRESS(MATCH("HE",$A:$A,0)+1,COLUMN(L19))&amp;":"&amp;ADDRESS(ROW(L19)-1,COLUMN(L19)),TRUE)),IF(ROUND(INDIRECT("EGR!"&amp;CELL("address",OFFSET(L19,0,EGR!$D$3-COLUMN(L19))),TRUE),2) * ROUND(OFFSET(INDIRECT("'Proposal Budget'!A1",TRUE),MATCH($A19,'Proposal Budget'!$A:$A,0)-1,COLUMN($AN19)-1),2)=0,0,ROUND(INDIRECT("EGR!"&amp;CELL("address",L19),TRUE),2) / ROUND(INDIRECT("EGR!"&amp;CELL("address",OFFSET(L19,0,EGR!$D$3-COLUMN(L19))),TRUE),2) * ROUND(OFFSET(INDIRECT("'Proposal Budget'!A1",TRUE),MATCH($A19,'Proposal Budget'!$A:$A,0)-1,COLUMN($AN19)-1),2)))))</f>
        <v>No budget defined</v>
      </c>
      <c r="M19" s="124" t="str">
        <f ca="1">IF(StatusBudget=0,"No budget defined",IF(OFFSET(M19,ROW(M$4)-ROW(M19),0)="TT",SUM(INDIRECT(ADDRESS(ROW(M19),COLUMN($D19)+1)&amp;":"&amp;ADDRESS(ROW(M19),COLUMN(M19)-1),TRUE)),IF($A19="TT",SUM(INDIRECT(ADDRESS(MATCH("HE",$A:$A,0)+1,COLUMN(M19))&amp;":"&amp;ADDRESS(ROW(M19)-1,COLUMN(M19)),TRUE)),IF(ROUND(INDIRECT("EGR!"&amp;CELL("address",OFFSET(M19,0,EGR!$D$3-COLUMN(M19))),TRUE),2) * ROUND(OFFSET(INDIRECT("'Proposal Budget'!A1",TRUE),MATCH($A19,'Proposal Budget'!$A:$A,0)-1,COLUMN($AN19)-1),2)=0,0,ROUND(INDIRECT("EGR!"&amp;CELL("address",M19),TRUE),2) / ROUND(INDIRECT("EGR!"&amp;CELL("address",OFFSET(M19,0,EGR!$D$3-COLUMN(M19))),TRUE),2) * ROUND(OFFSET(INDIRECT("'Proposal Budget'!A1",TRUE),MATCH($A19,'Proposal Budget'!$A:$A,0)-1,COLUMN($AN19)-1),2)))))</f>
        <v>No budget defined</v>
      </c>
    </row>
  </sheetData>
  <sheetProtection algorithmName="SHA-512" hashValue="vd5XIYvntz3UZ0Y6CLoVrmv4v1WxD154uFp+gtDnKmXolDNCIHCabLo2Y+OuZVQ2zcSr8vbZTC/ZlSXMkeY/hA==" saltValue="4yFT+5GnIrjn+YB+KXiO4A==" spinCount="100000" sheet="1" objects="1" scenarios="1"/>
  <conditionalFormatting sqref="A1:D2 A20:E1048576 A4:E6 E6:M6">
    <cfRule type="expression" dxfId="153" priority="2104">
      <formula>AND($B1=1,COLUMN(A1)=$D$3)</formula>
    </cfRule>
    <cfRule type="expression" dxfId="152" priority="2105">
      <formula>AND($B1=2,COLUMN(A1)=$D$3)</formula>
    </cfRule>
    <cfRule type="expression" dxfId="151" priority="2106">
      <formula>AND($B1=3,COLUMN(A1)=$D$3)</formula>
    </cfRule>
    <cfRule type="expression" dxfId="150" priority="2107">
      <formula>AND($B1=3,COLUMN(A1)&lt;$D$3)</formula>
    </cfRule>
    <cfRule type="expression" dxfId="149" priority="2108">
      <formula>AND($B1=2,COLUMN(A1)&lt;$D$3)</formula>
    </cfRule>
    <cfRule type="expression" dxfId="148" priority="2109">
      <formula>AND($B1=1,COLUMN(A1)&lt;$D$3)</formula>
    </cfRule>
  </conditionalFormatting>
  <conditionalFormatting sqref="B3:D3">
    <cfRule type="expression" dxfId="147" priority="2122">
      <formula>AND($B1=1,COLUMN(B3)=$D$3)</formula>
    </cfRule>
    <cfRule type="expression" dxfId="146" priority="2123">
      <formula>AND($B1=2,COLUMN(B3)=$D$3)</formula>
    </cfRule>
    <cfRule type="expression" dxfId="145" priority="2124">
      <formula>AND($B1=3,COLUMN(B3)=$D$3)</formula>
    </cfRule>
    <cfRule type="expression" dxfId="144" priority="2125">
      <formula>AND($B1=3,COLUMN(B3)&lt;$D$3)</formula>
    </cfRule>
    <cfRule type="expression" dxfId="143" priority="2126">
      <formula>AND($B1=2,COLUMN(B3)&lt;$D$3)</formula>
    </cfRule>
    <cfRule type="expression" dxfId="142" priority="2127">
      <formula>AND($B1=1,COLUMN(B3)&lt;$D$3)</formula>
    </cfRule>
  </conditionalFormatting>
  <conditionalFormatting sqref="A3">
    <cfRule type="expression" dxfId="141" priority="2140">
      <formula>AND(#REF!=1,COLUMN(A3)=$D$3)</formula>
    </cfRule>
    <cfRule type="expression" dxfId="140" priority="2141">
      <formula>AND(#REF!=2,COLUMN(A3)=$D$3)</formula>
    </cfRule>
    <cfRule type="expression" dxfId="139" priority="2142">
      <formula>AND(#REF!=3,COLUMN(A3)=$D$3)</formula>
    </cfRule>
    <cfRule type="expression" dxfId="138" priority="2143">
      <formula>AND(#REF!=3,COLUMN(A3)&lt;$D$3)</formula>
    </cfRule>
    <cfRule type="expression" dxfId="137" priority="2144">
      <formula>AND(#REF!=2,COLUMN(A3)&lt;$D$3)</formula>
    </cfRule>
    <cfRule type="expression" dxfId="136" priority="2145">
      <formula>AND(#REF!=1,COLUMN(A3)&lt;$D$3)</formula>
    </cfRule>
  </conditionalFormatting>
  <conditionalFormatting sqref="E3">
    <cfRule type="expression" dxfId="135" priority="2152">
      <formula>AND($B1=1,COLUMN(E3)=$D$3)</formula>
    </cfRule>
    <cfRule type="expression" dxfId="134" priority="2153">
      <formula>AND($B1=2,COLUMN(E3)=$D$3)</formula>
    </cfRule>
    <cfRule type="expression" dxfId="133" priority="2154">
      <formula>AND($B1=3,COLUMN(E3)=$D$3)</formula>
    </cfRule>
    <cfRule type="expression" dxfId="132" priority="2155">
      <formula>AND($B1=3,COLUMN(E3)&lt;$D$3)</formula>
    </cfRule>
    <cfRule type="expression" dxfId="131" priority="2156">
      <formula>AND($B1=2,COLUMN(E3)&lt;$D$3)</formula>
    </cfRule>
    <cfRule type="expression" dxfId="130" priority="2157">
      <formula>AND($B1=1,COLUMN(E3)&lt;$D$3)</formula>
    </cfRule>
  </conditionalFormatting>
  <conditionalFormatting sqref="E6:M6">
    <cfRule type="expression" dxfId="129" priority="1811">
      <formula>OFFSET(E6,-3,0)="TT"</formula>
    </cfRule>
  </conditionalFormatting>
  <conditionalFormatting sqref="E1">
    <cfRule type="expression" dxfId="128" priority="616">
      <formula>AND($B1=1,COLUMN(E1)=$D$3)</formula>
    </cfRule>
    <cfRule type="expression" dxfId="127" priority="617">
      <formula>AND($B1=2,COLUMN(E1)=$D$3)</formula>
    </cfRule>
    <cfRule type="expression" dxfId="126" priority="618">
      <formula>AND($B1=3,COLUMN(E1)=$D$3)</formula>
    </cfRule>
    <cfRule type="expression" dxfId="125" priority="619">
      <formula>AND($B1=3,COLUMN(E1)&lt;$D$3)</formula>
    </cfRule>
    <cfRule type="expression" dxfId="124" priority="620">
      <formula>AND($B1=2,COLUMN(E1)&lt;$D$3)</formula>
    </cfRule>
    <cfRule type="expression" dxfId="123" priority="621">
      <formula>AND($B1=1,COLUMN(E1)&lt;$D$3)</formula>
    </cfRule>
  </conditionalFormatting>
  <conditionalFormatting sqref="D5">
    <cfRule type="expression" dxfId="122" priority="554">
      <formula>OR(D5="No budget defined",D5=0)</formula>
    </cfRule>
  </conditionalFormatting>
  <conditionalFormatting sqref="B7:D19">
    <cfRule type="expression" dxfId="121" priority="7">
      <formula>AND($B7=1,COLUMN(B7)=$D$3)</formula>
    </cfRule>
    <cfRule type="expression" dxfId="120" priority="8">
      <formula>AND($B7=2,COLUMN(B7)=$D$3)</formula>
    </cfRule>
    <cfRule type="expression" dxfId="119" priority="9">
      <formula>AND($B7=3,COLUMN(B7)=$D$3)</formula>
    </cfRule>
    <cfRule type="expression" dxfId="118" priority="10">
      <formula>AND($B7=3,COLUMN(B7)&lt;$D$3)</formula>
    </cfRule>
    <cfRule type="expression" dxfId="117" priority="11">
      <formula>AND($B7=2,COLUMN(B7)&lt;$D$3)</formula>
    </cfRule>
    <cfRule type="expression" dxfId="116" priority="12">
      <formula>AND($B7=1,COLUMN(B7)&lt;$D$3)</formula>
    </cfRule>
  </conditionalFormatting>
  <conditionalFormatting sqref="E7:M19">
    <cfRule type="expression" dxfId="115" priority="1">
      <formula>AND($B7=1,COLUMN(E7)=$D$3)</formula>
    </cfRule>
    <cfRule type="expression" dxfId="114" priority="2">
      <formula>AND($B7=2,COLUMN(E7)=$D$3)</formula>
    </cfRule>
    <cfRule type="expression" dxfId="113" priority="3">
      <formula>AND($B7=3,COLUMN(E7)=$D$3)</formula>
    </cfRule>
    <cfRule type="expression" dxfId="112" priority="4">
      <formula>AND($B7=3,COLUMN(E7)&lt;$D$3)</formula>
    </cfRule>
    <cfRule type="expression" dxfId="111" priority="5">
      <formula>AND($B7=2,COLUMN(E7)&lt;$D$3)</formula>
    </cfRule>
    <cfRule type="expression" dxfId="110" priority="6">
      <formula>AND($B7=1,COLUMN(E7)&lt;$D$3)</formula>
    </cfRule>
  </conditionalFormatting>
  <pageMargins left="0.23622047244094491" right="0.23622047244094491" top="0.74803149606299213" bottom="0.74803149606299213" header="0.31496062992125984" footer="0.31496062992125984"/>
  <pageSetup paperSize="9"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249"/>
  <sheetViews>
    <sheetView topLeftCell="A2" workbookViewId="0">
      <selection sqref="A1:XFD1048576"/>
    </sheetView>
  </sheetViews>
  <sheetFormatPr defaultColWidth="13.42578125" defaultRowHeight="10.5" zeroHeight="1"/>
  <cols>
    <col min="1" max="1" width="5.85546875" style="299" bestFit="1" customWidth="1"/>
    <col min="2" max="2" width="40.140625" style="285" bestFit="1" customWidth="1"/>
    <col min="3" max="3" width="36.42578125" style="285" bestFit="1" customWidth="1"/>
    <col min="4" max="4" width="8.42578125" style="285" bestFit="1" customWidth="1"/>
    <col min="5" max="5" width="13.42578125" style="285"/>
    <col min="6" max="6" width="5.85546875" style="299" bestFit="1" customWidth="1"/>
    <col min="7" max="7" width="36.42578125" style="300" bestFit="1" customWidth="1"/>
    <col min="8" max="8" width="13.42578125" style="299"/>
    <col min="9" max="16384" width="13.42578125" style="285"/>
  </cols>
  <sheetData>
    <row r="1" spans="1:8">
      <c r="A1" s="284" t="s">
        <v>167</v>
      </c>
      <c r="B1" s="284" t="s">
        <v>168</v>
      </c>
      <c r="C1" s="284" t="s">
        <v>54</v>
      </c>
      <c r="D1" s="284" t="s">
        <v>169</v>
      </c>
      <c r="F1" s="284" t="s">
        <v>167</v>
      </c>
      <c r="G1" s="286" t="s">
        <v>54</v>
      </c>
      <c r="H1" s="284" t="s">
        <v>169</v>
      </c>
    </row>
    <row r="2" spans="1:8" ht="14.45" customHeight="1">
      <c r="A2" s="287" t="str">
        <f>MID(B2,1,1)</f>
        <v>A</v>
      </c>
      <c r="B2" s="288" t="s">
        <v>170</v>
      </c>
      <c r="C2" s="289" t="s">
        <v>171</v>
      </c>
      <c r="D2" s="290" t="s">
        <v>172</v>
      </c>
      <c r="F2" s="287" t="str">
        <f t="shared" ref="F2:F65" si="0">MID(H2,1,1)</f>
        <v>A</v>
      </c>
      <c r="G2" s="291" t="s">
        <v>171</v>
      </c>
      <c r="H2" s="292" t="s">
        <v>172</v>
      </c>
    </row>
    <row r="3" spans="1:8" ht="14.45" customHeight="1">
      <c r="A3" s="293" t="str">
        <f t="shared" ref="A3:A66" si="1">MID(B3,1,1)</f>
        <v>A</v>
      </c>
      <c r="B3" s="288" t="s">
        <v>173</v>
      </c>
      <c r="C3" s="289" t="s">
        <v>174</v>
      </c>
      <c r="D3" s="290" t="s">
        <v>175</v>
      </c>
      <c r="F3" s="293" t="str">
        <f t="shared" si="0"/>
        <v>A</v>
      </c>
      <c r="G3" s="291" t="s">
        <v>176</v>
      </c>
      <c r="H3" s="292" t="s">
        <v>177</v>
      </c>
    </row>
    <row r="4" spans="1:8" ht="14.45" customHeight="1">
      <c r="A4" s="293" t="str">
        <f t="shared" si="1"/>
        <v>A</v>
      </c>
      <c r="B4" s="288" t="s">
        <v>178</v>
      </c>
      <c r="C4" s="294" t="s">
        <v>179</v>
      </c>
      <c r="D4" s="290" t="s">
        <v>180</v>
      </c>
      <c r="F4" s="293" t="str">
        <f t="shared" si="0"/>
        <v>A</v>
      </c>
      <c r="G4" s="291" t="s">
        <v>174</v>
      </c>
      <c r="H4" s="292" t="s">
        <v>175</v>
      </c>
    </row>
    <row r="5" spans="1:8" ht="14.45" customHeight="1">
      <c r="A5" s="293" t="str">
        <f t="shared" si="1"/>
        <v>A</v>
      </c>
      <c r="B5" s="288" t="s">
        <v>181</v>
      </c>
      <c r="C5" s="289" t="s">
        <v>182</v>
      </c>
      <c r="D5" s="290" t="s">
        <v>183</v>
      </c>
      <c r="F5" s="293" t="str">
        <f t="shared" si="0"/>
        <v>A</v>
      </c>
      <c r="G5" s="291" t="s">
        <v>184</v>
      </c>
      <c r="H5" s="292" t="s">
        <v>185</v>
      </c>
    </row>
    <row r="6" spans="1:8" ht="14.45" customHeight="1">
      <c r="A6" s="293" t="str">
        <f t="shared" si="1"/>
        <v>A</v>
      </c>
      <c r="B6" s="288" t="s">
        <v>186</v>
      </c>
      <c r="C6" s="289" t="s">
        <v>187</v>
      </c>
      <c r="D6" s="290" t="s">
        <v>188</v>
      </c>
      <c r="F6" s="293" t="str">
        <f t="shared" si="0"/>
        <v>A</v>
      </c>
      <c r="G6" s="291" t="s">
        <v>189</v>
      </c>
      <c r="H6" s="292" t="s">
        <v>190</v>
      </c>
    </row>
    <row r="7" spans="1:8" ht="14.45" customHeight="1">
      <c r="A7" s="293" t="str">
        <f t="shared" si="1"/>
        <v>A</v>
      </c>
      <c r="B7" s="288" t="s">
        <v>191</v>
      </c>
      <c r="C7" s="289" t="s">
        <v>192</v>
      </c>
      <c r="D7" s="290" t="s">
        <v>193</v>
      </c>
      <c r="F7" s="293" t="str">
        <f t="shared" si="0"/>
        <v>A</v>
      </c>
      <c r="G7" s="291" t="s">
        <v>182</v>
      </c>
      <c r="H7" s="292" t="s">
        <v>183</v>
      </c>
    </row>
    <row r="8" spans="1:8" ht="14.45" customHeight="1">
      <c r="A8" s="293" t="str">
        <f t="shared" si="1"/>
        <v>A</v>
      </c>
      <c r="B8" s="288" t="s">
        <v>194</v>
      </c>
      <c r="C8" s="289" t="s">
        <v>195</v>
      </c>
      <c r="D8" s="290" t="s">
        <v>196</v>
      </c>
      <c r="F8" s="293" t="str">
        <f t="shared" si="0"/>
        <v>A</v>
      </c>
      <c r="G8" s="291" t="s">
        <v>197</v>
      </c>
      <c r="H8" s="292" t="s">
        <v>198</v>
      </c>
    </row>
    <row r="9" spans="1:8" ht="14.45" customHeight="1">
      <c r="A9" s="293" t="str">
        <f t="shared" si="1"/>
        <v>A</v>
      </c>
      <c r="B9" s="288" t="s">
        <v>199</v>
      </c>
      <c r="C9" s="289" t="s">
        <v>189</v>
      </c>
      <c r="D9" s="290" t="s">
        <v>190</v>
      </c>
      <c r="F9" s="293" t="str">
        <f t="shared" si="0"/>
        <v>A</v>
      </c>
      <c r="G9" s="291" t="s">
        <v>200</v>
      </c>
      <c r="H9" s="292" t="s">
        <v>201</v>
      </c>
    </row>
    <row r="10" spans="1:8" ht="14.45" customHeight="1">
      <c r="A10" s="293" t="str">
        <f t="shared" si="1"/>
        <v>A</v>
      </c>
      <c r="B10" s="288" t="s">
        <v>202</v>
      </c>
      <c r="C10" s="295" t="s">
        <v>203</v>
      </c>
      <c r="D10" s="290" t="s">
        <v>204</v>
      </c>
      <c r="F10" s="293" t="str">
        <f t="shared" si="0"/>
        <v>A</v>
      </c>
      <c r="G10" s="291" t="s">
        <v>195</v>
      </c>
      <c r="H10" s="292" t="s">
        <v>196</v>
      </c>
    </row>
    <row r="11" spans="1:8" ht="14.45" customHeight="1">
      <c r="A11" s="293" t="str">
        <f t="shared" si="1"/>
        <v>A</v>
      </c>
      <c r="B11" s="288" t="s">
        <v>205</v>
      </c>
      <c r="C11" s="289" t="s">
        <v>184</v>
      </c>
      <c r="D11" s="290" t="s">
        <v>185</v>
      </c>
      <c r="F11" s="293" t="str">
        <f t="shared" si="0"/>
        <v>A</v>
      </c>
      <c r="G11" s="296" t="s">
        <v>203</v>
      </c>
      <c r="H11" s="292" t="s">
        <v>204</v>
      </c>
    </row>
    <row r="12" spans="1:8" ht="14.45" customHeight="1">
      <c r="A12" s="293" t="str">
        <f t="shared" si="1"/>
        <v>A</v>
      </c>
      <c r="B12" s="288" t="s">
        <v>206</v>
      </c>
      <c r="C12" s="289" t="s">
        <v>207</v>
      </c>
      <c r="D12" s="290" t="s">
        <v>208</v>
      </c>
      <c r="F12" s="293" t="str">
        <f t="shared" si="0"/>
        <v>A</v>
      </c>
      <c r="G12" s="291" t="s">
        <v>207</v>
      </c>
      <c r="H12" s="292" t="s">
        <v>208</v>
      </c>
    </row>
    <row r="13" spans="1:8" ht="14.45" customHeight="1">
      <c r="A13" s="293" t="str">
        <f t="shared" si="1"/>
        <v>A</v>
      </c>
      <c r="B13" s="288" t="s">
        <v>209</v>
      </c>
      <c r="C13" s="289" t="s">
        <v>197</v>
      </c>
      <c r="D13" s="290" t="s">
        <v>198</v>
      </c>
      <c r="F13" s="293" t="str">
        <f t="shared" si="0"/>
        <v>A</v>
      </c>
      <c r="G13" s="291" t="s">
        <v>192</v>
      </c>
      <c r="H13" s="292" t="s">
        <v>193</v>
      </c>
    </row>
    <row r="14" spans="1:8" ht="14.45" customHeight="1">
      <c r="A14" s="293" t="str">
        <f t="shared" si="1"/>
        <v>A</v>
      </c>
      <c r="B14" s="288" t="s">
        <v>210</v>
      </c>
      <c r="C14" s="289" t="s">
        <v>211</v>
      </c>
      <c r="D14" s="290" t="s">
        <v>212</v>
      </c>
      <c r="F14" s="293" t="str">
        <f t="shared" si="0"/>
        <v>A</v>
      </c>
      <c r="G14" s="291" t="s">
        <v>213</v>
      </c>
      <c r="H14" s="292" t="s">
        <v>214</v>
      </c>
    </row>
    <row r="15" spans="1:8" ht="14.45" customHeight="1">
      <c r="A15" s="293" t="str">
        <f t="shared" si="1"/>
        <v>A</v>
      </c>
      <c r="B15" s="288" t="s">
        <v>215</v>
      </c>
      <c r="C15" s="289" t="s">
        <v>216</v>
      </c>
      <c r="D15" s="290" t="s">
        <v>217</v>
      </c>
      <c r="F15" s="293" t="str">
        <f t="shared" si="0"/>
        <v>A</v>
      </c>
      <c r="G15" s="291" t="s">
        <v>216</v>
      </c>
      <c r="H15" s="292" t="s">
        <v>217</v>
      </c>
    </row>
    <row r="16" spans="1:8" ht="14.45" customHeight="1">
      <c r="A16" s="293" t="str">
        <f t="shared" si="1"/>
        <v>A</v>
      </c>
      <c r="B16" s="288" t="s">
        <v>218</v>
      </c>
      <c r="C16" s="289" t="s">
        <v>213</v>
      </c>
      <c r="D16" s="290" t="s">
        <v>214</v>
      </c>
      <c r="F16" s="293" t="str">
        <f t="shared" si="0"/>
        <v>A</v>
      </c>
      <c r="G16" s="291" t="s">
        <v>211</v>
      </c>
      <c r="H16" s="292" t="s">
        <v>212</v>
      </c>
    </row>
    <row r="17" spans="1:8" ht="15" customHeight="1">
      <c r="A17" s="293" t="str">
        <f t="shared" si="1"/>
        <v>A</v>
      </c>
      <c r="B17" s="288" t="s">
        <v>219</v>
      </c>
      <c r="C17" s="289" t="s">
        <v>220</v>
      </c>
      <c r="D17" s="290" t="s">
        <v>221</v>
      </c>
      <c r="F17" s="293" t="str">
        <f t="shared" si="0"/>
        <v>A</v>
      </c>
      <c r="G17" s="297" t="s">
        <v>179</v>
      </c>
      <c r="H17" s="292" t="s">
        <v>180</v>
      </c>
    </row>
    <row r="18" spans="1:8" ht="14.45" customHeight="1">
      <c r="A18" s="293" t="str">
        <f t="shared" si="1"/>
        <v>B</v>
      </c>
      <c r="B18" s="288" t="s">
        <v>222</v>
      </c>
      <c r="C18" s="289" t="s">
        <v>223</v>
      </c>
      <c r="D18" s="290" t="s">
        <v>224</v>
      </c>
      <c r="F18" s="293" t="str">
        <f t="shared" si="0"/>
        <v>A</v>
      </c>
      <c r="G18" s="291" t="s">
        <v>220</v>
      </c>
      <c r="H18" s="292" t="s">
        <v>221</v>
      </c>
    </row>
    <row r="19" spans="1:8" ht="14.45" customHeight="1">
      <c r="A19" s="293" t="str">
        <f t="shared" si="1"/>
        <v>B</v>
      </c>
      <c r="B19" s="288" t="s">
        <v>225</v>
      </c>
      <c r="C19" s="289" t="s">
        <v>226</v>
      </c>
      <c r="D19" s="290" t="s">
        <v>227</v>
      </c>
      <c r="F19" s="293" t="str">
        <f t="shared" si="0"/>
        <v>B</v>
      </c>
      <c r="G19" s="291" t="s">
        <v>228</v>
      </c>
      <c r="H19" s="292" t="s">
        <v>229</v>
      </c>
    </row>
    <row r="20" spans="1:8" ht="14.45" customHeight="1">
      <c r="A20" s="293" t="str">
        <f t="shared" si="1"/>
        <v>B</v>
      </c>
      <c r="B20" s="288" t="s">
        <v>230</v>
      </c>
      <c r="C20" s="289" t="s">
        <v>231</v>
      </c>
      <c r="D20" s="290" t="s">
        <v>232</v>
      </c>
      <c r="F20" s="293" t="str">
        <f t="shared" si="0"/>
        <v>B</v>
      </c>
      <c r="G20" s="291" t="s">
        <v>233</v>
      </c>
      <c r="H20" s="292" t="s">
        <v>234</v>
      </c>
    </row>
    <row r="21" spans="1:8" ht="14.45" customHeight="1">
      <c r="A21" s="293" t="str">
        <f t="shared" si="1"/>
        <v>B</v>
      </c>
      <c r="B21" s="288" t="s">
        <v>235</v>
      </c>
      <c r="C21" s="289" t="s">
        <v>233</v>
      </c>
      <c r="D21" s="290" t="s">
        <v>234</v>
      </c>
      <c r="F21" s="293" t="str">
        <f t="shared" si="0"/>
        <v>B</v>
      </c>
      <c r="G21" s="291" t="s">
        <v>231</v>
      </c>
      <c r="H21" s="292" t="s">
        <v>232</v>
      </c>
    </row>
    <row r="22" spans="1:8" ht="14.45" customHeight="1">
      <c r="A22" s="293" t="str">
        <f t="shared" si="1"/>
        <v>B</v>
      </c>
      <c r="B22" s="288" t="s">
        <v>236</v>
      </c>
      <c r="C22" s="289" t="s">
        <v>237</v>
      </c>
      <c r="D22" s="290" t="s">
        <v>238</v>
      </c>
      <c r="F22" s="293" t="str">
        <f t="shared" si="0"/>
        <v>B</v>
      </c>
      <c r="G22" s="291" t="s">
        <v>239</v>
      </c>
      <c r="H22" s="292" t="s">
        <v>240</v>
      </c>
    </row>
    <row r="23" spans="1:8" ht="14.45" customHeight="1">
      <c r="A23" s="293" t="str">
        <f t="shared" si="1"/>
        <v>B</v>
      </c>
      <c r="B23" s="288" t="s">
        <v>241</v>
      </c>
      <c r="C23" s="289" t="s">
        <v>239</v>
      </c>
      <c r="D23" s="290" t="s">
        <v>240</v>
      </c>
      <c r="F23" s="293" t="str">
        <f t="shared" si="0"/>
        <v>B</v>
      </c>
      <c r="G23" s="291" t="s">
        <v>242</v>
      </c>
      <c r="H23" s="292" t="s">
        <v>243</v>
      </c>
    </row>
    <row r="24" spans="1:8" ht="14.45" customHeight="1">
      <c r="A24" s="293" t="str">
        <f t="shared" si="1"/>
        <v>B</v>
      </c>
      <c r="B24" s="288" t="s">
        <v>244</v>
      </c>
      <c r="C24" s="289" t="s">
        <v>245</v>
      </c>
      <c r="D24" s="290" t="s">
        <v>246</v>
      </c>
      <c r="F24" s="293" t="str">
        <f t="shared" si="0"/>
        <v>B</v>
      </c>
      <c r="G24" s="291" t="s">
        <v>247</v>
      </c>
      <c r="H24" s="292" t="s">
        <v>248</v>
      </c>
    </row>
    <row r="25" spans="1:8" ht="14.45" customHeight="1">
      <c r="A25" s="293" t="str">
        <f t="shared" si="1"/>
        <v>B</v>
      </c>
      <c r="B25" s="288" t="s">
        <v>249</v>
      </c>
      <c r="C25" s="289" t="s">
        <v>250</v>
      </c>
      <c r="D25" s="290" t="s">
        <v>251</v>
      </c>
      <c r="F25" s="293" t="str">
        <f t="shared" si="0"/>
        <v>B</v>
      </c>
      <c r="G25" s="291" t="s">
        <v>226</v>
      </c>
      <c r="H25" s="292" t="s">
        <v>227</v>
      </c>
    </row>
    <row r="26" spans="1:8" ht="14.45" customHeight="1">
      <c r="A26" s="293" t="str">
        <f t="shared" si="1"/>
        <v>B</v>
      </c>
      <c r="B26" s="288" t="s">
        <v>252</v>
      </c>
      <c r="C26" s="289" t="s">
        <v>253</v>
      </c>
      <c r="D26" s="290" t="s">
        <v>254</v>
      </c>
      <c r="F26" s="293" t="str">
        <f t="shared" si="0"/>
        <v>B</v>
      </c>
      <c r="G26" s="291" t="s">
        <v>255</v>
      </c>
      <c r="H26" s="292" t="s">
        <v>256</v>
      </c>
    </row>
    <row r="27" spans="1:8" ht="14.45" customHeight="1">
      <c r="A27" s="293" t="str">
        <f t="shared" si="1"/>
        <v>B</v>
      </c>
      <c r="B27" s="288" t="s">
        <v>257</v>
      </c>
      <c r="C27" s="289" t="s">
        <v>258</v>
      </c>
      <c r="D27" s="290" t="s">
        <v>259</v>
      </c>
      <c r="F27" s="293" t="str">
        <f t="shared" si="0"/>
        <v>B</v>
      </c>
      <c r="G27" s="291" t="s">
        <v>250</v>
      </c>
      <c r="H27" s="292" t="s">
        <v>251</v>
      </c>
    </row>
    <row r="28" spans="1:8" ht="14.45" customHeight="1">
      <c r="A28" s="293" t="str">
        <f t="shared" si="1"/>
        <v>B</v>
      </c>
      <c r="B28" s="288" t="s">
        <v>260</v>
      </c>
      <c r="C28" s="289" t="s">
        <v>261</v>
      </c>
      <c r="D28" s="290" t="s">
        <v>262</v>
      </c>
      <c r="F28" s="293" t="str">
        <f t="shared" si="0"/>
        <v>B</v>
      </c>
      <c r="G28" s="297" t="s">
        <v>263</v>
      </c>
      <c r="H28" s="292" t="s">
        <v>264</v>
      </c>
    </row>
    <row r="29" spans="1:8" ht="14.45" customHeight="1">
      <c r="A29" s="293" t="str">
        <f t="shared" si="1"/>
        <v>B</v>
      </c>
      <c r="B29" s="288" t="s">
        <v>265</v>
      </c>
      <c r="C29" s="289" t="s">
        <v>228</v>
      </c>
      <c r="D29" s="290" t="s">
        <v>229</v>
      </c>
      <c r="F29" s="293" t="str">
        <f t="shared" si="0"/>
        <v>B</v>
      </c>
      <c r="G29" s="291" t="s">
        <v>253</v>
      </c>
      <c r="H29" s="292" t="s">
        <v>254</v>
      </c>
    </row>
    <row r="30" spans="1:8" ht="14.45" customHeight="1">
      <c r="A30" s="293" t="str">
        <f t="shared" si="1"/>
        <v>B</v>
      </c>
      <c r="B30" s="288" t="s">
        <v>266</v>
      </c>
      <c r="C30" s="289" t="s">
        <v>267</v>
      </c>
      <c r="D30" s="290" t="s">
        <v>268</v>
      </c>
      <c r="F30" s="293" t="str">
        <f t="shared" si="0"/>
        <v>B</v>
      </c>
      <c r="G30" s="291" t="s">
        <v>269</v>
      </c>
      <c r="H30" s="292" t="s">
        <v>270</v>
      </c>
    </row>
    <row r="31" spans="1:8" ht="14.45" customHeight="1">
      <c r="A31" s="293" t="str">
        <f t="shared" si="1"/>
        <v>B</v>
      </c>
      <c r="B31" s="288" t="s">
        <v>271</v>
      </c>
      <c r="C31" s="294" t="s">
        <v>272</v>
      </c>
      <c r="D31" s="290" t="s">
        <v>273</v>
      </c>
      <c r="F31" s="293" t="str">
        <f t="shared" si="0"/>
        <v>B</v>
      </c>
      <c r="G31" s="291" t="s">
        <v>261</v>
      </c>
      <c r="H31" s="292" t="s">
        <v>262</v>
      </c>
    </row>
    <row r="32" spans="1:8" ht="14.45" customHeight="1">
      <c r="A32" s="293" t="str">
        <f t="shared" si="1"/>
        <v>B</v>
      </c>
      <c r="B32" s="288" t="s">
        <v>274</v>
      </c>
      <c r="C32" s="289" t="s">
        <v>275</v>
      </c>
      <c r="D32" s="290" t="s">
        <v>276</v>
      </c>
      <c r="F32" s="293" t="str">
        <f t="shared" si="0"/>
        <v>B</v>
      </c>
      <c r="G32" s="291" t="s">
        <v>275</v>
      </c>
      <c r="H32" s="292" t="s">
        <v>276</v>
      </c>
    </row>
    <row r="33" spans="1:8" ht="14.45" customHeight="1">
      <c r="A33" s="293" t="str">
        <f t="shared" si="1"/>
        <v>B</v>
      </c>
      <c r="B33" s="288" t="s">
        <v>277</v>
      </c>
      <c r="C33" s="294" t="s">
        <v>278</v>
      </c>
      <c r="D33" s="290" t="s">
        <v>279</v>
      </c>
      <c r="F33" s="293" t="str">
        <f t="shared" si="0"/>
        <v>B</v>
      </c>
      <c r="G33" s="291" t="s">
        <v>223</v>
      </c>
      <c r="H33" s="292" t="s">
        <v>224</v>
      </c>
    </row>
    <row r="34" spans="1:8" ht="14.45" customHeight="1">
      <c r="A34" s="293" t="str">
        <f t="shared" si="1"/>
        <v>B</v>
      </c>
      <c r="B34" s="288" t="s">
        <v>280</v>
      </c>
      <c r="C34" s="289" t="s">
        <v>281</v>
      </c>
      <c r="D34" s="290" t="s">
        <v>282</v>
      </c>
      <c r="F34" s="293" t="str">
        <f t="shared" si="0"/>
        <v>B</v>
      </c>
      <c r="G34" s="291" t="s">
        <v>258</v>
      </c>
      <c r="H34" s="292" t="s">
        <v>259</v>
      </c>
    </row>
    <row r="35" spans="1:8" ht="14.45" customHeight="1">
      <c r="A35" s="293" t="str">
        <f t="shared" si="1"/>
        <v>B</v>
      </c>
      <c r="B35" s="288" t="s">
        <v>283</v>
      </c>
      <c r="C35" s="289" t="s">
        <v>269</v>
      </c>
      <c r="D35" s="290" t="s">
        <v>270</v>
      </c>
      <c r="F35" s="293" t="str">
        <f t="shared" si="0"/>
        <v>B</v>
      </c>
      <c r="G35" s="297" t="s">
        <v>272</v>
      </c>
      <c r="H35" s="292" t="s">
        <v>273</v>
      </c>
    </row>
    <row r="36" spans="1:8" ht="14.45" customHeight="1">
      <c r="A36" s="293" t="str">
        <f t="shared" si="1"/>
        <v>B</v>
      </c>
      <c r="B36" s="288" t="s">
        <v>284</v>
      </c>
      <c r="C36" s="289" t="s">
        <v>247</v>
      </c>
      <c r="D36" s="290" t="s">
        <v>248</v>
      </c>
      <c r="F36" s="293" t="str">
        <f t="shared" si="0"/>
        <v>B</v>
      </c>
      <c r="G36" s="291" t="s">
        <v>267</v>
      </c>
      <c r="H36" s="292" t="s">
        <v>268</v>
      </c>
    </row>
    <row r="37" spans="1:8" ht="14.45" customHeight="1">
      <c r="A37" s="293" t="str">
        <f t="shared" si="1"/>
        <v>B</v>
      </c>
      <c r="B37" s="288" t="s">
        <v>285</v>
      </c>
      <c r="C37" s="289" t="s">
        <v>242</v>
      </c>
      <c r="D37" s="290" t="s">
        <v>243</v>
      </c>
      <c r="F37" s="293" t="str">
        <f t="shared" si="0"/>
        <v>B</v>
      </c>
      <c r="G37" s="291" t="s">
        <v>237</v>
      </c>
      <c r="H37" s="292" t="s">
        <v>238</v>
      </c>
    </row>
    <row r="38" spans="1:8" ht="15" customHeight="1">
      <c r="A38" s="293" t="str">
        <f t="shared" si="1"/>
        <v>B</v>
      </c>
      <c r="B38" s="288" t="s">
        <v>286</v>
      </c>
      <c r="C38" s="289" t="s">
        <v>255</v>
      </c>
      <c r="D38" s="290" t="s">
        <v>256</v>
      </c>
      <c r="F38" s="293" t="str">
        <f t="shared" si="0"/>
        <v>B</v>
      </c>
      <c r="G38" s="291" t="s">
        <v>245</v>
      </c>
      <c r="H38" s="292" t="s">
        <v>246</v>
      </c>
    </row>
    <row r="39" spans="1:8" ht="14.45" customHeight="1">
      <c r="A39" s="293" t="str">
        <f t="shared" si="1"/>
        <v>C</v>
      </c>
      <c r="B39" s="288" t="s">
        <v>287</v>
      </c>
      <c r="C39" s="289" t="s">
        <v>288</v>
      </c>
      <c r="D39" s="290" t="s">
        <v>289</v>
      </c>
      <c r="F39" s="293" t="str">
        <f t="shared" si="0"/>
        <v>C</v>
      </c>
      <c r="G39" s="291" t="s">
        <v>290</v>
      </c>
      <c r="H39" s="292" t="s">
        <v>291</v>
      </c>
    </row>
    <row r="40" spans="1:8" ht="14.45" customHeight="1">
      <c r="A40" s="293" t="str">
        <f t="shared" si="1"/>
        <v>C</v>
      </c>
      <c r="B40" s="288" t="s">
        <v>292</v>
      </c>
      <c r="C40" s="289" t="s">
        <v>293</v>
      </c>
      <c r="D40" s="290" t="s">
        <v>294</v>
      </c>
      <c r="F40" s="293" t="str">
        <f t="shared" si="0"/>
        <v>C</v>
      </c>
      <c r="G40" s="297" t="s">
        <v>295</v>
      </c>
      <c r="H40" s="292" t="s">
        <v>296</v>
      </c>
    </row>
    <row r="41" spans="1:8" ht="14.45" customHeight="1">
      <c r="A41" s="293" t="str">
        <f t="shared" si="1"/>
        <v>C</v>
      </c>
      <c r="B41" s="288" t="s">
        <v>297</v>
      </c>
      <c r="C41" s="289" t="s">
        <v>290</v>
      </c>
      <c r="D41" s="290" t="s">
        <v>291</v>
      </c>
      <c r="F41" s="293" t="str">
        <f t="shared" si="0"/>
        <v>C</v>
      </c>
      <c r="G41" s="291" t="s">
        <v>298</v>
      </c>
      <c r="H41" s="292" t="s">
        <v>299</v>
      </c>
    </row>
    <row r="42" spans="1:8" ht="14.45" customHeight="1">
      <c r="A42" s="293" t="str">
        <f t="shared" si="1"/>
        <v>C</v>
      </c>
      <c r="B42" s="288" t="s">
        <v>300</v>
      </c>
      <c r="C42" s="289" t="s">
        <v>301</v>
      </c>
      <c r="D42" s="290" t="s">
        <v>302</v>
      </c>
      <c r="F42" s="293" t="str">
        <f t="shared" si="0"/>
        <v>C</v>
      </c>
      <c r="G42" s="291" t="s">
        <v>303</v>
      </c>
      <c r="H42" s="292" t="s">
        <v>304</v>
      </c>
    </row>
    <row r="43" spans="1:8" ht="14.45" customHeight="1">
      <c r="A43" s="293" t="str">
        <f t="shared" si="1"/>
        <v>C</v>
      </c>
      <c r="B43" s="288" t="s">
        <v>305</v>
      </c>
      <c r="C43" s="294" t="s">
        <v>306</v>
      </c>
      <c r="D43" s="290" t="s">
        <v>307</v>
      </c>
      <c r="F43" s="293" t="str">
        <f t="shared" si="0"/>
        <v>C</v>
      </c>
      <c r="G43" s="291" t="s">
        <v>308</v>
      </c>
      <c r="H43" s="292" t="s">
        <v>309</v>
      </c>
    </row>
    <row r="44" spans="1:8" ht="14.45" customHeight="1">
      <c r="A44" s="293" t="str">
        <f t="shared" si="1"/>
        <v>C</v>
      </c>
      <c r="B44" s="288" t="s">
        <v>310</v>
      </c>
      <c r="C44" s="289" t="s">
        <v>303</v>
      </c>
      <c r="D44" s="290" t="s">
        <v>304</v>
      </c>
      <c r="F44" s="293" t="str">
        <f t="shared" si="0"/>
        <v>C</v>
      </c>
      <c r="G44" s="291" t="s">
        <v>311</v>
      </c>
      <c r="H44" s="292" t="s">
        <v>312</v>
      </c>
    </row>
    <row r="45" spans="1:8" ht="14.45" customHeight="1">
      <c r="A45" s="293" t="str">
        <f t="shared" si="1"/>
        <v>C</v>
      </c>
      <c r="B45" s="288" t="s">
        <v>313</v>
      </c>
      <c r="C45" s="289" t="s">
        <v>314</v>
      </c>
      <c r="D45" s="290" t="s">
        <v>125</v>
      </c>
      <c r="F45" s="293" t="str">
        <f t="shared" si="0"/>
        <v>C</v>
      </c>
      <c r="G45" s="291" t="s">
        <v>315</v>
      </c>
      <c r="H45" s="292" t="s">
        <v>316</v>
      </c>
    </row>
    <row r="46" spans="1:8" ht="14.45" customHeight="1">
      <c r="A46" s="293" t="str">
        <f t="shared" si="1"/>
        <v>C</v>
      </c>
      <c r="B46" s="288" t="s">
        <v>317</v>
      </c>
      <c r="C46" s="289" t="s">
        <v>318</v>
      </c>
      <c r="D46" s="290" t="s">
        <v>319</v>
      </c>
      <c r="F46" s="293" t="str">
        <f t="shared" si="0"/>
        <v>C</v>
      </c>
      <c r="G46" s="297" t="s">
        <v>320</v>
      </c>
      <c r="H46" s="292" t="s">
        <v>321</v>
      </c>
    </row>
    <row r="47" spans="1:8" ht="14.45" customHeight="1">
      <c r="A47" s="293" t="str">
        <f t="shared" si="1"/>
        <v>C</v>
      </c>
      <c r="B47" s="288" t="s">
        <v>322</v>
      </c>
      <c r="C47" s="289" t="s">
        <v>323</v>
      </c>
      <c r="D47" s="290" t="s">
        <v>324</v>
      </c>
      <c r="F47" s="293" t="str">
        <f t="shared" si="0"/>
        <v>C</v>
      </c>
      <c r="G47" s="291" t="s">
        <v>318</v>
      </c>
      <c r="H47" s="292" t="s">
        <v>319</v>
      </c>
    </row>
    <row r="48" spans="1:8" ht="14.45" customHeight="1">
      <c r="A48" s="293" t="str">
        <f t="shared" si="1"/>
        <v>C</v>
      </c>
      <c r="B48" s="288" t="s">
        <v>325</v>
      </c>
      <c r="C48" s="294" t="s">
        <v>326</v>
      </c>
      <c r="D48" s="290" t="s">
        <v>327</v>
      </c>
      <c r="F48" s="293" t="str">
        <f t="shared" si="0"/>
        <v>C</v>
      </c>
      <c r="G48" s="291" t="s">
        <v>293</v>
      </c>
      <c r="H48" s="292" t="s">
        <v>294</v>
      </c>
    </row>
    <row r="49" spans="1:8" ht="14.45" customHeight="1">
      <c r="A49" s="293" t="str">
        <f t="shared" si="1"/>
        <v>C</v>
      </c>
      <c r="B49" s="288" t="s">
        <v>328</v>
      </c>
      <c r="C49" s="294" t="s">
        <v>295</v>
      </c>
      <c r="D49" s="290" t="s">
        <v>296</v>
      </c>
      <c r="F49" s="293" t="str">
        <f t="shared" si="0"/>
        <v>C</v>
      </c>
      <c r="G49" s="291" t="s">
        <v>323</v>
      </c>
      <c r="H49" s="292" t="s">
        <v>324</v>
      </c>
    </row>
    <row r="50" spans="1:8" ht="14.45" customHeight="1">
      <c r="A50" s="293" t="str">
        <f t="shared" si="1"/>
        <v>C</v>
      </c>
      <c r="B50" s="288" t="s">
        <v>329</v>
      </c>
      <c r="C50" s="289" t="s">
        <v>330</v>
      </c>
      <c r="D50" s="290" t="s">
        <v>331</v>
      </c>
      <c r="F50" s="293" t="str">
        <f t="shared" si="0"/>
        <v>C</v>
      </c>
      <c r="G50" s="291" t="s">
        <v>330</v>
      </c>
      <c r="H50" s="292" t="s">
        <v>331</v>
      </c>
    </row>
    <row r="51" spans="1:8" ht="14.45" customHeight="1">
      <c r="A51" s="293" t="str">
        <f t="shared" si="1"/>
        <v>C</v>
      </c>
      <c r="B51" s="288" t="s">
        <v>332</v>
      </c>
      <c r="C51" s="289" t="s">
        <v>333</v>
      </c>
      <c r="D51" s="290" t="s">
        <v>334</v>
      </c>
      <c r="F51" s="293" t="str">
        <f t="shared" si="0"/>
        <v>C</v>
      </c>
      <c r="G51" s="291" t="s">
        <v>335</v>
      </c>
      <c r="H51" s="292" t="s">
        <v>336</v>
      </c>
    </row>
    <row r="52" spans="1:8" ht="14.45" customHeight="1">
      <c r="A52" s="293" t="str">
        <f t="shared" si="1"/>
        <v>C</v>
      </c>
      <c r="B52" s="288" t="s">
        <v>337</v>
      </c>
      <c r="C52" s="289" t="s">
        <v>308</v>
      </c>
      <c r="D52" s="290" t="s">
        <v>309</v>
      </c>
      <c r="F52" s="293" t="str">
        <f t="shared" si="0"/>
        <v>C</v>
      </c>
      <c r="G52" s="291" t="s">
        <v>338</v>
      </c>
      <c r="H52" s="292" t="s">
        <v>339</v>
      </c>
    </row>
    <row r="53" spans="1:8" ht="14.45" customHeight="1">
      <c r="A53" s="293" t="str">
        <f t="shared" si="1"/>
        <v>C</v>
      </c>
      <c r="B53" s="288" t="s">
        <v>340</v>
      </c>
      <c r="C53" s="289" t="s">
        <v>298</v>
      </c>
      <c r="D53" s="290" t="s">
        <v>299</v>
      </c>
      <c r="F53" s="293" t="str">
        <f t="shared" si="0"/>
        <v>C</v>
      </c>
      <c r="G53" s="291" t="s">
        <v>301</v>
      </c>
      <c r="H53" s="292" t="s">
        <v>302</v>
      </c>
    </row>
    <row r="54" spans="1:8" ht="14.45" customHeight="1">
      <c r="A54" s="293" t="str">
        <f t="shared" si="1"/>
        <v>C</v>
      </c>
      <c r="B54" s="288" t="s">
        <v>341</v>
      </c>
      <c r="C54" s="294" t="s">
        <v>320</v>
      </c>
      <c r="D54" s="290" t="s">
        <v>321</v>
      </c>
      <c r="F54" s="293" t="str">
        <f t="shared" si="0"/>
        <v>C</v>
      </c>
      <c r="G54" s="297" t="s">
        <v>326</v>
      </c>
      <c r="H54" s="292" t="s">
        <v>327</v>
      </c>
    </row>
    <row r="55" spans="1:8" ht="14.45" customHeight="1">
      <c r="A55" s="293" t="str">
        <f t="shared" si="1"/>
        <v>C</v>
      </c>
      <c r="B55" s="288" t="s">
        <v>342</v>
      </c>
      <c r="C55" s="289" t="s">
        <v>335</v>
      </c>
      <c r="D55" s="290" t="s">
        <v>336</v>
      </c>
      <c r="F55" s="293" t="str">
        <f t="shared" si="0"/>
        <v>C</v>
      </c>
      <c r="G55" s="291" t="s">
        <v>343</v>
      </c>
      <c r="H55" s="292" t="s">
        <v>344</v>
      </c>
    </row>
    <row r="56" spans="1:8" ht="14.45" customHeight="1">
      <c r="A56" s="293" t="str">
        <f t="shared" si="1"/>
        <v>C</v>
      </c>
      <c r="B56" s="288" t="s">
        <v>345</v>
      </c>
      <c r="C56" s="289" t="s">
        <v>315</v>
      </c>
      <c r="D56" s="290" t="s">
        <v>316</v>
      </c>
      <c r="F56" s="293" t="str">
        <f t="shared" si="0"/>
        <v>C</v>
      </c>
      <c r="G56" s="291" t="s">
        <v>346</v>
      </c>
      <c r="H56" s="292" t="s">
        <v>347</v>
      </c>
    </row>
    <row r="57" spans="1:8" ht="14.45" customHeight="1">
      <c r="A57" s="293" t="str">
        <f t="shared" si="1"/>
        <v>C</v>
      </c>
      <c r="B57" s="288" t="s">
        <v>348</v>
      </c>
      <c r="C57" s="289" t="s">
        <v>349</v>
      </c>
      <c r="D57" s="290" t="s">
        <v>350</v>
      </c>
      <c r="F57" s="293" t="str">
        <f t="shared" si="0"/>
        <v>D</v>
      </c>
      <c r="G57" s="291" t="s">
        <v>351</v>
      </c>
      <c r="H57" s="292" t="s">
        <v>352</v>
      </c>
    </row>
    <row r="58" spans="1:8" ht="14.45" customHeight="1">
      <c r="A58" s="293" t="str">
        <f t="shared" si="1"/>
        <v>C</v>
      </c>
      <c r="B58" s="288" t="s">
        <v>353</v>
      </c>
      <c r="C58" s="289" t="s">
        <v>338</v>
      </c>
      <c r="D58" s="290" t="s">
        <v>339</v>
      </c>
      <c r="F58" s="293" t="str">
        <f t="shared" si="0"/>
        <v>D</v>
      </c>
      <c r="G58" s="291" t="s">
        <v>354</v>
      </c>
      <c r="H58" s="292" t="s">
        <v>355</v>
      </c>
    </row>
    <row r="59" spans="1:8" ht="14.45" customHeight="1">
      <c r="A59" s="293" t="str">
        <f t="shared" si="1"/>
        <v>C</v>
      </c>
      <c r="B59" s="288" t="s">
        <v>356</v>
      </c>
      <c r="C59" s="289" t="s">
        <v>343</v>
      </c>
      <c r="D59" s="290" t="s">
        <v>344</v>
      </c>
      <c r="F59" s="293" t="str">
        <f t="shared" si="0"/>
        <v>D</v>
      </c>
      <c r="G59" s="291" t="s">
        <v>357</v>
      </c>
      <c r="H59" s="292" t="s">
        <v>358</v>
      </c>
    </row>
    <row r="60" spans="1:8" ht="14.45" customHeight="1">
      <c r="A60" s="293" t="str">
        <f t="shared" si="1"/>
        <v>C</v>
      </c>
      <c r="B60" s="288" t="s">
        <v>359</v>
      </c>
      <c r="C60" s="289" t="s">
        <v>346</v>
      </c>
      <c r="D60" s="290" t="s">
        <v>347</v>
      </c>
      <c r="F60" s="293" t="str">
        <f t="shared" si="0"/>
        <v>D</v>
      </c>
      <c r="G60" s="291" t="s">
        <v>360</v>
      </c>
      <c r="H60" s="292" t="s">
        <v>361</v>
      </c>
    </row>
    <row r="61" spans="1:8" ht="14.45" customHeight="1">
      <c r="A61" s="293" t="str">
        <f t="shared" si="1"/>
        <v>D</v>
      </c>
      <c r="B61" s="288" t="s">
        <v>362</v>
      </c>
      <c r="C61" s="289" t="s">
        <v>357</v>
      </c>
      <c r="D61" s="290" t="s">
        <v>358</v>
      </c>
      <c r="F61" s="293" t="str">
        <f t="shared" si="0"/>
        <v>D</v>
      </c>
      <c r="G61" s="291" t="s">
        <v>363</v>
      </c>
      <c r="H61" s="292" t="s">
        <v>364</v>
      </c>
    </row>
    <row r="62" spans="1:8" ht="15" customHeight="1">
      <c r="A62" s="293" t="str">
        <f t="shared" si="1"/>
        <v>D</v>
      </c>
      <c r="B62" s="288" t="s">
        <v>365</v>
      </c>
      <c r="C62" s="289" t="s">
        <v>354</v>
      </c>
      <c r="D62" s="290" t="s">
        <v>355</v>
      </c>
      <c r="F62" s="293" t="str">
        <f t="shared" si="0"/>
        <v>D</v>
      </c>
      <c r="G62" s="291" t="s">
        <v>187</v>
      </c>
      <c r="H62" s="292" t="s">
        <v>188</v>
      </c>
    </row>
    <row r="63" spans="1:8" ht="14.45" customHeight="1">
      <c r="A63" s="293" t="str">
        <f t="shared" si="1"/>
        <v>D</v>
      </c>
      <c r="B63" s="288" t="s">
        <v>366</v>
      </c>
      <c r="C63" s="289" t="s">
        <v>360</v>
      </c>
      <c r="D63" s="290" t="s">
        <v>361</v>
      </c>
      <c r="F63" s="293" t="str">
        <f t="shared" si="0"/>
        <v>E</v>
      </c>
      <c r="G63" s="291" t="s">
        <v>367</v>
      </c>
      <c r="H63" s="292" t="s">
        <v>368</v>
      </c>
    </row>
    <row r="64" spans="1:8" ht="14.45" customHeight="1">
      <c r="A64" s="293" t="str">
        <f t="shared" si="1"/>
        <v>D</v>
      </c>
      <c r="B64" s="288" t="s">
        <v>369</v>
      </c>
      <c r="C64" s="289" t="s">
        <v>363</v>
      </c>
      <c r="D64" s="290" t="s">
        <v>364</v>
      </c>
      <c r="F64" s="293" t="str">
        <f t="shared" si="0"/>
        <v>E</v>
      </c>
      <c r="G64" s="291" t="s">
        <v>370</v>
      </c>
      <c r="H64" s="292" t="s">
        <v>371</v>
      </c>
    </row>
    <row r="65" spans="1:8" ht="14.45" customHeight="1">
      <c r="A65" s="293" t="str">
        <f t="shared" si="1"/>
        <v>E</v>
      </c>
      <c r="B65" s="288" t="s">
        <v>372</v>
      </c>
      <c r="C65" s="289" t="s">
        <v>367</v>
      </c>
      <c r="D65" s="290" t="s">
        <v>368</v>
      </c>
      <c r="F65" s="293" t="str">
        <f t="shared" si="0"/>
        <v>E</v>
      </c>
      <c r="G65" s="291" t="s">
        <v>373</v>
      </c>
      <c r="H65" s="292" t="s">
        <v>374</v>
      </c>
    </row>
    <row r="66" spans="1:8" ht="15" customHeight="1">
      <c r="A66" s="293" t="str">
        <f t="shared" si="1"/>
        <v>E</v>
      </c>
      <c r="B66" s="288" t="s">
        <v>375</v>
      </c>
      <c r="C66" s="289" t="s">
        <v>373</v>
      </c>
      <c r="D66" s="290" t="s">
        <v>374</v>
      </c>
      <c r="F66" s="293" t="str">
        <f t="shared" ref="F66:F129" si="2">MID(H66,1,1)</f>
        <v>E</v>
      </c>
      <c r="G66" s="296" t="s">
        <v>376</v>
      </c>
      <c r="H66" s="292" t="s">
        <v>377</v>
      </c>
    </row>
    <row r="67" spans="1:8" ht="14.45" customHeight="1">
      <c r="A67" s="293" t="str">
        <f t="shared" ref="A67:A131" si="3">MID(B67,1,1)</f>
        <v>E</v>
      </c>
      <c r="B67" s="288" t="s">
        <v>378</v>
      </c>
      <c r="C67" s="289" t="s">
        <v>379</v>
      </c>
      <c r="D67" s="290" t="s">
        <v>380</v>
      </c>
      <c r="F67" s="293" t="str">
        <f t="shared" si="2"/>
        <v>E</v>
      </c>
      <c r="G67" s="291" t="s">
        <v>381</v>
      </c>
      <c r="H67" s="292" t="s">
        <v>382</v>
      </c>
    </row>
    <row r="68" spans="1:8" ht="14.45" customHeight="1">
      <c r="A68" s="293" t="str">
        <f t="shared" si="3"/>
        <v>E</v>
      </c>
      <c r="B68" s="288" t="s">
        <v>383</v>
      </c>
      <c r="C68" s="289" t="s">
        <v>384</v>
      </c>
      <c r="D68" s="290" t="s">
        <v>385</v>
      </c>
      <c r="F68" s="293" t="str">
        <f t="shared" si="2"/>
        <v>E</v>
      </c>
      <c r="G68" s="291" t="s">
        <v>386</v>
      </c>
      <c r="H68" s="292" t="s">
        <v>387</v>
      </c>
    </row>
    <row r="69" spans="1:8" ht="14.45" customHeight="1">
      <c r="A69" s="293" t="str">
        <f t="shared" si="3"/>
        <v>E</v>
      </c>
      <c r="B69" s="288" t="s">
        <v>388</v>
      </c>
      <c r="C69" s="289" t="s">
        <v>381</v>
      </c>
      <c r="D69" s="290" t="s">
        <v>382</v>
      </c>
      <c r="F69" s="293" t="str">
        <f t="shared" si="2"/>
        <v>E</v>
      </c>
      <c r="G69" s="291" t="s">
        <v>389</v>
      </c>
      <c r="H69" s="292" t="s">
        <v>390</v>
      </c>
    </row>
    <row r="70" spans="1:8" ht="14.45" customHeight="1">
      <c r="A70" s="293" t="str">
        <f t="shared" si="3"/>
        <v>E</v>
      </c>
      <c r="B70" s="288" t="s">
        <v>391</v>
      </c>
      <c r="C70" s="289" t="s">
        <v>370</v>
      </c>
      <c r="D70" s="290" t="s">
        <v>371</v>
      </c>
      <c r="F70" s="293" t="str">
        <f t="shared" si="2"/>
        <v>F</v>
      </c>
      <c r="G70" s="291" t="s">
        <v>392</v>
      </c>
      <c r="H70" s="292" t="s">
        <v>393</v>
      </c>
    </row>
    <row r="71" spans="1:8" ht="14.45" customHeight="1">
      <c r="A71" s="293" t="str">
        <f t="shared" si="3"/>
        <v>E</v>
      </c>
      <c r="B71" s="288" t="s">
        <v>394</v>
      </c>
      <c r="C71" s="289" t="s">
        <v>389</v>
      </c>
      <c r="D71" s="290" t="s">
        <v>390</v>
      </c>
      <c r="F71" s="293" t="str">
        <f t="shared" si="2"/>
        <v>F</v>
      </c>
      <c r="G71" s="291" t="s">
        <v>395</v>
      </c>
      <c r="H71" s="292" t="s">
        <v>396</v>
      </c>
    </row>
    <row r="72" spans="1:8" ht="14.45" customHeight="1">
      <c r="A72" s="293" t="str">
        <f t="shared" si="3"/>
        <v>F</v>
      </c>
      <c r="B72" s="288" t="s">
        <v>397</v>
      </c>
      <c r="C72" s="294" t="s">
        <v>398</v>
      </c>
      <c r="D72" s="290" t="s">
        <v>399</v>
      </c>
      <c r="F72" s="293" t="str">
        <f t="shared" si="2"/>
        <v>F</v>
      </c>
      <c r="G72" s="297" t="s">
        <v>398</v>
      </c>
      <c r="H72" s="292" t="s">
        <v>399</v>
      </c>
    </row>
    <row r="73" spans="1:8" ht="15" customHeight="1">
      <c r="A73" s="293" t="str">
        <f t="shared" si="3"/>
        <v>F</v>
      </c>
      <c r="B73" s="288" t="s">
        <v>400</v>
      </c>
      <c r="C73" s="289" t="s">
        <v>401</v>
      </c>
      <c r="D73" s="290" t="s">
        <v>402</v>
      </c>
      <c r="F73" s="293" t="str">
        <f t="shared" si="2"/>
        <v>F</v>
      </c>
      <c r="G73" s="291" t="s">
        <v>403</v>
      </c>
      <c r="H73" s="292" t="s">
        <v>404</v>
      </c>
    </row>
    <row r="74" spans="1:8" ht="14.45" customHeight="1">
      <c r="A74" s="293" t="str">
        <f t="shared" si="3"/>
        <v>F</v>
      </c>
      <c r="B74" s="288" t="s">
        <v>405</v>
      </c>
      <c r="C74" s="289" t="s">
        <v>395</v>
      </c>
      <c r="D74" s="290" t="s">
        <v>396</v>
      </c>
      <c r="F74" s="293" t="str">
        <f t="shared" si="2"/>
        <v>F</v>
      </c>
      <c r="G74" s="291" t="s">
        <v>401</v>
      </c>
      <c r="H74" s="292" t="s">
        <v>402</v>
      </c>
    </row>
    <row r="75" spans="1:8" ht="14.45" customHeight="1">
      <c r="A75" s="293" t="str">
        <f t="shared" si="3"/>
        <v>F</v>
      </c>
      <c r="B75" s="288" t="s">
        <v>406</v>
      </c>
      <c r="C75" s="289" t="s">
        <v>392</v>
      </c>
      <c r="D75" s="290" t="s">
        <v>393</v>
      </c>
      <c r="F75" s="293" t="str">
        <f t="shared" si="2"/>
        <v>F</v>
      </c>
      <c r="G75" s="291" t="s">
        <v>407</v>
      </c>
      <c r="H75" s="292" t="s">
        <v>408</v>
      </c>
    </row>
    <row r="76" spans="1:8" ht="14.45" customHeight="1">
      <c r="A76" s="293" t="str">
        <f t="shared" si="3"/>
        <v>F</v>
      </c>
      <c r="B76" s="288" t="s">
        <v>409</v>
      </c>
      <c r="C76" s="289" t="s">
        <v>407</v>
      </c>
      <c r="D76" s="290" t="s">
        <v>408</v>
      </c>
      <c r="F76" s="293" t="str">
        <f t="shared" si="2"/>
        <v>G</v>
      </c>
      <c r="G76" s="291" t="s">
        <v>410</v>
      </c>
      <c r="H76" s="292" t="s">
        <v>411</v>
      </c>
    </row>
    <row r="77" spans="1:8" ht="14.45" customHeight="1">
      <c r="A77" s="293" t="str">
        <f t="shared" si="3"/>
        <v>F</v>
      </c>
      <c r="B77" s="288" t="s">
        <v>412</v>
      </c>
      <c r="C77" s="289" t="s">
        <v>413</v>
      </c>
      <c r="D77" s="290" t="s">
        <v>414</v>
      </c>
      <c r="F77" s="293" t="str">
        <f t="shared" si="2"/>
        <v>G</v>
      </c>
      <c r="G77" s="291" t="s">
        <v>415</v>
      </c>
      <c r="H77" s="292" t="s">
        <v>416</v>
      </c>
    </row>
    <row r="78" spans="1:8" ht="14.45" customHeight="1">
      <c r="A78" s="293" t="str">
        <f t="shared" si="3"/>
        <v>F</v>
      </c>
      <c r="B78" s="288" t="s">
        <v>417</v>
      </c>
      <c r="C78" s="289" t="s">
        <v>418</v>
      </c>
      <c r="D78" s="290" t="s">
        <v>419</v>
      </c>
      <c r="F78" s="293" t="str">
        <f t="shared" si="2"/>
        <v>G</v>
      </c>
      <c r="G78" s="291" t="s">
        <v>420</v>
      </c>
      <c r="H78" s="292" t="s">
        <v>421</v>
      </c>
    </row>
    <row r="79" spans="1:8" ht="14.45" customHeight="1">
      <c r="A79" s="293" t="str">
        <f t="shared" si="3"/>
        <v>F</v>
      </c>
      <c r="B79" s="288" t="s">
        <v>422</v>
      </c>
      <c r="C79" s="294" t="s">
        <v>423</v>
      </c>
      <c r="D79" s="290" t="s">
        <v>424</v>
      </c>
      <c r="F79" s="293" t="str">
        <f t="shared" si="2"/>
        <v>G</v>
      </c>
      <c r="G79" s="291" t="s">
        <v>425</v>
      </c>
      <c r="H79" s="292" t="s">
        <v>426</v>
      </c>
    </row>
    <row r="80" spans="1:8" ht="14.45" customHeight="1">
      <c r="A80" s="293" t="str">
        <f t="shared" si="3"/>
        <v>G</v>
      </c>
      <c r="B80" s="288" t="s">
        <v>427</v>
      </c>
      <c r="C80" s="289" t="s">
        <v>410</v>
      </c>
      <c r="D80" s="290" t="s">
        <v>411</v>
      </c>
      <c r="F80" s="293" t="str">
        <f t="shared" si="2"/>
        <v>G</v>
      </c>
      <c r="G80" s="291" t="s">
        <v>413</v>
      </c>
      <c r="H80" s="292" t="s">
        <v>414</v>
      </c>
    </row>
    <row r="81" spans="1:8" ht="15" customHeight="1">
      <c r="A81" s="293" t="str">
        <f t="shared" si="3"/>
        <v>G</v>
      </c>
      <c r="B81" s="288" t="s">
        <v>428</v>
      </c>
      <c r="C81" s="289" t="s">
        <v>429</v>
      </c>
      <c r="D81" s="290" t="s">
        <v>430</v>
      </c>
      <c r="F81" s="293" t="str">
        <f t="shared" si="2"/>
        <v>G</v>
      </c>
      <c r="G81" s="297" t="s">
        <v>431</v>
      </c>
      <c r="H81" s="292" t="s">
        <v>432</v>
      </c>
    </row>
    <row r="82" spans="1:8" ht="14.45" customHeight="1">
      <c r="A82" s="293" t="str">
        <f t="shared" si="3"/>
        <v>G</v>
      </c>
      <c r="B82" s="288" t="s">
        <v>433</v>
      </c>
      <c r="C82" s="289" t="s">
        <v>425</v>
      </c>
      <c r="D82" s="290" t="s">
        <v>426</v>
      </c>
      <c r="F82" s="293" t="str">
        <f t="shared" si="2"/>
        <v>G</v>
      </c>
      <c r="G82" s="291" t="s">
        <v>434</v>
      </c>
      <c r="H82" s="292" t="s">
        <v>435</v>
      </c>
    </row>
    <row r="83" spans="1:8" ht="14.45" customHeight="1">
      <c r="A83" s="293" t="str">
        <f t="shared" si="3"/>
        <v>G</v>
      </c>
      <c r="B83" s="288" t="s">
        <v>436</v>
      </c>
      <c r="C83" s="289" t="s">
        <v>351</v>
      </c>
      <c r="D83" s="290" t="s">
        <v>352</v>
      </c>
      <c r="F83" s="293" t="str">
        <f t="shared" si="2"/>
        <v>G</v>
      </c>
      <c r="G83" s="297" t="s">
        <v>437</v>
      </c>
      <c r="H83" s="292" t="s">
        <v>438</v>
      </c>
    </row>
    <row r="84" spans="1:8" ht="14.45" customHeight="1">
      <c r="A84" s="293" t="str">
        <f t="shared" si="3"/>
        <v>G</v>
      </c>
      <c r="B84" s="288" t="s">
        <v>439</v>
      </c>
      <c r="C84" s="289" t="s">
        <v>434</v>
      </c>
      <c r="D84" s="290" t="s">
        <v>435</v>
      </c>
      <c r="F84" s="293" t="str">
        <f t="shared" si="2"/>
        <v>G</v>
      </c>
      <c r="G84" s="291" t="s">
        <v>440</v>
      </c>
      <c r="H84" s="292" t="s">
        <v>441</v>
      </c>
    </row>
    <row r="85" spans="1:8" ht="14.45" customHeight="1">
      <c r="A85" s="293" t="str">
        <f t="shared" si="3"/>
        <v>G</v>
      </c>
      <c r="B85" s="288" t="s">
        <v>442</v>
      </c>
      <c r="C85" s="294" t="s">
        <v>437</v>
      </c>
      <c r="D85" s="290" t="s">
        <v>438</v>
      </c>
      <c r="F85" s="293" t="str">
        <f t="shared" si="2"/>
        <v>G</v>
      </c>
      <c r="G85" s="291" t="s">
        <v>429</v>
      </c>
      <c r="H85" s="292" t="s">
        <v>430</v>
      </c>
    </row>
    <row r="86" spans="1:8" ht="14.45" customHeight="1">
      <c r="A86" s="293" t="str">
        <f t="shared" si="3"/>
        <v>G</v>
      </c>
      <c r="B86" s="288" t="s">
        <v>443</v>
      </c>
      <c r="C86" s="289" t="s">
        <v>444</v>
      </c>
      <c r="D86" s="290" t="s">
        <v>445</v>
      </c>
      <c r="F86" s="293" t="str">
        <f t="shared" si="2"/>
        <v>G</v>
      </c>
      <c r="G86" s="291" t="s">
        <v>446</v>
      </c>
      <c r="H86" s="292" t="s">
        <v>447</v>
      </c>
    </row>
    <row r="87" spans="1:8" ht="14.45" customHeight="1">
      <c r="A87" s="293" t="str">
        <f t="shared" si="3"/>
        <v>G</v>
      </c>
      <c r="B87" s="288" t="s">
        <v>448</v>
      </c>
      <c r="C87" s="289" t="s">
        <v>440</v>
      </c>
      <c r="D87" s="290" t="s">
        <v>441</v>
      </c>
      <c r="F87" s="293" t="str">
        <f t="shared" si="2"/>
        <v>G</v>
      </c>
      <c r="G87" s="291" t="s">
        <v>449</v>
      </c>
      <c r="H87" s="292" t="s">
        <v>450</v>
      </c>
    </row>
    <row r="88" spans="1:8" ht="14.45" customHeight="1">
      <c r="A88" s="293" t="str">
        <f t="shared" si="3"/>
        <v>G</v>
      </c>
      <c r="B88" s="288" t="s">
        <v>451</v>
      </c>
      <c r="C88" s="289" t="s">
        <v>420</v>
      </c>
      <c r="D88" s="290" t="s">
        <v>421</v>
      </c>
      <c r="F88" s="293" t="str">
        <f t="shared" si="2"/>
        <v>G</v>
      </c>
      <c r="G88" s="291" t="s">
        <v>384</v>
      </c>
      <c r="H88" s="292" t="s">
        <v>385</v>
      </c>
    </row>
    <row r="89" spans="1:8" ht="14.45" customHeight="1">
      <c r="A89" s="293" t="str">
        <f t="shared" si="3"/>
        <v>G</v>
      </c>
      <c r="B89" s="288" t="s">
        <v>452</v>
      </c>
      <c r="C89" s="289" t="s">
        <v>449</v>
      </c>
      <c r="D89" s="290" t="s">
        <v>450</v>
      </c>
      <c r="F89" s="293" t="str">
        <f t="shared" si="2"/>
        <v>G</v>
      </c>
      <c r="G89" s="291" t="s">
        <v>444</v>
      </c>
      <c r="H89" s="292" t="s">
        <v>445</v>
      </c>
    </row>
    <row r="90" spans="1:8" ht="14.45" customHeight="1">
      <c r="A90" s="293" t="str">
        <f t="shared" si="3"/>
        <v>G</v>
      </c>
      <c r="B90" s="288" t="s">
        <v>453</v>
      </c>
      <c r="C90" s="289" t="s">
        <v>454</v>
      </c>
      <c r="D90" s="290" t="s">
        <v>455</v>
      </c>
      <c r="F90" s="293" t="str">
        <f t="shared" si="2"/>
        <v>G</v>
      </c>
      <c r="G90" s="297" t="s">
        <v>456</v>
      </c>
      <c r="H90" s="292" t="s">
        <v>457</v>
      </c>
    </row>
    <row r="91" spans="1:8" ht="14.45" customHeight="1">
      <c r="A91" s="293" t="str">
        <f t="shared" si="3"/>
        <v>G</v>
      </c>
      <c r="B91" s="288" t="s">
        <v>458</v>
      </c>
      <c r="C91" s="289" t="s">
        <v>459</v>
      </c>
      <c r="D91" s="290" t="s">
        <v>130</v>
      </c>
      <c r="F91" s="293" t="str">
        <f t="shared" si="2"/>
        <v>G</v>
      </c>
      <c r="G91" s="291" t="s">
        <v>459</v>
      </c>
      <c r="H91" s="292" t="s">
        <v>130</v>
      </c>
    </row>
    <row r="92" spans="1:8" ht="14.45" customHeight="1">
      <c r="A92" s="293" t="str">
        <f t="shared" si="3"/>
        <v>G</v>
      </c>
      <c r="B92" s="288" t="s">
        <v>460</v>
      </c>
      <c r="C92" s="294" t="s">
        <v>431</v>
      </c>
      <c r="D92" s="290" t="s">
        <v>432</v>
      </c>
      <c r="F92" s="293" t="str">
        <f t="shared" si="2"/>
        <v>G</v>
      </c>
      <c r="G92" s="291" t="s">
        <v>454</v>
      </c>
      <c r="H92" s="292" t="s">
        <v>455</v>
      </c>
    </row>
    <row r="93" spans="1:8" ht="14.45" customHeight="1">
      <c r="A93" s="293" t="str">
        <f t="shared" si="3"/>
        <v>G</v>
      </c>
      <c r="B93" s="288" t="s">
        <v>461</v>
      </c>
      <c r="C93" s="289" t="s">
        <v>446</v>
      </c>
      <c r="D93" s="290" t="s">
        <v>447</v>
      </c>
      <c r="F93" s="293" t="str">
        <f t="shared" si="2"/>
        <v>G</v>
      </c>
      <c r="G93" s="291" t="s">
        <v>462</v>
      </c>
      <c r="H93" s="292" t="s">
        <v>463</v>
      </c>
    </row>
    <row r="94" spans="1:8" ht="14.45" customHeight="1">
      <c r="A94" s="293" t="str">
        <f t="shared" si="3"/>
        <v>G</v>
      </c>
      <c r="B94" s="288" t="s">
        <v>464</v>
      </c>
      <c r="C94" s="289" t="s">
        <v>462</v>
      </c>
      <c r="D94" s="290" t="s">
        <v>463</v>
      </c>
      <c r="F94" s="293" t="str">
        <f t="shared" si="2"/>
        <v>G</v>
      </c>
      <c r="G94" s="291" t="s">
        <v>465</v>
      </c>
      <c r="H94" s="292" t="s">
        <v>466</v>
      </c>
    </row>
    <row r="95" spans="1:8" ht="14.45" customHeight="1">
      <c r="A95" s="293" t="str">
        <f t="shared" si="3"/>
        <v>G</v>
      </c>
      <c r="B95" s="288" t="s">
        <v>467</v>
      </c>
      <c r="C95" s="289" t="s">
        <v>465</v>
      </c>
      <c r="D95" s="290" t="s">
        <v>466</v>
      </c>
      <c r="F95" s="293" t="str">
        <f t="shared" si="2"/>
        <v>H</v>
      </c>
      <c r="G95" s="291" t="s">
        <v>468</v>
      </c>
      <c r="H95" s="292" t="s">
        <v>469</v>
      </c>
    </row>
    <row r="96" spans="1:8" ht="14.45" customHeight="1">
      <c r="A96" s="293" t="str">
        <f t="shared" si="3"/>
        <v>H</v>
      </c>
      <c r="B96" s="288" t="s">
        <v>470</v>
      </c>
      <c r="C96" s="289" t="s">
        <v>471</v>
      </c>
      <c r="D96" s="290" t="s">
        <v>472</v>
      </c>
      <c r="F96" s="293" t="str">
        <f t="shared" si="2"/>
        <v>H</v>
      </c>
      <c r="G96" s="297" t="s">
        <v>473</v>
      </c>
      <c r="H96" s="292" t="s">
        <v>474</v>
      </c>
    </row>
    <row r="97" spans="1:8" ht="15" customHeight="1">
      <c r="A97" s="293" t="str">
        <f t="shared" si="3"/>
        <v>H</v>
      </c>
      <c r="B97" s="288" t="s">
        <v>475</v>
      </c>
      <c r="C97" s="294" t="s">
        <v>473</v>
      </c>
      <c r="D97" s="290" t="s">
        <v>474</v>
      </c>
      <c r="F97" s="293" t="str">
        <f t="shared" si="2"/>
        <v>H</v>
      </c>
      <c r="G97" s="291" t="s">
        <v>476</v>
      </c>
      <c r="H97" s="292" t="s">
        <v>477</v>
      </c>
    </row>
    <row r="98" spans="1:8" ht="14.45" customHeight="1">
      <c r="A98" s="293" t="str">
        <f t="shared" si="3"/>
        <v>H</v>
      </c>
      <c r="B98" s="288" t="s">
        <v>478</v>
      </c>
      <c r="C98" s="289" t="s">
        <v>479</v>
      </c>
      <c r="D98" s="290" t="s">
        <v>480</v>
      </c>
      <c r="F98" s="293" t="str">
        <f t="shared" si="2"/>
        <v>H</v>
      </c>
      <c r="G98" s="291" t="s">
        <v>349</v>
      </c>
      <c r="H98" s="292" t="s">
        <v>350</v>
      </c>
    </row>
    <row r="99" spans="1:8" ht="14.45" customHeight="1">
      <c r="A99" s="293" t="str">
        <f t="shared" si="3"/>
        <v>H</v>
      </c>
      <c r="B99" s="288" t="s">
        <v>481</v>
      </c>
      <c r="C99" s="289" t="s">
        <v>476</v>
      </c>
      <c r="D99" s="290" t="s">
        <v>477</v>
      </c>
      <c r="F99" s="293" t="str">
        <f t="shared" si="2"/>
        <v>H</v>
      </c>
      <c r="G99" s="291" t="s">
        <v>471</v>
      </c>
      <c r="H99" s="292" t="s">
        <v>472</v>
      </c>
    </row>
    <row r="100" spans="1:8" ht="14.45" customHeight="1">
      <c r="A100" s="293" t="str">
        <f t="shared" si="3"/>
        <v>H</v>
      </c>
      <c r="B100" s="288" t="s">
        <v>482</v>
      </c>
      <c r="C100" s="289" t="s">
        <v>468</v>
      </c>
      <c r="D100" s="290" t="s">
        <v>469</v>
      </c>
      <c r="F100" s="293" t="str">
        <f t="shared" si="2"/>
        <v>H</v>
      </c>
      <c r="G100" s="291" t="s">
        <v>483</v>
      </c>
      <c r="H100" s="292" t="s">
        <v>484</v>
      </c>
    </row>
    <row r="101" spans="1:8" ht="14.45" customHeight="1">
      <c r="A101" s="293" t="str">
        <f t="shared" si="3"/>
        <v>H</v>
      </c>
      <c r="B101" s="288" t="s">
        <v>485</v>
      </c>
      <c r="C101" s="289" t="s">
        <v>483</v>
      </c>
      <c r="D101" s="290" t="s">
        <v>484</v>
      </c>
      <c r="F101" s="293" t="str">
        <f t="shared" si="2"/>
        <v>I</v>
      </c>
      <c r="G101" s="291" t="s">
        <v>486</v>
      </c>
      <c r="H101" s="292" t="s">
        <v>487</v>
      </c>
    </row>
    <row r="102" spans="1:8" ht="15" customHeight="1">
      <c r="A102" s="293" t="str">
        <f t="shared" si="3"/>
        <v>I</v>
      </c>
      <c r="B102" s="288" t="s">
        <v>488</v>
      </c>
      <c r="C102" s="289" t="s">
        <v>489</v>
      </c>
      <c r="D102" s="290" t="s">
        <v>490</v>
      </c>
      <c r="F102" s="293" t="str">
        <f t="shared" si="2"/>
        <v>I</v>
      </c>
      <c r="G102" s="291" t="s">
        <v>491</v>
      </c>
      <c r="H102" s="292" t="s">
        <v>492</v>
      </c>
    </row>
    <row r="103" spans="1:8" ht="14.45" customHeight="1">
      <c r="A103" s="293" t="str">
        <f t="shared" si="3"/>
        <v>I</v>
      </c>
      <c r="B103" s="288" t="s">
        <v>493</v>
      </c>
      <c r="C103" s="289" t="s">
        <v>494</v>
      </c>
      <c r="D103" s="290" t="s">
        <v>495</v>
      </c>
      <c r="F103" s="293" t="str">
        <f t="shared" si="2"/>
        <v>I</v>
      </c>
      <c r="G103" s="291" t="s">
        <v>496</v>
      </c>
      <c r="H103" s="292" t="s">
        <v>497</v>
      </c>
    </row>
    <row r="104" spans="1:8" ht="14.45" customHeight="1">
      <c r="A104" s="293" t="str">
        <f t="shared" si="3"/>
        <v>I</v>
      </c>
      <c r="B104" s="288" t="s">
        <v>498</v>
      </c>
      <c r="C104" s="289" t="s">
        <v>486</v>
      </c>
      <c r="D104" s="290" t="s">
        <v>487</v>
      </c>
      <c r="F104" s="293" t="str">
        <f t="shared" si="2"/>
        <v>I</v>
      </c>
      <c r="G104" s="297" t="s">
        <v>499</v>
      </c>
      <c r="H104" s="292" t="s">
        <v>500</v>
      </c>
    </row>
    <row r="105" spans="1:8" ht="14.45" customHeight="1">
      <c r="A105" s="293" t="str">
        <f t="shared" si="3"/>
        <v>I</v>
      </c>
      <c r="B105" s="288" t="s">
        <v>501</v>
      </c>
      <c r="C105" s="289" t="s">
        <v>502</v>
      </c>
      <c r="D105" s="290" t="s">
        <v>503</v>
      </c>
      <c r="F105" s="293" t="str">
        <f t="shared" si="2"/>
        <v>I</v>
      </c>
      <c r="G105" s="291" t="s">
        <v>494</v>
      </c>
      <c r="H105" s="292" t="s">
        <v>495</v>
      </c>
    </row>
    <row r="106" spans="1:8" ht="14.45" customHeight="1">
      <c r="A106" s="293" t="str">
        <f t="shared" si="3"/>
        <v>I</v>
      </c>
      <c r="B106" s="288" t="s">
        <v>504</v>
      </c>
      <c r="C106" s="289" t="s">
        <v>505</v>
      </c>
      <c r="D106" s="290" t="s">
        <v>506</v>
      </c>
      <c r="F106" s="293" t="str">
        <f t="shared" si="2"/>
        <v>I</v>
      </c>
      <c r="G106" s="297" t="s">
        <v>278</v>
      </c>
      <c r="H106" s="292" t="s">
        <v>279</v>
      </c>
    </row>
    <row r="107" spans="1:8" ht="14.45" customHeight="1">
      <c r="A107" s="293" t="str">
        <f t="shared" si="3"/>
        <v>I</v>
      </c>
      <c r="B107" s="288" t="s">
        <v>507</v>
      </c>
      <c r="C107" s="289" t="s">
        <v>491</v>
      </c>
      <c r="D107" s="290" t="s">
        <v>492</v>
      </c>
      <c r="F107" s="293" t="str">
        <f t="shared" si="2"/>
        <v>I</v>
      </c>
      <c r="G107" s="291" t="s">
        <v>505</v>
      </c>
      <c r="H107" s="292" t="s">
        <v>506</v>
      </c>
    </row>
    <row r="108" spans="1:8" ht="14.45" customHeight="1">
      <c r="A108" s="293" t="str">
        <f t="shared" si="3"/>
        <v>I</v>
      </c>
      <c r="B108" s="288" t="s">
        <v>508</v>
      </c>
      <c r="C108" s="294" t="s">
        <v>499</v>
      </c>
      <c r="D108" s="290" t="s">
        <v>500</v>
      </c>
      <c r="F108" s="293" t="str">
        <f t="shared" si="2"/>
        <v>I</v>
      </c>
      <c r="G108" s="291" t="s">
        <v>502</v>
      </c>
      <c r="H108" s="292" t="s">
        <v>503</v>
      </c>
    </row>
    <row r="109" spans="1:8" ht="14.45" customHeight="1">
      <c r="A109" s="293" t="str">
        <f t="shared" si="3"/>
        <v>I</v>
      </c>
      <c r="B109" s="288" t="s">
        <v>509</v>
      </c>
      <c r="C109" s="289" t="s">
        <v>496</v>
      </c>
      <c r="D109" s="290" t="s">
        <v>497</v>
      </c>
      <c r="F109" s="293" t="str">
        <f t="shared" si="2"/>
        <v>I</v>
      </c>
      <c r="G109" s="291" t="s">
        <v>489</v>
      </c>
      <c r="H109" s="292" t="s">
        <v>490</v>
      </c>
    </row>
    <row r="110" spans="1:8" ht="14.45" customHeight="1">
      <c r="A110" s="293" t="str">
        <f t="shared" si="3"/>
        <v>I</v>
      </c>
      <c r="B110" s="288" t="s">
        <v>510</v>
      </c>
      <c r="C110" s="289" t="s">
        <v>511</v>
      </c>
      <c r="D110" s="290" t="s">
        <v>512</v>
      </c>
      <c r="F110" s="293" t="str">
        <f t="shared" si="2"/>
        <v>I</v>
      </c>
      <c r="G110" s="291" t="s">
        <v>511</v>
      </c>
      <c r="H110" s="292" t="s">
        <v>512</v>
      </c>
    </row>
    <row r="111" spans="1:8" ht="15" customHeight="1">
      <c r="A111" s="293" t="str">
        <f t="shared" si="3"/>
        <v>J</v>
      </c>
      <c r="B111" s="288" t="s">
        <v>513</v>
      </c>
      <c r="C111" s="289" t="s">
        <v>514</v>
      </c>
      <c r="D111" s="290" t="s">
        <v>515</v>
      </c>
      <c r="F111" s="293" t="str">
        <f t="shared" si="2"/>
        <v>J</v>
      </c>
      <c r="G111" s="297" t="s">
        <v>516</v>
      </c>
      <c r="H111" s="292" t="s">
        <v>517</v>
      </c>
    </row>
    <row r="112" spans="1:8" ht="14.45" customHeight="1">
      <c r="A112" s="293" t="str">
        <f t="shared" si="3"/>
        <v>J</v>
      </c>
      <c r="B112" s="288" t="s">
        <v>518</v>
      </c>
      <c r="C112" s="289" t="s">
        <v>519</v>
      </c>
      <c r="D112" s="290" t="s">
        <v>520</v>
      </c>
      <c r="F112" s="293" t="str">
        <f t="shared" si="2"/>
        <v>J</v>
      </c>
      <c r="G112" s="291" t="s">
        <v>514</v>
      </c>
      <c r="H112" s="292" t="s">
        <v>515</v>
      </c>
    </row>
    <row r="113" spans="1:8" ht="14.45" customHeight="1">
      <c r="A113" s="293" t="str">
        <f t="shared" si="3"/>
        <v>J</v>
      </c>
      <c r="B113" s="288" t="s">
        <v>521</v>
      </c>
      <c r="C113" s="294" t="s">
        <v>516</v>
      </c>
      <c r="D113" s="290" t="s">
        <v>517</v>
      </c>
      <c r="F113" s="293" t="str">
        <f t="shared" si="2"/>
        <v>J</v>
      </c>
      <c r="G113" s="291" t="s">
        <v>522</v>
      </c>
      <c r="H113" s="292" t="s">
        <v>523</v>
      </c>
    </row>
    <row r="114" spans="1:8" ht="14.45" customHeight="1">
      <c r="A114" s="293" t="str">
        <f t="shared" si="3"/>
        <v>J</v>
      </c>
      <c r="B114" s="288" t="s">
        <v>524</v>
      </c>
      <c r="C114" s="289" t="s">
        <v>522</v>
      </c>
      <c r="D114" s="290" t="s">
        <v>523</v>
      </c>
      <c r="F114" s="293" t="str">
        <f t="shared" si="2"/>
        <v>J</v>
      </c>
      <c r="G114" s="291" t="s">
        <v>519</v>
      </c>
      <c r="H114" s="292" t="s">
        <v>520</v>
      </c>
    </row>
    <row r="115" spans="1:8" ht="15" customHeight="1">
      <c r="A115" s="293" t="str">
        <f t="shared" si="3"/>
        <v>K</v>
      </c>
      <c r="B115" s="288" t="s">
        <v>525</v>
      </c>
      <c r="C115" s="289" t="s">
        <v>526</v>
      </c>
      <c r="D115" s="290" t="s">
        <v>527</v>
      </c>
      <c r="F115" s="293" t="str">
        <f t="shared" si="2"/>
        <v>K</v>
      </c>
      <c r="G115" s="291" t="s">
        <v>528</v>
      </c>
      <c r="H115" s="292" t="s">
        <v>529</v>
      </c>
    </row>
    <row r="116" spans="1:8" ht="14.45" customHeight="1">
      <c r="A116" s="293" t="str">
        <f t="shared" si="3"/>
        <v>K</v>
      </c>
      <c r="B116" s="288" t="s">
        <v>530</v>
      </c>
      <c r="C116" s="289" t="s">
        <v>528</v>
      </c>
      <c r="D116" s="290" t="s">
        <v>529</v>
      </c>
      <c r="F116" s="293" t="str">
        <f t="shared" si="2"/>
        <v>K</v>
      </c>
      <c r="G116" s="291" t="s">
        <v>531</v>
      </c>
      <c r="H116" s="292" t="s">
        <v>532</v>
      </c>
    </row>
    <row r="117" spans="1:8" ht="14.45" customHeight="1">
      <c r="A117" s="293" t="str">
        <f t="shared" si="3"/>
        <v>K</v>
      </c>
      <c r="B117" s="288" t="s">
        <v>533</v>
      </c>
      <c r="C117" s="289" t="s">
        <v>534</v>
      </c>
      <c r="D117" s="290" t="s">
        <v>535</v>
      </c>
      <c r="F117" s="293" t="str">
        <f t="shared" si="2"/>
        <v>K</v>
      </c>
      <c r="G117" s="291" t="s">
        <v>288</v>
      </c>
      <c r="H117" s="292" t="s">
        <v>289</v>
      </c>
    </row>
    <row r="118" spans="1:8" ht="14.45" customHeight="1">
      <c r="A118" s="293" t="str">
        <f t="shared" si="3"/>
        <v>K</v>
      </c>
      <c r="B118" s="288" t="s">
        <v>536</v>
      </c>
      <c r="C118" s="289" t="s">
        <v>537</v>
      </c>
      <c r="D118" s="290" t="s">
        <v>538</v>
      </c>
      <c r="F118" s="293" t="str">
        <f t="shared" si="2"/>
        <v>K</v>
      </c>
      <c r="G118" s="291" t="s">
        <v>534</v>
      </c>
      <c r="H118" s="292" t="s">
        <v>535</v>
      </c>
    </row>
    <row r="119" spans="1:8" ht="14.45" customHeight="1">
      <c r="A119" s="293" t="str">
        <f t="shared" si="3"/>
        <v>K</v>
      </c>
      <c r="B119" s="288" t="s">
        <v>539</v>
      </c>
      <c r="C119" s="289" t="s">
        <v>540</v>
      </c>
      <c r="D119" s="290" t="s">
        <v>541</v>
      </c>
      <c r="F119" s="293" t="str">
        <f t="shared" si="2"/>
        <v>K</v>
      </c>
      <c r="G119" s="291" t="s">
        <v>333</v>
      </c>
      <c r="H119" s="292" t="s">
        <v>334</v>
      </c>
    </row>
    <row r="120" spans="1:8" ht="14.45" customHeight="1">
      <c r="A120" s="293" t="str">
        <f t="shared" si="3"/>
        <v>K</v>
      </c>
      <c r="B120" s="288" t="s">
        <v>542</v>
      </c>
      <c r="C120" s="289" t="s">
        <v>543</v>
      </c>
      <c r="D120" s="290" t="s">
        <v>544</v>
      </c>
      <c r="F120" s="293" t="str">
        <f t="shared" si="2"/>
        <v>K</v>
      </c>
      <c r="G120" s="291" t="s">
        <v>545</v>
      </c>
      <c r="H120" s="292" t="s">
        <v>546</v>
      </c>
    </row>
    <row r="121" spans="1:8" ht="14.45" customHeight="1">
      <c r="A121" s="293" t="str">
        <f t="shared" si="3"/>
        <v>K</v>
      </c>
      <c r="B121" s="288" t="s">
        <v>547</v>
      </c>
      <c r="C121" s="289" t="s">
        <v>548</v>
      </c>
      <c r="D121" s="290" t="s">
        <v>549</v>
      </c>
      <c r="F121" s="293" t="str">
        <f t="shared" si="2"/>
        <v>K</v>
      </c>
      <c r="G121" s="291" t="s">
        <v>537</v>
      </c>
      <c r="H121" s="292" t="s">
        <v>538</v>
      </c>
    </row>
    <row r="122" spans="1:8" ht="15" customHeight="1">
      <c r="A122" s="293" t="str">
        <f t="shared" si="3"/>
        <v>K</v>
      </c>
      <c r="B122" s="288" t="s">
        <v>550</v>
      </c>
      <c r="C122" s="289" t="s">
        <v>531</v>
      </c>
      <c r="D122" s="290" t="s">
        <v>532</v>
      </c>
      <c r="F122" s="293" t="str">
        <f t="shared" si="2"/>
        <v>K</v>
      </c>
      <c r="G122" s="291" t="s">
        <v>540</v>
      </c>
      <c r="H122" s="292" t="s">
        <v>541</v>
      </c>
    </row>
    <row r="123" spans="1:8" ht="14.45" customHeight="1">
      <c r="A123" s="293" t="str">
        <f t="shared" si="3"/>
        <v>L</v>
      </c>
      <c r="B123" s="288" t="s">
        <v>551</v>
      </c>
      <c r="C123" s="289" t="s">
        <v>552</v>
      </c>
      <c r="D123" s="290" t="s">
        <v>553</v>
      </c>
      <c r="F123" s="293" t="str">
        <f t="shared" si="2"/>
        <v>K</v>
      </c>
      <c r="G123" s="291" t="s">
        <v>548</v>
      </c>
      <c r="H123" s="292" t="s">
        <v>549</v>
      </c>
    </row>
    <row r="124" spans="1:8" ht="14.45" customHeight="1">
      <c r="A124" s="293" t="str">
        <f t="shared" si="3"/>
        <v>L</v>
      </c>
      <c r="B124" s="288" t="s">
        <v>554</v>
      </c>
      <c r="C124" s="289" t="s">
        <v>555</v>
      </c>
      <c r="D124" s="290" t="s">
        <v>556</v>
      </c>
      <c r="F124" s="293" t="str">
        <f t="shared" si="2"/>
        <v>K</v>
      </c>
      <c r="G124" s="297" t="s">
        <v>306</v>
      </c>
      <c r="H124" s="292" t="s">
        <v>307</v>
      </c>
    </row>
    <row r="125" spans="1:8" ht="14.45" customHeight="1">
      <c r="A125" s="293" t="str">
        <f t="shared" si="3"/>
        <v>L</v>
      </c>
      <c r="B125" s="288" t="s">
        <v>557</v>
      </c>
      <c r="C125" s="289" t="s">
        <v>558</v>
      </c>
      <c r="D125" s="290" t="s">
        <v>559</v>
      </c>
      <c r="F125" s="293" t="str">
        <f t="shared" si="2"/>
        <v>K</v>
      </c>
      <c r="G125" s="291" t="s">
        <v>526</v>
      </c>
      <c r="H125" s="292" t="s">
        <v>527</v>
      </c>
    </row>
    <row r="126" spans="1:8" ht="14.45" customHeight="1">
      <c r="A126" s="293" t="str">
        <f t="shared" si="3"/>
        <v>L</v>
      </c>
      <c r="B126" s="288" t="s">
        <v>560</v>
      </c>
      <c r="C126" s="289" t="s">
        <v>561</v>
      </c>
      <c r="D126" s="290" t="s">
        <v>562</v>
      </c>
      <c r="F126" s="293" t="str">
        <f t="shared" si="2"/>
        <v>L</v>
      </c>
      <c r="G126" s="291" t="s">
        <v>552</v>
      </c>
      <c r="H126" s="292" t="s">
        <v>553</v>
      </c>
    </row>
    <row r="127" spans="1:8" ht="14.45" customHeight="1">
      <c r="A127" s="293" t="str">
        <f t="shared" si="3"/>
        <v>L</v>
      </c>
      <c r="B127" s="288" t="s">
        <v>563</v>
      </c>
      <c r="C127" s="289" t="s">
        <v>564</v>
      </c>
      <c r="D127" s="290" t="s">
        <v>565</v>
      </c>
      <c r="F127" s="293" t="str">
        <f t="shared" si="2"/>
        <v>L</v>
      </c>
      <c r="G127" s="291" t="s">
        <v>558</v>
      </c>
      <c r="H127" s="292" t="s">
        <v>559</v>
      </c>
    </row>
    <row r="128" spans="1:8" ht="14.45" customHeight="1">
      <c r="A128" s="293" t="str">
        <f t="shared" si="3"/>
        <v>L</v>
      </c>
      <c r="B128" s="288" t="s">
        <v>566</v>
      </c>
      <c r="C128" s="289" t="s">
        <v>567</v>
      </c>
      <c r="D128" s="290" t="s">
        <v>568</v>
      </c>
      <c r="F128" s="293" t="str">
        <f t="shared" si="2"/>
        <v>L</v>
      </c>
      <c r="G128" s="291" t="s">
        <v>569</v>
      </c>
      <c r="H128" s="292" t="s">
        <v>570</v>
      </c>
    </row>
    <row r="129" spans="1:8" ht="14.45" customHeight="1">
      <c r="A129" s="293" t="str">
        <f t="shared" si="3"/>
        <v>L</v>
      </c>
      <c r="B129" s="288" t="s">
        <v>571</v>
      </c>
      <c r="C129" s="289" t="s">
        <v>572</v>
      </c>
      <c r="D129" s="290" t="s">
        <v>573</v>
      </c>
      <c r="F129" s="293" t="str">
        <f t="shared" si="2"/>
        <v>L</v>
      </c>
      <c r="G129" s="291" t="s">
        <v>572</v>
      </c>
      <c r="H129" s="292" t="s">
        <v>573</v>
      </c>
    </row>
    <row r="130" spans="1:8" ht="14.45" customHeight="1">
      <c r="A130" s="293" t="str">
        <f t="shared" si="3"/>
        <v>L</v>
      </c>
      <c r="B130" s="288" t="s">
        <v>574</v>
      </c>
      <c r="C130" s="289" t="s">
        <v>575</v>
      </c>
      <c r="D130" s="290" t="s">
        <v>576</v>
      </c>
      <c r="F130" s="293" t="str">
        <f t="shared" ref="F130:F193" si="4">MID(H130,1,1)</f>
        <v>L</v>
      </c>
      <c r="G130" s="291" t="s">
        <v>577</v>
      </c>
      <c r="H130" s="292" t="s">
        <v>578</v>
      </c>
    </row>
    <row r="131" spans="1:8" ht="15" customHeight="1">
      <c r="A131" s="293" t="str">
        <f t="shared" si="3"/>
        <v>L</v>
      </c>
      <c r="B131" s="288" t="s">
        <v>579</v>
      </c>
      <c r="C131" s="289" t="s">
        <v>580</v>
      </c>
      <c r="D131" s="290" t="s">
        <v>581</v>
      </c>
      <c r="F131" s="293" t="str">
        <f t="shared" si="4"/>
        <v>L</v>
      </c>
      <c r="G131" s="291" t="s">
        <v>564</v>
      </c>
      <c r="H131" s="292" t="s">
        <v>565</v>
      </c>
    </row>
    <row r="132" spans="1:8" ht="14.45" customHeight="1">
      <c r="A132" s="293" t="str">
        <f t="shared" ref="A132:A195" si="5">MID(B132,1,1)</f>
        <v>M</v>
      </c>
      <c r="B132" s="288" t="s">
        <v>582</v>
      </c>
      <c r="C132" s="289" t="s">
        <v>583</v>
      </c>
      <c r="D132" s="290" t="s">
        <v>584</v>
      </c>
      <c r="F132" s="293" t="str">
        <f t="shared" si="4"/>
        <v>L</v>
      </c>
      <c r="G132" s="291" t="s">
        <v>561</v>
      </c>
      <c r="H132" s="292" t="s">
        <v>562</v>
      </c>
    </row>
    <row r="133" spans="1:8" ht="14.45" customHeight="1">
      <c r="A133" s="293" t="str">
        <f t="shared" si="5"/>
        <v>M</v>
      </c>
      <c r="B133" s="288" t="s">
        <v>585</v>
      </c>
      <c r="C133" s="289" t="s">
        <v>586</v>
      </c>
      <c r="D133" s="290" t="s">
        <v>587</v>
      </c>
      <c r="F133" s="293" t="str">
        <f t="shared" si="4"/>
        <v>L</v>
      </c>
      <c r="G133" s="291" t="s">
        <v>575</v>
      </c>
      <c r="H133" s="292" t="s">
        <v>576</v>
      </c>
    </row>
    <row r="134" spans="1:8" ht="14.45" customHeight="1">
      <c r="A134" s="293" t="str">
        <f t="shared" si="5"/>
        <v>M</v>
      </c>
      <c r="B134" s="288" t="s">
        <v>588</v>
      </c>
      <c r="C134" s="289" t="s">
        <v>589</v>
      </c>
      <c r="D134" s="290" t="s">
        <v>590</v>
      </c>
      <c r="F134" s="293" t="str">
        <f t="shared" si="4"/>
        <v>L</v>
      </c>
      <c r="G134" s="291" t="s">
        <v>580</v>
      </c>
      <c r="H134" s="292" t="s">
        <v>581</v>
      </c>
    </row>
    <row r="135" spans="1:8" ht="14.45" customHeight="1">
      <c r="A135" s="293" t="str">
        <f t="shared" si="5"/>
        <v>M</v>
      </c>
      <c r="B135" s="288" t="s">
        <v>591</v>
      </c>
      <c r="C135" s="289" t="s">
        <v>592</v>
      </c>
      <c r="D135" s="290" t="s">
        <v>593</v>
      </c>
      <c r="F135" s="293" t="str">
        <f t="shared" si="4"/>
        <v>L</v>
      </c>
      <c r="G135" s="291" t="s">
        <v>555</v>
      </c>
      <c r="H135" s="292" t="s">
        <v>556</v>
      </c>
    </row>
    <row r="136" spans="1:8" ht="14.45" customHeight="1">
      <c r="A136" s="293" t="str">
        <f t="shared" si="5"/>
        <v>M</v>
      </c>
      <c r="B136" s="288" t="s">
        <v>594</v>
      </c>
      <c r="C136" s="289" t="s">
        <v>595</v>
      </c>
      <c r="D136" s="290" t="s">
        <v>596</v>
      </c>
      <c r="F136" s="293" t="str">
        <f t="shared" si="4"/>
        <v>L</v>
      </c>
      <c r="G136" s="291" t="s">
        <v>567</v>
      </c>
      <c r="H136" s="292" t="s">
        <v>568</v>
      </c>
    </row>
    <row r="137" spans="1:8" ht="14.45" customHeight="1">
      <c r="A137" s="293" t="str">
        <f t="shared" si="5"/>
        <v>M</v>
      </c>
      <c r="B137" s="288" t="s">
        <v>597</v>
      </c>
      <c r="C137" s="289" t="s">
        <v>598</v>
      </c>
      <c r="D137" s="290" t="s">
        <v>599</v>
      </c>
      <c r="F137" s="293" t="str">
        <f t="shared" si="4"/>
        <v>M</v>
      </c>
      <c r="G137" s="291" t="s">
        <v>600</v>
      </c>
      <c r="H137" s="292" t="s">
        <v>601</v>
      </c>
    </row>
    <row r="138" spans="1:8" ht="14.45" customHeight="1">
      <c r="A138" s="293" t="str">
        <f t="shared" si="5"/>
        <v>M</v>
      </c>
      <c r="B138" s="288" t="s">
        <v>602</v>
      </c>
      <c r="C138" s="289" t="s">
        <v>603</v>
      </c>
      <c r="D138" s="290" t="s">
        <v>604</v>
      </c>
      <c r="F138" s="293" t="str">
        <f t="shared" si="4"/>
        <v>M</v>
      </c>
      <c r="G138" s="291" t="s">
        <v>605</v>
      </c>
      <c r="H138" s="292" t="s">
        <v>606</v>
      </c>
    </row>
    <row r="139" spans="1:8" ht="14.45" customHeight="1">
      <c r="A139" s="293" t="str">
        <f t="shared" si="5"/>
        <v>M</v>
      </c>
      <c r="B139" s="288" t="s">
        <v>607</v>
      </c>
      <c r="C139" s="289" t="s">
        <v>608</v>
      </c>
      <c r="D139" s="290" t="s">
        <v>609</v>
      </c>
      <c r="F139" s="293" t="str">
        <f t="shared" si="4"/>
        <v>M</v>
      </c>
      <c r="G139" s="291" t="s">
        <v>610</v>
      </c>
      <c r="H139" s="292" t="s">
        <v>611</v>
      </c>
    </row>
    <row r="140" spans="1:8" ht="14.45" customHeight="1">
      <c r="A140" s="293" t="str">
        <f t="shared" si="5"/>
        <v>M</v>
      </c>
      <c r="B140" s="288" t="s">
        <v>612</v>
      </c>
      <c r="C140" s="289" t="s">
        <v>613</v>
      </c>
      <c r="D140" s="290" t="s">
        <v>614</v>
      </c>
      <c r="F140" s="293" t="str">
        <f t="shared" si="4"/>
        <v>M</v>
      </c>
      <c r="G140" s="291" t="s">
        <v>615</v>
      </c>
      <c r="H140" s="292" t="s">
        <v>616</v>
      </c>
    </row>
    <row r="141" spans="1:8" ht="14.45" customHeight="1">
      <c r="A141" s="293" t="str">
        <f t="shared" si="5"/>
        <v>M</v>
      </c>
      <c r="B141" s="288" t="s">
        <v>617</v>
      </c>
      <c r="C141" s="289" t="s">
        <v>618</v>
      </c>
      <c r="D141" s="290" t="s">
        <v>619</v>
      </c>
      <c r="F141" s="293" t="str">
        <f t="shared" si="4"/>
        <v>M</v>
      </c>
      <c r="G141" s="297" t="s">
        <v>620</v>
      </c>
      <c r="H141" s="292" t="s">
        <v>621</v>
      </c>
    </row>
    <row r="142" spans="1:8" ht="14.45" customHeight="1">
      <c r="A142" s="293" t="str">
        <f t="shared" si="5"/>
        <v>M</v>
      </c>
      <c r="B142" s="288" t="s">
        <v>622</v>
      </c>
      <c r="C142" s="289" t="s">
        <v>623</v>
      </c>
      <c r="D142" s="290" t="s">
        <v>624</v>
      </c>
      <c r="F142" s="293" t="str">
        <f t="shared" si="4"/>
        <v>M</v>
      </c>
      <c r="G142" s="291" t="s">
        <v>589</v>
      </c>
      <c r="H142" s="292" t="s">
        <v>590</v>
      </c>
    </row>
    <row r="143" spans="1:8" ht="14.45" customHeight="1">
      <c r="A143" s="293" t="str">
        <f t="shared" si="5"/>
        <v>M</v>
      </c>
      <c r="B143" s="288" t="s">
        <v>625</v>
      </c>
      <c r="C143" s="289" t="s">
        <v>626</v>
      </c>
      <c r="D143" s="290" t="s">
        <v>627</v>
      </c>
      <c r="F143" s="293" t="str">
        <f t="shared" si="4"/>
        <v>M</v>
      </c>
      <c r="G143" s="291" t="s">
        <v>613</v>
      </c>
      <c r="H143" s="292" t="s">
        <v>614</v>
      </c>
    </row>
    <row r="144" spans="1:8" ht="14.45" customHeight="1">
      <c r="A144" s="293" t="str">
        <f t="shared" si="5"/>
        <v>M</v>
      </c>
      <c r="B144" s="288" t="s">
        <v>628</v>
      </c>
      <c r="C144" s="294" t="s">
        <v>629</v>
      </c>
      <c r="D144" s="290" t="s">
        <v>630</v>
      </c>
      <c r="F144" s="293" t="str">
        <f t="shared" si="4"/>
        <v>M</v>
      </c>
      <c r="G144" s="291" t="s">
        <v>586</v>
      </c>
      <c r="H144" s="292" t="s">
        <v>587</v>
      </c>
    </row>
    <row r="145" spans="1:8" ht="14.45" customHeight="1">
      <c r="A145" s="293" t="str">
        <f t="shared" si="5"/>
        <v>M</v>
      </c>
      <c r="B145" s="288" t="s">
        <v>631</v>
      </c>
      <c r="C145" s="289" t="s">
        <v>632</v>
      </c>
      <c r="D145" s="290" t="s">
        <v>633</v>
      </c>
      <c r="F145" s="293" t="str">
        <f t="shared" si="4"/>
        <v>M</v>
      </c>
      <c r="G145" s="291" t="s">
        <v>603</v>
      </c>
      <c r="H145" s="292" t="s">
        <v>604</v>
      </c>
    </row>
    <row r="146" spans="1:8" ht="14.45" customHeight="1">
      <c r="A146" s="293" t="str">
        <f t="shared" si="5"/>
        <v>M</v>
      </c>
      <c r="B146" s="288" t="s">
        <v>634</v>
      </c>
      <c r="C146" s="289" t="s">
        <v>403</v>
      </c>
      <c r="D146" s="290" t="s">
        <v>404</v>
      </c>
      <c r="F146" s="293" t="str">
        <f t="shared" si="4"/>
        <v>M</v>
      </c>
      <c r="G146" s="291" t="s">
        <v>635</v>
      </c>
      <c r="H146" s="292" t="s">
        <v>636</v>
      </c>
    </row>
    <row r="147" spans="1:8" ht="14.45" customHeight="1">
      <c r="A147" s="293" t="str">
        <f t="shared" si="5"/>
        <v>M</v>
      </c>
      <c r="B147" s="288" t="s">
        <v>637</v>
      </c>
      <c r="C147" s="289" t="s">
        <v>610</v>
      </c>
      <c r="D147" s="290" t="s">
        <v>611</v>
      </c>
      <c r="F147" s="293" t="str">
        <f t="shared" si="4"/>
        <v>M</v>
      </c>
      <c r="G147" s="291" t="s">
        <v>638</v>
      </c>
      <c r="H147" s="292" t="s">
        <v>639</v>
      </c>
    </row>
    <row r="148" spans="1:8" ht="14.45" customHeight="1">
      <c r="A148" s="293" t="str">
        <f t="shared" si="5"/>
        <v>M</v>
      </c>
      <c r="B148" s="288" t="s">
        <v>640</v>
      </c>
      <c r="C148" s="289" t="s">
        <v>605</v>
      </c>
      <c r="D148" s="290" t="s">
        <v>606</v>
      </c>
      <c r="F148" s="293" t="str">
        <f t="shared" si="4"/>
        <v>M</v>
      </c>
      <c r="G148" s="291" t="s">
        <v>583</v>
      </c>
      <c r="H148" s="292" t="s">
        <v>584</v>
      </c>
    </row>
    <row r="149" spans="1:8" ht="14.45" customHeight="1">
      <c r="A149" s="293" t="str">
        <f t="shared" si="5"/>
        <v>M</v>
      </c>
      <c r="B149" s="288" t="s">
        <v>641</v>
      </c>
      <c r="C149" s="289" t="s">
        <v>638</v>
      </c>
      <c r="D149" s="290" t="s">
        <v>639</v>
      </c>
      <c r="F149" s="293" t="str">
        <f t="shared" si="4"/>
        <v>M</v>
      </c>
      <c r="G149" s="291" t="s">
        <v>642</v>
      </c>
      <c r="H149" s="292" t="s">
        <v>643</v>
      </c>
    </row>
    <row r="150" spans="1:8" ht="14.45" customHeight="1">
      <c r="A150" s="293" t="str">
        <f t="shared" si="5"/>
        <v>M</v>
      </c>
      <c r="B150" s="288" t="s">
        <v>644</v>
      </c>
      <c r="C150" s="289" t="s">
        <v>615</v>
      </c>
      <c r="D150" s="290" t="s">
        <v>616</v>
      </c>
      <c r="F150" s="293" t="str">
        <f t="shared" si="4"/>
        <v>M</v>
      </c>
      <c r="G150" s="291" t="s">
        <v>618</v>
      </c>
      <c r="H150" s="292" t="s">
        <v>619</v>
      </c>
    </row>
    <row r="151" spans="1:8" ht="14.45" customHeight="1">
      <c r="A151" s="293" t="str">
        <f t="shared" si="5"/>
        <v>M</v>
      </c>
      <c r="B151" s="288" t="s">
        <v>645</v>
      </c>
      <c r="C151" s="289" t="s">
        <v>646</v>
      </c>
      <c r="D151" s="290" t="s">
        <v>647</v>
      </c>
      <c r="F151" s="293" t="str">
        <f t="shared" si="4"/>
        <v>M</v>
      </c>
      <c r="G151" s="291" t="s">
        <v>623</v>
      </c>
      <c r="H151" s="292" t="s">
        <v>624</v>
      </c>
    </row>
    <row r="152" spans="1:8" ht="14.45" customHeight="1">
      <c r="A152" s="293" t="str">
        <f t="shared" si="5"/>
        <v>M</v>
      </c>
      <c r="B152" s="288" t="s">
        <v>648</v>
      </c>
      <c r="C152" s="289" t="s">
        <v>600</v>
      </c>
      <c r="D152" s="290" t="s">
        <v>601</v>
      </c>
      <c r="F152" s="293" t="str">
        <f t="shared" si="4"/>
        <v>M</v>
      </c>
      <c r="G152" s="291" t="s">
        <v>646</v>
      </c>
      <c r="H152" s="292" t="s">
        <v>647</v>
      </c>
    </row>
    <row r="153" spans="1:8" ht="15" customHeight="1">
      <c r="A153" s="293" t="str">
        <f t="shared" si="5"/>
        <v>M</v>
      </c>
      <c r="B153" s="288" t="s">
        <v>649</v>
      </c>
      <c r="C153" s="289" t="s">
        <v>650</v>
      </c>
      <c r="D153" s="290" t="s">
        <v>651</v>
      </c>
      <c r="F153" s="293" t="str">
        <f t="shared" si="4"/>
        <v>M</v>
      </c>
      <c r="G153" s="291" t="s">
        <v>608</v>
      </c>
      <c r="H153" s="292" t="s">
        <v>609</v>
      </c>
    </row>
    <row r="154" spans="1:8" ht="14.45" customHeight="1">
      <c r="A154" s="293" t="str">
        <f t="shared" si="5"/>
        <v>M</v>
      </c>
      <c r="B154" s="288" t="s">
        <v>652</v>
      </c>
      <c r="C154" s="289" t="s">
        <v>635</v>
      </c>
      <c r="D154" s="290" t="s">
        <v>636</v>
      </c>
      <c r="F154" s="293" t="str">
        <f t="shared" si="4"/>
        <v>M</v>
      </c>
      <c r="G154" s="291" t="s">
        <v>626</v>
      </c>
      <c r="H154" s="292" t="s">
        <v>627</v>
      </c>
    </row>
    <row r="155" spans="1:8" ht="14.45" customHeight="1">
      <c r="A155" s="293" t="str">
        <f t="shared" si="5"/>
        <v>N</v>
      </c>
      <c r="B155" s="288" t="s">
        <v>653</v>
      </c>
      <c r="C155" s="289" t="s">
        <v>654</v>
      </c>
      <c r="D155" s="290" t="s">
        <v>655</v>
      </c>
      <c r="F155" s="293" t="str">
        <f t="shared" si="4"/>
        <v>M</v>
      </c>
      <c r="G155" s="291" t="s">
        <v>598</v>
      </c>
      <c r="H155" s="292" t="s">
        <v>599</v>
      </c>
    </row>
    <row r="156" spans="1:8" ht="14.45" customHeight="1">
      <c r="A156" s="293" t="str">
        <f t="shared" si="5"/>
        <v>N</v>
      </c>
      <c r="B156" s="288" t="s">
        <v>656</v>
      </c>
      <c r="C156" s="289" t="s">
        <v>657</v>
      </c>
      <c r="D156" s="290" t="s">
        <v>658</v>
      </c>
      <c r="F156" s="293" t="str">
        <f t="shared" si="4"/>
        <v>M</v>
      </c>
      <c r="G156" s="291" t="s">
        <v>592</v>
      </c>
      <c r="H156" s="292" t="s">
        <v>593</v>
      </c>
    </row>
    <row r="157" spans="1:8" ht="14.45" customHeight="1">
      <c r="A157" s="293" t="str">
        <f t="shared" si="5"/>
        <v>N</v>
      </c>
      <c r="B157" s="288" t="s">
        <v>659</v>
      </c>
      <c r="C157" s="289" t="s">
        <v>660</v>
      </c>
      <c r="D157" s="290" t="s">
        <v>661</v>
      </c>
      <c r="F157" s="293" t="str">
        <f t="shared" si="4"/>
        <v>M</v>
      </c>
      <c r="G157" s="291" t="s">
        <v>632</v>
      </c>
      <c r="H157" s="292" t="s">
        <v>633</v>
      </c>
    </row>
    <row r="158" spans="1:8" ht="14.45" customHeight="1">
      <c r="A158" s="293" t="str">
        <f t="shared" si="5"/>
        <v>N</v>
      </c>
      <c r="B158" s="288" t="s">
        <v>662</v>
      </c>
      <c r="C158" s="289" t="s">
        <v>663</v>
      </c>
      <c r="D158" s="290" t="s">
        <v>664</v>
      </c>
      <c r="F158" s="293" t="str">
        <f t="shared" si="4"/>
        <v>M</v>
      </c>
      <c r="G158" s="291" t="s">
        <v>595</v>
      </c>
      <c r="H158" s="292" t="s">
        <v>596</v>
      </c>
    </row>
    <row r="159" spans="1:8" ht="14.45" customHeight="1">
      <c r="A159" s="293" t="str">
        <f t="shared" si="5"/>
        <v>N</v>
      </c>
      <c r="B159" s="288" t="s">
        <v>665</v>
      </c>
      <c r="C159" s="289" t="s">
        <v>200</v>
      </c>
      <c r="D159" s="290" t="s">
        <v>201</v>
      </c>
      <c r="F159" s="293" t="str">
        <f t="shared" si="4"/>
        <v>M</v>
      </c>
      <c r="G159" s="291" t="s">
        <v>650</v>
      </c>
      <c r="H159" s="292" t="s">
        <v>651</v>
      </c>
    </row>
    <row r="160" spans="1:8" ht="14.45" customHeight="1">
      <c r="A160" s="293" t="str">
        <f t="shared" si="5"/>
        <v>N</v>
      </c>
      <c r="B160" s="288" t="s">
        <v>666</v>
      </c>
      <c r="C160" s="289" t="s">
        <v>667</v>
      </c>
      <c r="D160" s="290" t="s">
        <v>668</v>
      </c>
      <c r="F160" s="293" t="str">
        <f t="shared" si="4"/>
        <v>N</v>
      </c>
      <c r="G160" s="291" t="s">
        <v>654</v>
      </c>
      <c r="H160" s="292" t="s">
        <v>655</v>
      </c>
    </row>
    <row r="161" spans="1:8" ht="14.45" customHeight="1">
      <c r="A161" s="293" t="str">
        <f t="shared" si="5"/>
        <v>N</v>
      </c>
      <c r="B161" s="288" t="s">
        <v>669</v>
      </c>
      <c r="C161" s="289" t="s">
        <v>670</v>
      </c>
      <c r="D161" s="290" t="s">
        <v>671</v>
      </c>
      <c r="F161" s="293" t="str">
        <f t="shared" si="4"/>
        <v>N</v>
      </c>
      <c r="G161" s="291" t="s">
        <v>667</v>
      </c>
      <c r="H161" s="292" t="s">
        <v>668</v>
      </c>
    </row>
    <row r="162" spans="1:8" ht="14.45" customHeight="1">
      <c r="A162" s="293" t="str">
        <f t="shared" si="5"/>
        <v>N</v>
      </c>
      <c r="B162" s="288" t="s">
        <v>672</v>
      </c>
      <c r="C162" s="289" t="s">
        <v>673</v>
      </c>
      <c r="D162" s="290" t="s">
        <v>674</v>
      </c>
      <c r="F162" s="293" t="str">
        <f t="shared" si="4"/>
        <v>N</v>
      </c>
      <c r="G162" s="291" t="s">
        <v>675</v>
      </c>
      <c r="H162" s="292" t="s">
        <v>676</v>
      </c>
    </row>
    <row r="163" spans="1:8" ht="14.45" customHeight="1">
      <c r="A163" s="293" t="str">
        <f t="shared" si="5"/>
        <v>N</v>
      </c>
      <c r="B163" s="288" t="s">
        <v>677</v>
      </c>
      <c r="C163" s="289" t="s">
        <v>675</v>
      </c>
      <c r="D163" s="290" t="s">
        <v>676</v>
      </c>
      <c r="F163" s="293" t="str">
        <f t="shared" si="4"/>
        <v>N</v>
      </c>
      <c r="G163" s="297" t="s">
        <v>678</v>
      </c>
      <c r="H163" s="292" t="s">
        <v>679</v>
      </c>
    </row>
    <row r="164" spans="1:8" ht="14.45" customHeight="1">
      <c r="A164" s="293" t="str">
        <f t="shared" si="5"/>
        <v>N</v>
      </c>
      <c r="B164" s="288" t="s">
        <v>680</v>
      </c>
      <c r="C164" s="289" t="s">
        <v>681</v>
      </c>
      <c r="D164" s="290" t="s">
        <v>682</v>
      </c>
      <c r="F164" s="293" t="str">
        <f t="shared" si="4"/>
        <v>N</v>
      </c>
      <c r="G164" s="291" t="s">
        <v>681</v>
      </c>
      <c r="H164" s="292" t="s">
        <v>682</v>
      </c>
    </row>
    <row r="165" spans="1:8" ht="14.45" customHeight="1">
      <c r="A165" s="293" t="str">
        <f t="shared" si="5"/>
        <v>N</v>
      </c>
      <c r="B165" s="288" t="s">
        <v>683</v>
      </c>
      <c r="C165" s="294" t="s">
        <v>684</v>
      </c>
      <c r="D165" s="290" t="s">
        <v>685</v>
      </c>
      <c r="F165" s="293" t="str">
        <f t="shared" si="4"/>
        <v>N</v>
      </c>
      <c r="G165" s="291" t="s">
        <v>673</v>
      </c>
      <c r="H165" s="292" t="s">
        <v>674</v>
      </c>
    </row>
    <row r="166" spans="1:8" ht="14.45" customHeight="1">
      <c r="A166" s="293" t="str">
        <f t="shared" si="5"/>
        <v>N</v>
      </c>
      <c r="B166" s="288" t="s">
        <v>686</v>
      </c>
      <c r="C166" s="294" t="s">
        <v>678</v>
      </c>
      <c r="D166" s="290" t="s">
        <v>679</v>
      </c>
      <c r="F166" s="293" t="str">
        <f t="shared" si="4"/>
        <v>N</v>
      </c>
      <c r="G166" s="291" t="s">
        <v>663</v>
      </c>
      <c r="H166" s="292" t="s">
        <v>664</v>
      </c>
    </row>
    <row r="167" spans="1:8" ht="15" customHeight="1">
      <c r="A167" s="293" t="str">
        <f t="shared" si="5"/>
        <v>N</v>
      </c>
      <c r="B167" s="288" t="s">
        <v>687</v>
      </c>
      <c r="C167" s="289" t="s">
        <v>642</v>
      </c>
      <c r="D167" s="290" t="s">
        <v>643</v>
      </c>
      <c r="F167" s="293" t="str">
        <f t="shared" si="4"/>
        <v>N</v>
      </c>
      <c r="G167" s="291" t="s">
        <v>688</v>
      </c>
      <c r="H167" s="292" t="s">
        <v>689</v>
      </c>
    </row>
    <row r="168" spans="1:8">
      <c r="A168" s="293" t="str">
        <f t="shared" si="5"/>
        <v>N</v>
      </c>
      <c r="B168" s="288" t="s">
        <v>690</v>
      </c>
      <c r="C168" s="289" t="s">
        <v>688</v>
      </c>
      <c r="D168" s="290" t="s">
        <v>689</v>
      </c>
      <c r="F168" s="293" t="str">
        <f t="shared" si="4"/>
        <v>N</v>
      </c>
      <c r="G168" s="291" t="s">
        <v>660</v>
      </c>
      <c r="H168" s="292" t="s">
        <v>661</v>
      </c>
    </row>
    <row r="169" spans="1:8" ht="14.45" customHeight="1">
      <c r="A169" s="293" t="str">
        <f t="shared" si="5"/>
        <v>O</v>
      </c>
      <c r="B169" s="288" t="s">
        <v>691</v>
      </c>
      <c r="C169" s="289" t="s">
        <v>692</v>
      </c>
      <c r="D169" s="290" t="s">
        <v>693</v>
      </c>
      <c r="F169" s="293" t="str">
        <f t="shared" si="4"/>
        <v>N</v>
      </c>
      <c r="G169" s="291" t="s">
        <v>657</v>
      </c>
      <c r="H169" s="292" t="s">
        <v>658</v>
      </c>
    </row>
    <row r="170" spans="1:8" ht="14.45" customHeight="1">
      <c r="A170" s="293" t="str">
        <f t="shared" si="5"/>
        <v>P</v>
      </c>
      <c r="B170" s="288" t="s">
        <v>694</v>
      </c>
      <c r="C170" s="289" t="s">
        <v>695</v>
      </c>
      <c r="D170" s="290" t="s">
        <v>696</v>
      </c>
      <c r="F170" s="293" t="str">
        <f t="shared" si="4"/>
        <v>N</v>
      </c>
      <c r="G170" s="297" t="s">
        <v>684</v>
      </c>
      <c r="H170" s="292" t="s">
        <v>685</v>
      </c>
    </row>
    <row r="171" spans="1:8" ht="14.45" customHeight="1">
      <c r="A171" s="293" t="str">
        <f t="shared" si="5"/>
        <v>P</v>
      </c>
      <c r="B171" s="288" t="s">
        <v>697</v>
      </c>
      <c r="C171" s="289" t="s">
        <v>698</v>
      </c>
      <c r="D171" s="290" t="s">
        <v>699</v>
      </c>
      <c r="F171" s="293" t="str">
        <f t="shared" si="4"/>
        <v>N</v>
      </c>
      <c r="G171" s="291" t="s">
        <v>670</v>
      </c>
      <c r="H171" s="292" t="s">
        <v>671</v>
      </c>
    </row>
    <row r="172" spans="1:8" ht="14.45" customHeight="1">
      <c r="A172" s="293" t="str">
        <f t="shared" si="5"/>
        <v>P</v>
      </c>
      <c r="B172" s="288" t="s">
        <v>700</v>
      </c>
      <c r="C172" s="289" t="s">
        <v>701</v>
      </c>
      <c r="D172" s="290" t="s">
        <v>702</v>
      </c>
      <c r="F172" s="293" t="str">
        <f t="shared" si="4"/>
        <v>O</v>
      </c>
      <c r="G172" s="291" t="s">
        <v>692</v>
      </c>
      <c r="H172" s="292" t="s">
        <v>693</v>
      </c>
    </row>
    <row r="173" spans="1:8" ht="14.45" customHeight="1">
      <c r="A173" s="293" t="str">
        <f t="shared" si="5"/>
        <v>P</v>
      </c>
      <c r="B173" s="288" t="s">
        <v>703</v>
      </c>
      <c r="C173" s="289" t="s">
        <v>704</v>
      </c>
      <c r="D173" s="290" t="s">
        <v>705</v>
      </c>
      <c r="F173" s="293" t="str">
        <f t="shared" si="4"/>
        <v>P</v>
      </c>
      <c r="G173" s="291" t="s">
        <v>704</v>
      </c>
      <c r="H173" s="292" t="s">
        <v>705</v>
      </c>
    </row>
    <row r="174" spans="1:8" ht="14.45" customHeight="1">
      <c r="A174" s="293" t="str">
        <f t="shared" si="5"/>
        <v>P</v>
      </c>
      <c r="B174" s="288" t="s">
        <v>706</v>
      </c>
      <c r="C174" s="289" t="s">
        <v>707</v>
      </c>
      <c r="D174" s="290" t="s">
        <v>708</v>
      </c>
      <c r="F174" s="293" t="str">
        <f t="shared" si="4"/>
        <v>P</v>
      </c>
      <c r="G174" s="291" t="s">
        <v>709</v>
      </c>
      <c r="H174" s="292" t="s">
        <v>710</v>
      </c>
    </row>
    <row r="175" spans="1:8" ht="14.45" customHeight="1">
      <c r="A175" s="293" t="str">
        <f t="shared" si="5"/>
        <v>P</v>
      </c>
      <c r="B175" s="288" t="s">
        <v>711</v>
      </c>
      <c r="C175" s="289" t="s">
        <v>712</v>
      </c>
      <c r="D175" s="290" t="s">
        <v>713</v>
      </c>
      <c r="F175" s="293" t="str">
        <f t="shared" si="4"/>
        <v>P</v>
      </c>
      <c r="G175" s="291" t="s">
        <v>418</v>
      </c>
      <c r="H175" s="292" t="s">
        <v>419</v>
      </c>
    </row>
    <row r="176" spans="1:8" ht="14.45" customHeight="1">
      <c r="A176" s="293" t="str">
        <f t="shared" si="5"/>
        <v>P</v>
      </c>
      <c r="B176" s="288" t="s">
        <v>714</v>
      </c>
      <c r="C176" s="289" t="s">
        <v>709</v>
      </c>
      <c r="D176" s="290" t="s">
        <v>710</v>
      </c>
      <c r="F176" s="293" t="str">
        <f t="shared" si="4"/>
        <v>P</v>
      </c>
      <c r="G176" s="291" t="s">
        <v>707</v>
      </c>
      <c r="H176" s="292" t="s">
        <v>708</v>
      </c>
    </row>
    <row r="177" spans="1:8" ht="14.45" customHeight="1">
      <c r="A177" s="293" t="str">
        <f t="shared" si="5"/>
        <v>P</v>
      </c>
      <c r="B177" s="288" t="s">
        <v>715</v>
      </c>
      <c r="C177" s="289" t="s">
        <v>716</v>
      </c>
      <c r="D177" s="290" t="s">
        <v>717</v>
      </c>
      <c r="F177" s="293" t="str">
        <f t="shared" si="4"/>
        <v>P</v>
      </c>
      <c r="G177" s="291" t="s">
        <v>716</v>
      </c>
      <c r="H177" s="292" t="s">
        <v>717</v>
      </c>
    </row>
    <row r="178" spans="1:8" ht="14.45" customHeight="1">
      <c r="A178" s="293" t="str">
        <f t="shared" si="5"/>
        <v>P</v>
      </c>
      <c r="B178" s="288" t="s">
        <v>718</v>
      </c>
      <c r="C178" s="289" t="s">
        <v>719</v>
      </c>
      <c r="D178" s="290" t="s">
        <v>720</v>
      </c>
      <c r="F178" s="293" t="str">
        <f t="shared" si="4"/>
        <v>P</v>
      </c>
      <c r="G178" s="291" t="s">
        <v>695</v>
      </c>
      <c r="H178" s="292" t="s">
        <v>696</v>
      </c>
    </row>
    <row r="179" spans="1:8" ht="14.45" customHeight="1">
      <c r="A179" s="293" t="str">
        <f t="shared" si="5"/>
        <v>P</v>
      </c>
      <c r="B179" s="288" t="s">
        <v>721</v>
      </c>
      <c r="C179" s="289" t="s">
        <v>722</v>
      </c>
      <c r="D179" s="290" t="s">
        <v>723</v>
      </c>
      <c r="F179" s="293" t="str">
        <f t="shared" si="4"/>
        <v>P</v>
      </c>
      <c r="G179" s="291" t="s">
        <v>722</v>
      </c>
      <c r="H179" s="292" t="s">
        <v>723</v>
      </c>
    </row>
    <row r="180" spans="1:8" ht="15" customHeight="1">
      <c r="A180" s="293" t="str">
        <f t="shared" si="5"/>
        <v>P</v>
      </c>
      <c r="B180" s="288" t="s">
        <v>724</v>
      </c>
      <c r="C180" s="289" t="s">
        <v>725</v>
      </c>
      <c r="D180" s="290" t="s">
        <v>726</v>
      </c>
      <c r="F180" s="293" t="str">
        <f t="shared" si="4"/>
        <v>P</v>
      </c>
      <c r="G180" s="297" t="s">
        <v>727</v>
      </c>
      <c r="H180" s="292" t="s">
        <v>728</v>
      </c>
    </row>
    <row r="181" spans="1:8">
      <c r="A181" s="293" t="str">
        <f t="shared" si="5"/>
        <v>P</v>
      </c>
      <c r="B181" s="288" t="s">
        <v>729</v>
      </c>
      <c r="C181" s="289" t="s">
        <v>730</v>
      </c>
      <c r="D181" s="290" t="s">
        <v>731</v>
      </c>
      <c r="F181" s="293" t="str">
        <f t="shared" si="4"/>
        <v>P</v>
      </c>
      <c r="G181" s="291" t="s">
        <v>719</v>
      </c>
      <c r="H181" s="292" t="s">
        <v>720</v>
      </c>
    </row>
    <row r="182" spans="1:8" ht="14.45" customHeight="1">
      <c r="A182" s="293" t="str">
        <f t="shared" si="5"/>
        <v>Q</v>
      </c>
      <c r="B182" s="288" t="s">
        <v>732</v>
      </c>
      <c r="C182" s="289" t="s">
        <v>733</v>
      </c>
      <c r="D182" s="290" t="s">
        <v>734</v>
      </c>
      <c r="F182" s="293" t="str">
        <f t="shared" si="4"/>
        <v>P</v>
      </c>
      <c r="G182" s="291" t="s">
        <v>730</v>
      </c>
      <c r="H182" s="292" t="s">
        <v>731</v>
      </c>
    </row>
    <row r="183" spans="1:8" ht="14.45" customHeight="1">
      <c r="A183" s="293" t="str">
        <f t="shared" si="5"/>
        <v>R</v>
      </c>
      <c r="B183" s="288" t="s">
        <v>735</v>
      </c>
      <c r="C183" s="289" t="s">
        <v>736</v>
      </c>
      <c r="D183" s="290" t="s">
        <v>737</v>
      </c>
      <c r="F183" s="293" t="str">
        <f t="shared" si="4"/>
        <v>P</v>
      </c>
      <c r="G183" s="291" t="s">
        <v>701</v>
      </c>
      <c r="H183" s="292" t="s">
        <v>702</v>
      </c>
    </row>
    <row r="184" spans="1:8" ht="14.45" customHeight="1">
      <c r="A184" s="293" t="str">
        <f t="shared" si="5"/>
        <v>R</v>
      </c>
      <c r="B184" s="288" t="s">
        <v>738</v>
      </c>
      <c r="C184" s="289" t="s">
        <v>739</v>
      </c>
      <c r="D184" s="290" t="s">
        <v>740</v>
      </c>
      <c r="F184" s="293" t="str">
        <f t="shared" si="4"/>
        <v>P</v>
      </c>
      <c r="G184" s="291" t="s">
        <v>725</v>
      </c>
      <c r="H184" s="292" t="s">
        <v>726</v>
      </c>
    </row>
    <row r="185" spans="1:8" ht="15" customHeight="1">
      <c r="A185" s="293" t="str">
        <f t="shared" si="5"/>
        <v>R</v>
      </c>
      <c r="B185" s="288" t="s">
        <v>741</v>
      </c>
      <c r="C185" s="289" t="s">
        <v>742</v>
      </c>
      <c r="D185" s="290" t="s">
        <v>743</v>
      </c>
      <c r="F185" s="293" t="str">
        <f t="shared" si="4"/>
        <v>P</v>
      </c>
      <c r="G185" s="291" t="s">
        <v>698</v>
      </c>
      <c r="H185" s="292" t="s">
        <v>699</v>
      </c>
    </row>
    <row r="186" spans="1:8" ht="14.45" customHeight="1">
      <c r="A186" s="293" t="str">
        <f t="shared" si="5"/>
        <v>R</v>
      </c>
      <c r="B186" s="288" t="s">
        <v>744</v>
      </c>
      <c r="C186" s="289" t="s">
        <v>745</v>
      </c>
      <c r="D186" s="290" t="s">
        <v>746</v>
      </c>
      <c r="F186" s="293" t="str">
        <f t="shared" si="4"/>
        <v>P</v>
      </c>
      <c r="G186" s="291" t="s">
        <v>712</v>
      </c>
      <c r="H186" s="292" t="s">
        <v>713</v>
      </c>
    </row>
    <row r="187" spans="1:8" ht="14.45" customHeight="1">
      <c r="A187" s="293" t="str">
        <f t="shared" si="5"/>
        <v>S</v>
      </c>
      <c r="B187" s="288" t="s">
        <v>747</v>
      </c>
      <c r="C187" s="294" t="s">
        <v>748</v>
      </c>
      <c r="D187" s="290" t="s">
        <v>749</v>
      </c>
      <c r="F187" s="293" t="str">
        <f t="shared" si="4"/>
        <v>Q</v>
      </c>
      <c r="G187" s="291" t="s">
        <v>733</v>
      </c>
      <c r="H187" s="292" t="s">
        <v>734</v>
      </c>
    </row>
    <row r="188" spans="1:8" ht="14.45" customHeight="1">
      <c r="A188" s="293" t="str">
        <f t="shared" si="5"/>
        <v>S</v>
      </c>
      <c r="B188" s="288" t="s">
        <v>750</v>
      </c>
      <c r="C188" s="289" t="s">
        <v>545</v>
      </c>
      <c r="D188" s="290" t="s">
        <v>546</v>
      </c>
      <c r="F188" s="293" t="str">
        <f t="shared" si="4"/>
        <v>R</v>
      </c>
      <c r="G188" s="291" t="s">
        <v>736</v>
      </c>
      <c r="H188" s="292" t="s">
        <v>737</v>
      </c>
    </row>
    <row r="189" spans="1:8" ht="14.45" customHeight="1">
      <c r="A189" s="293" t="str">
        <f t="shared" si="5"/>
        <v>S</v>
      </c>
      <c r="B189" s="288" t="s">
        <v>751</v>
      </c>
      <c r="C189" s="289" t="s">
        <v>569</v>
      </c>
      <c r="D189" s="290" t="s">
        <v>570</v>
      </c>
      <c r="F189" s="293" t="str">
        <f t="shared" si="4"/>
        <v>R</v>
      </c>
      <c r="G189" s="291" t="s">
        <v>739</v>
      </c>
      <c r="H189" s="292" t="s">
        <v>740</v>
      </c>
    </row>
    <row r="190" spans="1:8" ht="14.45" customHeight="1">
      <c r="A190" s="293" t="str">
        <f t="shared" si="5"/>
        <v>S</v>
      </c>
      <c r="B190" s="288" t="s">
        <v>752</v>
      </c>
      <c r="C190" s="294" t="s">
        <v>727</v>
      </c>
      <c r="D190" s="290" t="s">
        <v>728</v>
      </c>
      <c r="F190" s="293" t="str">
        <f t="shared" si="4"/>
        <v>R</v>
      </c>
      <c r="G190" s="291" t="s">
        <v>753</v>
      </c>
      <c r="H190" s="292" t="s">
        <v>754</v>
      </c>
    </row>
    <row r="191" spans="1:8" ht="14.45" customHeight="1">
      <c r="A191" s="293" t="str">
        <f t="shared" si="5"/>
        <v>S</v>
      </c>
      <c r="B191" s="288" t="s">
        <v>755</v>
      </c>
      <c r="C191" s="289" t="s">
        <v>756</v>
      </c>
      <c r="D191" s="290" t="s">
        <v>757</v>
      </c>
      <c r="F191" s="293" t="str">
        <f t="shared" si="4"/>
        <v>R</v>
      </c>
      <c r="G191" s="291" t="s">
        <v>742</v>
      </c>
      <c r="H191" s="292" t="s">
        <v>743</v>
      </c>
    </row>
    <row r="192" spans="1:8" ht="14.45" customHeight="1">
      <c r="A192" s="293" t="str">
        <f t="shared" si="5"/>
        <v>S</v>
      </c>
      <c r="B192" s="288" t="s">
        <v>758</v>
      </c>
      <c r="C192" s="294" t="s">
        <v>263</v>
      </c>
      <c r="D192" s="290" t="s">
        <v>264</v>
      </c>
      <c r="F192" s="293" t="str">
        <f t="shared" si="4"/>
        <v>R</v>
      </c>
      <c r="G192" s="291" t="s">
        <v>745</v>
      </c>
      <c r="H192" s="292" t="s">
        <v>746</v>
      </c>
    </row>
    <row r="193" spans="1:8" ht="14.45" customHeight="1">
      <c r="A193" s="293" t="str">
        <f t="shared" si="5"/>
        <v>S</v>
      </c>
      <c r="B193" s="288" t="s">
        <v>759</v>
      </c>
      <c r="C193" s="294" t="s">
        <v>620</v>
      </c>
      <c r="D193" s="290" t="s">
        <v>621</v>
      </c>
      <c r="F193" s="293" t="str">
        <f t="shared" si="4"/>
        <v>S</v>
      </c>
      <c r="G193" s="291" t="s">
        <v>760</v>
      </c>
      <c r="H193" s="292" t="s">
        <v>761</v>
      </c>
    </row>
    <row r="194" spans="1:8" ht="14.45" customHeight="1">
      <c r="A194" s="293" t="str">
        <f t="shared" si="5"/>
        <v>S</v>
      </c>
      <c r="B194" s="288" t="s">
        <v>762</v>
      </c>
      <c r="C194" s="289" t="s">
        <v>763</v>
      </c>
      <c r="D194" s="290" t="s">
        <v>764</v>
      </c>
      <c r="F194" s="293" t="str">
        <f t="shared" ref="F194:F245" si="6">MID(H194,1,1)</f>
        <v>S</v>
      </c>
      <c r="G194" s="291" t="s">
        <v>765</v>
      </c>
      <c r="H194" s="292" t="s">
        <v>766</v>
      </c>
    </row>
    <row r="195" spans="1:8" ht="14.45" customHeight="1">
      <c r="A195" s="293" t="str">
        <f t="shared" si="5"/>
        <v>S</v>
      </c>
      <c r="B195" s="288" t="s">
        <v>767</v>
      </c>
      <c r="C195" s="289" t="s">
        <v>768</v>
      </c>
      <c r="D195" s="290" t="s">
        <v>769</v>
      </c>
      <c r="F195" s="293" t="str">
        <f t="shared" si="6"/>
        <v>S</v>
      </c>
      <c r="G195" s="291" t="s">
        <v>770</v>
      </c>
      <c r="H195" s="292" t="s">
        <v>771</v>
      </c>
    </row>
    <row r="196" spans="1:8" ht="14.45" customHeight="1">
      <c r="A196" s="293" t="str">
        <f t="shared" ref="A196:A249" si="7">MID(B196,1,1)</f>
        <v>S</v>
      </c>
      <c r="B196" s="288" t="s">
        <v>772</v>
      </c>
      <c r="C196" s="289" t="s">
        <v>773</v>
      </c>
      <c r="D196" s="290" t="s">
        <v>774</v>
      </c>
      <c r="F196" s="293" t="str">
        <f t="shared" si="6"/>
        <v>S</v>
      </c>
      <c r="G196" s="291" t="s">
        <v>775</v>
      </c>
      <c r="H196" s="292" t="s">
        <v>776</v>
      </c>
    </row>
    <row r="197" spans="1:8" ht="14.45" customHeight="1">
      <c r="A197" s="293" t="str">
        <f t="shared" si="7"/>
        <v>S</v>
      </c>
      <c r="B197" s="288" t="s">
        <v>777</v>
      </c>
      <c r="C197" s="289" t="s">
        <v>760</v>
      </c>
      <c r="D197" s="290" t="s">
        <v>761</v>
      </c>
      <c r="F197" s="293" t="str">
        <f t="shared" si="6"/>
        <v>S</v>
      </c>
      <c r="G197" s="291" t="s">
        <v>778</v>
      </c>
      <c r="H197" s="292" t="s">
        <v>779</v>
      </c>
    </row>
    <row r="198" spans="1:8" ht="14.45" customHeight="1">
      <c r="A198" s="293" t="str">
        <f t="shared" si="7"/>
        <v>S</v>
      </c>
      <c r="B198" s="288" t="s">
        <v>780</v>
      </c>
      <c r="C198" s="289" t="s">
        <v>781</v>
      </c>
      <c r="D198" s="290" t="s">
        <v>782</v>
      </c>
      <c r="F198" s="293" t="str">
        <f t="shared" si="6"/>
        <v>S</v>
      </c>
      <c r="G198" s="291" t="s">
        <v>783</v>
      </c>
      <c r="H198" s="292" t="s">
        <v>784</v>
      </c>
    </row>
    <row r="199" spans="1:8" ht="14.45" customHeight="1">
      <c r="A199" s="293" t="str">
        <f t="shared" si="7"/>
        <v>S</v>
      </c>
      <c r="B199" s="288" t="s">
        <v>785</v>
      </c>
      <c r="C199" s="289" t="s">
        <v>753</v>
      </c>
      <c r="D199" s="290" t="s">
        <v>754</v>
      </c>
      <c r="F199" s="293" t="str">
        <f t="shared" si="6"/>
        <v>S</v>
      </c>
      <c r="G199" s="297" t="s">
        <v>748</v>
      </c>
      <c r="H199" s="292" t="s">
        <v>749</v>
      </c>
    </row>
    <row r="200" spans="1:8" ht="14.45" customHeight="1">
      <c r="A200" s="293" t="str">
        <f t="shared" si="7"/>
        <v>S</v>
      </c>
      <c r="B200" s="288" t="s">
        <v>786</v>
      </c>
      <c r="C200" s="289" t="s">
        <v>770</v>
      </c>
      <c r="D200" s="290" t="s">
        <v>771</v>
      </c>
      <c r="F200" s="293" t="str">
        <f t="shared" si="6"/>
        <v>S</v>
      </c>
      <c r="G200" s="291" t="s">
        <v>787</v>
      </c>
      <c r="H200" s="292" t="s">
        <v>788</v>
      </c>
    </row>
    <row r="201" spans="1:8" ht="14.45" customHeight="1">
      <c r="A201" s="293" t="str">
        <f t="shared" si="7"/>
        <v>S</v>
      </c>
      <c r="B201" s="288" t="s">
        <v>789</v>
      </c>
      <c r="C201" s="289" t="s">
        <v>790</v>
      </c>
      <c r="D201" s="290" t="s">
        <v>791</v>
      </c>
      <c r="F201" s="293" t="str">
        <f t="shared" si="6"/>
        <v>S</v>
      </c>
      <c r="G201" s="297" t="s">
        <v>792</v>
      </c>
      <c r="H201" s="292" t="s">
        <v>793</v>
      </c>
    </row>
    <row r="202" spans="1:8" ht="14.45" customHeight="1">
      <c r="A202" s="293" t="str">
        <f t="shared" si="7"/>
        <v>S</v>
      </c>
      <c r="B202" s="288" t="s">
        <v>794</v>
      </c>
      <c r="C202" s="289" t="s">
        <v>783</v>
      </c>
      <c r="D202" s="290" t="s">
        <v>784</v>
      </c>
      <c r="F202" s="293" t="str">
        <f t="shared" si="6"/>
        <v>S</v>
      </c>
      <c r="G202" s="291" t="s">
        <v>795</v>
      </c>
      <c r="H202" s="292" t="s">
        <v>796</v>
      </c>
    </row>
    <row r="203" spans="1:8" ht="14.45" customHeight="1">
      <c r="A203" s="293" t="str">
        <f t="shared" si="7"/>
        <v>S</v>
      </c>
      <c r="B203" s="288" t="s">
        <v>797</v>
      </c>
      <c r="C203" s="289" t="s">
        <v>795</v>
      </c>
      <c r="D203" s="290" t="s">
        <v>796</v>
      </c>
      <c r="F203" s="293" t="str">
        <f t="shared" si="6"/>
        <v>S</v>
      </c>
      <c r="G203" s="291" t="s">
        <v>790</v>
      </c>
      <c r="H203" s="292" t="s">
        <v>791</v>
      </c>
    </row>
    <row r="204" spans="1:8" ht="14.45" customHeight="1">
      <c r="A204" s="293" t="str">
        <f t="shared" si="7"/>
        <v>S</v>
      </c>
      <c r="B204" s="288" t="s">
        <v>798</v>
      </c>
      <c r="C204" s="289" t="s">
        <v>787</v>
      </c>
      <c r="D204" s="290" t="s">
        <v>788</v>
      </c>
      <c r="F204" s="293" t="str">
        <f t="shared" si="6"/>
        <v>S</v>
      </c>
      <c r="G204" s="291" t="s">
        <v>768</v>
      </c>
      <c r="H204" s="292" t="s">
        <v>769</v>
      </c>
    </row>
    <row r="205" spans="1:8" ht="14.45" customHeight="1">
      <c r="A205" s="293" t="str">
        <f t="shared" si="7"/>
        <v>S</v>
      </c>
      <c r="B205" s="288" t="s">
        <v>799</v>
      </c>
      <c r="C205" s="289" t="s">
        <v>765</v>
      </c>
      <c r="D205" s="290" t="s">
        <v>766</v>
      </c>
      <c r="F205" s="293" t="str">
        <f t="shared" si="6"/>
        <v>S</v>
      </c>
      <c r="G205" s="291" t="s">
        <v>781</v>
      </c>
      <c r="H205" s="292" t="s">
        <v>782</v>
      </c>
    </row>
    <row r="206" spans="1:8" ht="14.45" customHeight="1">
      <c r="A206" s="293" t="str">
        <f t="shared" si="7"/>
        <v>S</v>
      </c>
      <c r="B206" s="288" t="s">
        <v>800</v>
      </c>
      <c r="C206" s="289" t="s">
        <v>801</v>
      </c>
      <c r="D206" s="290" t="s">
        <v>802</v>
      </c>
      <c r="F206" s="293" t="str">
        <f t="shared" si="6"/>
        <v>S</v>
      </c>
      <c r="G206" s="291" t="s">
        <v>801</v>
      </c>
      <c r="H206" s="292" t="s">
        <v>802</v>
      </c>
    </row>
    <row r="207" spans="1:8" ht="14.45" customHeight="1">
      <c r="A207" s="293" t="str">
        <f t="shared" si="7"/>
        <v>S</v>
      </c>
      <c r="B207" s="288" t="s">
        <v>803</v>
      </c>
      <c r="C207" s="289" t="s">
        <v>804</v>
      </c>
      <c r="D207" s="290" t="s">
        <v>805</v>
      </c>
      <c r="F207" s="293" t="str">
        <f t="shared" si="6"/>
        <v>S</v>
      </c>
      <c r="G207" s="291" t="s">
        <v>806</v>
      </c>
      <c r="H207" s="292" t="s">
        <v>807</v>
      </c>
    </row>
    <row r="208" spans="1:8" ht="14.45" customHeight="1">
      <c r="A208" s="293" t="str">
        <f t="shared" si="7"/>
        <v>S</v>
      </c>
      <c r="B208" s="288" t="s">
        <v>808</v>
      </c>
      <c r="C208" s="294" t="s">
        <v>456</v>
      </c>
      <c r="D208" s="290" t="s">
        <v>457</v>
      </c>
      <c r="F208" s="293" t="str">
        <f t="shared" si="6"/>
        <v>S</v>
      </c>
      <c r="G208" s="296" t="s">
        <v>809</v>
      </c>
      <c r="H208" s="292" t="s">
        <v>810</v>
      </c>
    </row>
    <row r="209" spans="1:8" ht="14.45" customHeight="1">
      <c r="A209" s="293" t="str">
        <f t="shared" si="7"/>
        <v>S</v>
      </c>
      <c r="B209" s="288" t="s">
        <v>811</v>
      </c>
      <c r="C209" s="295" t="s">
        <v>809</v>
      </c>
      <c r="D209" s="290" t="s">
        <v>810</v>
      </c>
      <c r="F209" s="293" t="str">
        <f t="shared" si="6"/>
        <v>S</v>
      </c>
      <c r="G209" s="291" t="s">
        <v>773</v>
      </c>
      <c r="H209" s="292" t="s">
        <v>774</v>
      </c>
    </row>
    <row r="210" spans="1:8" ht="14.45" customHeight="1">
      <c r="A210" s="293" t="str">
        <f t="shared" si="7"/>
        <v>S</v>
      </c>
      <c r="B210" s="288" t="s">
        <v>812</v>
      </c>
      <c r="C210" s="289" t="s">
        <v>386</v>
      </c>
      <c r="D210" s="290" t="s">
        <v>387</v>
      </c>
      <c r="F210" s="293" t="str">
        <f t="shared" si="6"/>
        <v>S</v>
      </c>
      <c r="G210" s="291" t="s">
        <v>379</v>
      </c>
      <c r="H210" s="292" t="s">
        <v>380</v>
      </c>
    </row>
    <row r="211" spans="1:8" ht="14.45" customHeight="1">
      <c r="A211" s="293" t="str">
        <f t="shared" si="7"/>
        <v>S</v>
      </c>
      <c r="B211" s="288" t="s">
        <v>813</v>
      </c>
      <c r="C211" s="289" t="s">
        <v>577</v>
      </c>
      <c r="D211" s="290" t="s">
        <v>578</v>
      </c>
      <c r="F211" s="293" t="str">
        <f t="shared" si="6"/>
        <v>S</v>
      </c>
      <c r="G211" s="291" t="s">
        <v>814</v>
      </c>
      <c r="H211" s="292" t="s">
        <v>815</v>
      </c>
    </row>
    <row r="212" spans="1:8" ht="14.45" customHeight="1">
      <c r="A212" s="293" t="str">
        <f t="shared" si="7"/>
        <v>S</v>
      </c>
      <c r="B212" s="288" t="s">
        <v>816</v>
      </c>
      <c r="C212" s="289" t="s">
        <v>775</v>
      </c>
      <c r="D212" s="290" t="s">
        <v>776</v>
      </c>
      <c r="F212" s="293" t="str">
        <f t="shared" si="6"/>
        <v>S</v>
      </c>
      <c r="G212" s="291" t="s">
        <v>817</v>
      </c>
      <c r="H212" s="292" t="s">
        <v>818</v>
      </c>
    </row>
    <row r="213" spans="1:8" ht="14.45" customHeight="1">
      <c r="A213" s="293" t="str">
        <f t="shared" si="7"/>
        <v>S</v>
      </c>
      <c r="B213" s="288" t="s">
        <v>819</v>
      </c>
      <c r="C213" s="289" t="s">
        <v>806</v>
      </c>
      <c r="D213" s="290" t="s">
        <v>807</v>
      </c>
      <c r="F213" s="293" t="str">
        <f t="shared" si="6"/>
        <v>T</v>
      </c>
      <c r="G213" s="297" t="s">
        <v>820</v>
      </c>
      <c r="H213" s="292" t="s">
        <v>96</v>
      </c>
    </row>
    <row r="214" spans="1:8" ht="14.45" customHeight="1">
      <c r="A214" s="293" t="str">
        <f t="shared" si="7"/>
        <v>S</v>
      </c>
      <c r="B214" s="288" t="s">
        <v>821</v>
      </c>
      <c r="C214" s="294" t="s">
        <v>792</v>
      </c>
      <c r="D214" s="290" t="s">
        <v>793</v>
      </c>
      <c r="F214" s="293" t="str">
        <f t="shared" si="6"/>
        <v>T</v>
      </c>
      <c r="G214" s="291" t="s">
        <v>314</v>
      </c>
      <c r="H214" s="292" t="s">
        <v>125</v>
      </c>
    </row>
    <row r="215" spans="1:8" ht="14.45" customHeight="1">
      <c r="A215" s="293" t="str">
        <f t="shared" si="7"/>
        <v>S</v>
      </c>
      <c r="B215" s="288" t="s">
        <v>822</v>
      </c>
      <c r="C215" s="289" t="s">
        <v>817</v>
      </c>
      <c r="D215" s="290" t="s">
        <v>818</v>
      </c>
      <c r="F215" s="293" t="str">
        <f t="shared" si="6"/>
        <v>T</v>
      </c>
      <c r="G215" s="297" t="s">
        <v>423</v>
      </c>
      <c r="H215" s="292" t="s">
        <v>424</v>
      </c>
    </row>
    <row r="216" spans="1:8" ht="14.45" customHeight="1">
      <c r="A216" s="293" t="str">
        <f t="shared" si="7"/>
        <v>S</v>
      </c>
      <c r="B216" s="288" t="s">
        <v>823</v>
      </c>
      <c r="C216" s="289" t="s">
        <v>778</v>
      </c>
      <c r="D216" s="290" t="s">
        <v>779</v>
      </c>
      <c r="F216" s="293" t="str">
        <f t="shared" si="6"/>
        <v>T</v>
      </c>
      <c r="G216" s="291" t="s">
        <v>824</v>
      </c>
      <c r="H216" s="292" t="s">
        <v>825</v>
      </c>
    </row>
    <row r="217" spans="1:8" ht="15" customHeight="1">
      <c r="A217" s="293" t="str">
        <f t="shared" si="7"/>
        <v>S</v>
      </c>
      <c r="B217" s="288" t="s">
        <v>826</v>
      </c>
      <c r="C217" s="289" t="s">
        <v>311</v>
      </c>
      <c r="D217" s="290" t="s">
        <v>312</v>
      </c>
      <c r="F217" s="293" t="str">
        <f t="shared" si="6"/>
        <v>T</v>
      </c>
      <c r="G217" s="291" t="s">
        <v>827</v>
      </c>
      <c r="H217" s="292" t="s">
        <v>828</v>
      </c>
    </row>
    <row r="218" spans="1:8" ht="14.45" customHeight="1">
      <c r="A218" s="293" t="str">
        <f t="shared" si="7"/>
        <v>S</v>
      </c>
      <c r="B218" s="288" t="s">
        <v>829</v>
      </c>
      <c r="C218" s="289" t="s">
        <v>814</v>
      </c>
      <c r="D218" s="290" t="s">
        <v>815</v>
      </c>
      <c r="F218" s="293" t="str">
        <f t="shared" si="6"/>
        <v>T</v>
      </c>
      <c r="G218" s="291" t="s">
        <v>830</v>
      </c>
      <c r="H218" s="292" t="s">
        <v>831</v>
      </c>
    </row>
    <row r="219" spans="1:8" ht="14.45" customHeight="1">
      <c r="A219" s="293" t="str">
        <f t="shared" si="7"/>
        <v>T</v>
      </c>
      <c r="B219" s="288" t="s">
        <v>832</v>
      </c>
      <c r="C219" s="289" t="s">
        <v>833</v>
      </c>
      <c r="D219" s="290" t="s">
        <v>834</v>
      </c>
      <c r="F219" s="293" t="str">
        <f t="shared" si="6"/>
        <v>T</v>
      </c>
      <c r="G219" s="297" t="s">
        <v>835</v>
      </c>
      <c r="H219" s="292" t="s">
        <v>836</v>
      </c>
    </row>
    <row r="220" spans="1:8" ht="14.45" customHeight="1">
      <c r="A220" s="293" t="str">
        <f t="shared" si="7"/>
        <v>T</v>
      </c>
      <c r="B220" s="288" t="s">
        <v>837</v>
      </c>
      <c r="C220" s="289" t="s">
        <v>830</v>
      </c>
      <c r="D220" s="290" t="s">
        <v>831</v>
      </c>
      <c r="F220" s="293" t="str">
        <f t="shared" si="6"/>
        <v>T</v>
      </c>
      <c r="G220" s="291" t="s">
        <v>838</v>
      </c>
      <c r="H220" s="292" t="s">
        <v>839</v>
      </c>
    </row>
    <row r="221" spans="1:8" ht="14.45" customHeight="1">
      <c r="A221" s="293" t="str">
        <f t="shared" si="7"/>
        <v>T</v>
      </c>
      <c r="B221" s="288" t="s">
        <v>840</v>
      </c>
      <c r="C221" s="289" t="s">
        <v>841</v>
      </c>
      <c r="D221" s="290" t="s">
        <v>842</v>
      </c>
      <c r="F221" s="293" t="str">
        <f t="shared" si="6"/>
        <v>T</v>
      </c>
      <c r="G221" s="291" t="s">
        <v>843</v>
      </c>
      <c r="H221" s="292" t="s">
        <v>844</v>
      </c>
    </row>
    <row r="222" spans="1:8" ht="14.45" customHeight="1">
      <c r="A222" s="293" t="str">
        <f t="shared" si="7"/>
        <v>T</v>
      </c>
      <c r="B222" s="288" t="s">
        <v>845</v>
      </c>
      <c r="C222" s="289" t="s">
        <v>827</v>
      </c>
      <c r="D222" s="290" t="s">
        <v>828</v>
      </c>
      <c r="F222" s="293" t="str">
        <f t="shared" si="6"/>
        <v>T</v>
      </c>
      <c r="G222" s="291" t="s">
        <v>846</v>
      </c>
      <c r="H222" s="292" t="s">
        <v>847</v>
      </c>
    </row>
    <row r="223" spans="1:8" ht="14.45" customHeight="1">
      <c r="A223" s="293" t="str">
        <f t="shared" si="7"/>
        <v>T</v>
      </c>
      <c r="B223" s="288" t="s">
        <v>848</v>
      </c>
      <c r="C223" s="289" t="s">
        <v>838</v>
      </c>
      <c r="D223" s="290" t="s">
        <v>839</v>
      </c>
      <c r="F223" s="293" t="str">
        <f t="shared" si="6"/>
        <v>T</v>
      </c>
      <c r="G223" s="291" t="s">
        <v>849</v>
      </c>
      <c r="H223" s="292" t="s">
        <v>850</v>
      </c>
    </row>
    <row r="224" spans="1:8" ht="14.45" customHeight="1">
      <c r="A224" s="293" t="str">
        <f t="shared" si="7"/>
        <v>T</v>
      </c>
      <c r="B224" s="288" t="s">
        <v>851</v>
      </c>
      <c r="C224" s="289" t="s">
        <v>824</v>
      </c>
      <c r="D224" s="290" t="s">
        <v>825</v>
      </c>
      <c r="F224" s="293" t="str">
        <f t="shared" si="6"/>
        <v>T</v>
      </c>
      <c r="G224" s="291" t="s">
        <v>852</v>
      </c>
      <c r="H224" s="292" t="s">
        <v>853</v>
      </c>
    </row>
    <row r="225" spans="1:8" ht="14.45" customHeight="1">
      <c r="A225" s="293" t="str">
        <f t="shared" si="7"/>
        <v>T</v>
      </c>
      <c r="B225" s="288" t="s">
        <v>854</v>
      </c>
      <c r="C225" s="294" t="s">
        <v>835</v>
      </c>
      <c r="D225" s="290" t="s">
        <v>836</v>
      </c>
      <c r="F225" s="293" t="str">
        <f t="shared" si="6"/>
        <v>T</v>
      </c>
      <c r="G225" s="291" t="s">
        <v>855</v>
      </c>
      <c r="H225" s="292" t="s">
        <v>138</v>
      </c>
    </row>
    <row r="226" spans="1:8" ht="14.45" customHeight="1">
      <c r="A226" s="293" t="str">
        <f t="shared" si="7"/>
        <v>T</v>
      </c>
      <c r="B226" s="288" t="s">
        <v>856</v>
      </c>
      <c r="C226" s="289" t="s">
        <v>849</v>
      </c>
      <c r="D226" s="290" t="s">
        <v>850</v>
      </c>
      <c r="F226" s="293" t="str">
        <f t="shared" si="6"/>
        <v>T</v>
      </c>
      <c r="G226" s="291" t="s">
        <v>857</v>
      </c>
      <c r="H226" s="292" t="s">
        <v>858</v>
      </c>
    </row>
    <row r="227" spans="1:8" ht="14.45" customHeight="1">
      <c r="A227" s="293" t="str">
        <f t="shared" si="7"/>
        <v>T</v>
      </c>
      <c r="B227" s="288" t="s">
        <v>859</v>
      </c>
      <c r="C227" s="289" t="s">
        <v>855</v>
      </c>
      <c r="D227" s="290" t="s">
        <v>138</v>
      </c>
      <c r="F227" s="293" t="str">
        <f t="shared" si="6"/>
        <v>T</v>
      </c>
      <c r="G227" s="291" t="s">
        <v>833</v>
      </c>
      <c r="H227" s="292" t="s">
        <v>834</v>
      </c>
    </row>
    <row r="228" spans="1:8" ht="14.45" customHeight="1">
      <c r="A228" s="293" t="str">
        <f t="shared" si="7"/>
        <v>T</v>
      </c>
      <c r="B228" s="288" t="s">
        <v>860</v>
      </c>
      <c r="C228" s="289" t="s">
        <v>846</v>
      </c>
      <c r="D228" s="290" t="s">
        <v>847</v>
      </c>
      <c r="F228" s="293" t="str">
        <f t="shared" si="6"/>
        <v>T</v>
      </c>
      <c r="G228" s="291" t="s">
        <v>841</v>
      </c>
      <c r="H228" s="292" t="s">
        <v>842</v>
      </c>
    </row>
    <row r="229" spans="1:8" ht="14.45" customHeight="1">
      <c r="A229" s="293" t="str">
        <f t="shared" si="7"/>
        <v>T</v>
      </c>
      <c r="B229" s="288" t="s">
        <v>861</v>
      </c>
      <c r="C229" s="289" t="s">
        <v>852</v>
      </c>
      <c r="D229" s="290" t="s">
        <v>853</v>
      </c>
      <c r="F229" s="293" t="str">
        <f t="shared" si="6"/>
        <v>U</v>
      </c>
      <c r="G229" s="291" t="s">
        <v>862</v>
      </c>
      <c r="H229" s="292" t="s">
        <v>863</v>
      </c>
    </row>
    <row r="230" spans="1:8" ht="14.45" customHeight="1">
      <c r="A230" s="293" t="str">
        <f t="shared" si="7"/>
        <v>T</v>
      </c>
      <c r="B230" s="288" t="s">
        <v>864</v>
      </c>
      <c r="C230" s="289" t="s">
        <v>843</v>
      </c>
      <c r="D230" s="290" t="s">
        <v>844</v>
      </c>
      <c r="F230" s="293" t="str">
        <f t="shared" si="6"/>
        <v>U</v>
      </c>
      <c r="G230" s="291" t="s">
        <v>865</v>
      </c>
      <c r="H230" s="292" t="s">
        <v>866</v>
      </c>
    </row>
    <row r="231" spans="1:8" ht="15" customHeight="1">
      <c r="A231" s="293" t="str">
        <f t="shared" si="7"/>
        <v>T</v>
      </c>
      <c r="B231" s="288" t="s">
        <v>867</v>
      </c>
      <c r="C231" s="294" t="s">
        <v>820</v>
      </c>
      <c r="D231" s="290" t="s">
        <v>96</v>
      </c>
      <c r="F231" s="293" t="str">
        <f t="shared" si="6"/>
        <v>U</v>
      </c>
      <c r="G231" s="297" t="s">
        <v>868</v>
      </c>
      <c r="H231" s="292" t="s">
        <v>869</v>
      </c>
    </row>
    <row r="232" spans="1:8" ht="14.45" customHeight="1">
      <c r="A232" s="293" t="str">
        <f t="shared" si="7"/>
        <v>T</v>
      </c>
      <c r="B232" s="288" t="s">
        <v>870</v>
      </c>
      <c r="C232" s="289" t="s">
        <v>857</v>
      </c>
      <c r="D232" s="290" t="s">
        <v>858</v>
      </c>
      <c r="F232" s="293" t="str">
        <f t="shared" si="6"/>
        <v>U</v>
      </c>
      <c r="G232" s="291" t="s">
        <v>871</v>
      </c>
      <c r="H232" s="292" t="s">
        <v>872</v>
      </c>
    </row>
    <row r="233" spans="1:8" ht="14.45" customHeight="1">
      <c r="A233" s="293" t="str">
        <f t="shared" si="7"/>
        <v>U</v>
      </c>
      <c r="B233" s="288" t="s">
        <v>873</v>
      </c>
      <c r="C233" s="289" t="s">
        <v>865</v>
      </c>
      <c r="D233" s="290" t="s">
        <v>866</v>
      </c>
      <c r="F233" s="293" t="str">
        <f t="shared" si="6"/>
        <v>U</v>
      </c>
      <c r="G233" s="291" t="s">
        <v>874</v>
      </c>
      <c r="H233" s="292" t="s">
        <v>875</v>
      </c>
    </row>
    <row r="234" spans="1:8" ht="14.45" customHeight="1">
      <c r="A234" s="293" t="str">
        <f t="shared" si="7"/>
        <v>U</v>
      </c>
      <c r="B234" s="288" t="s">
        <v>876</v>
      </c>
      <c r="C234" s="289" t="s">
        <v>862</v>
      </c>
      <c r="D234" s="290" t="s">
        <v>863</v>
      </c>
      <c r="F234" s="293" t="str">
        <f t="shared" si="6"/>
        <v>U</v>
      </c>
      <c r="G234" s="291" t="s">
        <v>877</v>
      </c>
      <c r="H234" s="292" t="s">
        <v>878</v>
      </c>
    </row>
    <row r="235" spans="1:8" ht="14.45" customHeight="1">
      <c r="A235" s="293" t="str">
        <f t="shared" si="7"/>
        <v>U</v>
      </c>
      <c r="B235" s="288" t="s">
        <v>879</v>
      </c>
      <c r="C235" s="289" t="s">
        <v>176</v>
      </c>
      <c r="D235" s="290" t="s">
        <v>177</v>
      </c>
      <c r="F235" s="293" t="str">
        <f t="shared" si="6"/>
        <v>V</v>
      </c>
      <c r="G235" s="291" t="s">
        <v>479</v>
      </c>
      <c r="H235" s="292" t="s">
        <v>480</v>
      </c>
    </row>
    <row r="236" spans="1:8" ht="14.45" customHeight="1">
      <c r="A236" s="293" t="str">
        <f t="shared" si="7"/>
        <v>U</v>
      </c>
      <c r="B236" s="288" t="s">
        <v>880</v>
      </c>
      <c r="C236" s="289" t="s">
        <v>415</v>
      </c>
      <c r="D236" s="290" t="s">
        <v>416</v>
      </c>
      <c r="F236" s="293" t="str">
        <f t="shared" si="6"/>
        <v>V</v>
      </c>
      <c r="G236" s="291" t="s">
        <v>756</v>
      </c>
      <c r="H236" s="292" t="s">
        <v>757</v>
      </c>
    </row>
    <row r="237" spans="1:8" ht="14.45" customHeight="1">
      <c r="A237" s="293" t="str">
        <f t="shared" si="7"/>
        <v>U</v>
      </c>
      <c r="B237" s="288" t="s">
        <v>881</v>
      </c>
      <c r="C237" s="289" t="s">
        <v>871</v>
      </c>
      <c r="D237" s="290" t="s">
        <v>872</v>
      </c>
      <c r="F237" s="293" t="str">
        <f t="shared" si="6"/>
        <v>V</v>
      </c>
      <c r="G237" s="291" t="s">
        <v>882</v>
      </c>
      <c r="H237" s="292" t="s">
        <v>883</v>
      </c>
    </row>
    <row r="238" spans="1:8" ht="14.45" customHeight="1">
      <c r="A238" s="293" t="str">
        <f t="shared" si="7"/>
        <v>U</v>
      </c>
      <c r="B238" s="288" t="s">
        <v>884</v>
      </c>
      <c r="C238" s="289" t="s">
        <v>874</v>
      </c>
      <c r="D238" s="290" t="s">
        <v>875</v>
      </c>
      <c r="F238" s="293" t="str">
        <f t="shared" si="6"/>
        <v>V</v>
      </c>
      <c r="G238" s="291" t="s">
        <v>281</v>
      </c>
      <c r="H238" s="292" t="s">
        <v>282</v>
      </c>
    </row>
    <row r="239" spans="1:8" ht="15" customHeight="1">
      <c r="A239" s="293" t="str">
        <f t="shared" si="7"/>
        <v>U</v>
      </c>
      <c r="B239" s="288" t="s">
        <v>885</v>
      </c>
      <c r="C239" s="294" t="s">
        <v>868</v>
      </c>
      <c r="D239" s="290" t="s">
        <v>869</v>
      </c>
      <c r="F239" s="293" t="str">
        <f t="shared" si="6"/>
        <v>V</v>
      </c>
      <c r="G239" s="291" t="s">
        <v>886</v>
      </c>
      <c r="H239" s="292" t="s">
        <v>887</v>
      </c>
    </row>
    <row r="240" spans="1:8" ht="14.45" customHeight="1">
      <c r="A240" s="293" t="str">
        <f t="shared" si="7"/>
        <v>U</v>
      </c>
      <c r="B240" s="288" t="s">
        <v>888</v>
      </c>
      <c r="C240" s="289" t="s">
        <v>877</v>
      </c>
      <c r="D240" s="290" t="s">
        <v>878</v>
      </c>
      <c r="F240" s="293" t="str">
        <f t="shared" si="6"/>
        <v>V</v>
      </c>
      <c r="G240" s="291" t="s">
        <v>889</v>
      </c>
      <c r="H240" s="292" t="s">
        <v>890</v>
      </c>
    </row>
    <row r="241" spans="1:8" ht="14.45" customHeight="1">
      <c r="A241" s="293" t="str">
        <f t="shared" si="7"/>
        <v>V</v>
      </c>
      <c r="B241" s="288" t="s">
        <v>891</v>
      </c>
      <c r="C241" s="289" t="s">
        <v>892</v>
      </c>
      <c r="D241" s="290" t="s">
        <v>893</v>
      </c>
      <c r="F241" s="293" t="str">
        <f t="shared" si="6"/>
        <v>V</v>
      </c>
      <c r="G241" s="291" t="s">
        <v>892</v>
      </c>
      <c r="H241" s="292" t="s">
        <v>893</v>
      </c>
    </row>
    <row r="242" spans="1:8" ht="14.45" customHeight="1">
      <c r="A242" s="293" t="str">
        <f t="shared" si="7"/>
        <v>V</v>
      </c>
      <c r="B242" s="288" t="s">
        <v>894</v>
      </c>
      <c r="C242" s="289" t="s">
        <v>882</v>
      </c>
      <c r="D242" s="290" t="s">
        <v>883</v>
      </c>
      <c r="F242" s="293" t="str">
        <f t="shared" si="6"/>
        <v>W</v>
      </c>
      <c r="G242" s="297" t="s">
        <v>895</v>
      </c>
      <c r="H242" s="292" t="s">
        <v>896</v>
      </c>
    </row>
    <row r="243" spans="1:8" ht="15" customHeight="1">
      <c r="A243" s="293" t="str">
        <f t="shared" si="7"/>
        <v>V</v>
      </c>
      <c r="B243" s="288" t="s">
        <v>897</v>
      </c>
      <c r="C243" s="289" t="s">
        <v>889</v>
      </c>
      <c r="D243" s="290" t="s">
        <v>890</v>
      </c>
      <c r="F243" s="293" t="str">
        <f t="shared" si="6"/>
        <v>W</v>
      </c>
      <c r="G243" s="291" t="s">
        <v>763</v>
      </c>
      <c r="H243" s="292" t="s">
        <v>764</v>
      </c>
    </row>
    <row r="244" spans="1:8" ht="14.45" customHeight="1">
      <c r="A244" s="293" t="str">
        <f t="shared" si="7"/>
        <v>V</v>
      </c>
      <c r="B244" s="288" t="s">
        <v>898</v>
      </c>
      <c r="C244" s="289" t="s">
        <v>886</v>
      </c>
      <c r="D244" s="290" t="s">
        <v>887</v>
      </c>
      <c r="F244" s="293" t="str">
        <f t="shared" si="6"/>
        <v>X</v>
      </c>
      <c r="G244" s="291" t="s">
        <v>543</v>
      </c>
      <c r="H244" s="292" t="s">
        <v>544</v>
      </c>
    </row>
    <row r="245" spans="1:8" ht="15" customHeight="1">
      <c r="A245" s="293" t="str">
        <f t="shared" si="7"/>
        <v>W</v>
      </c>
      <c r="B245" s="288" t="s">
        <v>899</v>
      </c>
      <c r="C245" s="294" t="s">
        <v>895</v>
      </c>
      <c r="D245" s="290" t="s">
        <v>896</v>
      </c>
      <c r="F245" s="293" t="str">
        <f t="shared" si="6"/>
        <v>Y</v>
      </c>
      <c r="G245" s="291" t="s">
        <v>900</v>
      </c>
      <c r="H245" s="292" t="s">
        <v>901</v>
      </c>
    </row>
    <row r="246" spans="1:8">
      <c r="A246" s="293" t="str">
        <f t="shared" si="7"/>
        <v>W</v>
      </c>
      <c r="B246" s="288" t="s">
        <v>902</v>
      </c>
      <c r="C246" s="295" t="s">
        <v>376</v>
      </c>
      <c r="D246" s="290" t="s">
        <v>377</v>
      </c>
      <c r="F246" s="293" t="str">
        <f>MID(H246,1,1)</f>
        <v>Y</v>
      </c>
      <c r="G246" s="297" t="s">
        <v>629</v>
      </c>
      <c r="H246" s="292" t="s">
        <v>630</v>
      </c>
    </row>
    <row r="247" spans="1:8" ht="14.45" customHeight="1">
      <c r="A247" s="293" t="str">
        <f t="shared" si="7"/>
        <v>Y</v>
      </c>
      <c r="B247" s="288" t="s">
        <v>903</v>
      </c>
      <c r="C247" s="289" t="s">
        <v>900</v>
      </c>
      <c r="D247" s="290" t="s">
        <v>901</v>
      </c>
      <c r="F247" s="293" t="str">
        <f>MID(H247,1,1)</f>
        <v>Z</v>
      </c>
      <c r="G247" s="291" t="s">
        <v>804</v>
      </c>
      <c r="H247" s="292" t="s">
        <v>805</v>
      </c>
    </row>
    <row r="248" spans="1:8">
      <c r="A248" s="293" t="str">
        <f t="shared" si="7"/>
        <v>Z</v>
      </c>
      <c r="B248" s="288" t="s">
        <v>904</v>
      </c>
      <c r="C248" s="289" t="s">
        <v>905</v>
      </c>
      <c r="D248" s="290" t="s">
        <v>906</v>
      </c>
      <c r="F248" s="293" t="str">
        <f>MID(H248,1,1)</f>
        <v>Z</v>
      </c>
      <c r="G248" s="291" t="s">
        <v>905</v>
      </c>
      <c r="H248" s="292" t="s">
        <v>906</v>
      </c>
    </row>
    <row r="249" spans="1:8">
      <c r="A249" s="298" t="str">
        <f t="shared" si="7"/>
        <v>Z</v>
      </c>
      <c r="B249" s="288" t="s">
        <v>907</v>
      </c>
      <c r="C249" s="289" t="s">
        <v>908</v>
      </c>
      <c r="D249" s="290" t="s">
        <v>909</v>
      </c>
      <c r="F249" s="298" t="str">
        <f>MID(H249,1,1)</f>
        <v>Z</v>
      </c>
      <c r="G249" s="291" t="s">
        <v>908</v>
      </c>
      <c r="H249" s="292" t="s">
        <v>909</v>
      </c>
    </row>
  </sheetData>
  <sheetProtection algorithmName="SHA-512" hashValue="dexUAMuZCpIHDL622E5wldxVLnGcXYjqOP2zfn77xnJyyx2svAbaxMXIQkpzA3rXZODJqU9VO5PtKNsYnqhwZg==" saltValue="MTDJrAvPKM2+BlOlg/OgXg==" spinCount="100000" sheet="1" objects="1" scenarios="1"/>
  <conditionalFormatting sqref="A2:A120 A122:A249 F2:F249">
    <cfRule type="expression" dxfId="109" priority="3">
      <formula>A2&lt;&gt;A1</formula>
    </cfRule>
  </conditionalFormatting>
  <conditionalFormatting sqref="F2:H244 F246:H249 F245">
    <cfRule type="expression" dxfId="108" priority="2">
      <formula>$F2&lt;&gt;$F1</formula>
    </cfRule>
  </conditionalFormatting>
  <conditionalFormatting sqref="A2:D120 A122:D249">
    <cfRule type="expression" dxfId="107" priority="1">
      <formula>$A2&lt;&gt;$A1</formula>
    </cfRule>
  </conditionalFormatting>
  <conditionalFormatting sqref="A121 F245">
    <cfRule type="expression" dxfId="106" priority="4">
      <formula>A121&lt;&gt;A119</formula>
    </cfRule>
  </conditionalFormatting>
  <conditionalFormatting sqref="A121:D121">
    <cfRule type="expression" dxfId="105" priority="5">
      <formula>$A121&lt;&gt;$A119</formula>
    </cfRule>
  </conditionalFormatting>
  <conditionalFormatting sqref="F245:H245">
    <cfRule type="expression" dxfId="104" priority="6">
      <formula>$F245&lt;&gt;$F243</formula>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theme="4"/>
  </sheetPr>
  <dimension ref="A1:M20"/>
  <sheetViews>
    <sheetView showGridLines="0" topLeftCell="C5" workbookViewId="0">
      <selection activeCell="C5" sqref="C5:E5"/>
    </sheetView>
  </sheetViews>
  <sheetFormatPr defaultRowHeight="15"/>
  <cols>
    <col min="1" max="1" width="3.28515625" style="45" hidden="1" customWidth="1"/>
    <col min="2" max="2" width="5.85546875" style="46" hidden="1" customWidth="1"/>
    <col min="3" max="3" width="59.85546875" bestFit="1" customWidth="1"/>
    <col min="4" max="4" width="23.42578125" bestFit="1" customWidth="1"/>
    <col min="5" max="5" width="15.28515625" style="124" bestFit="1" customWidth="1"/>
    <col min="6" max="13" width="15.28515625" bestFit="1" customWidth="1"/>
  </cols>
  <sheetData>
    <row r="1" spans="1:13" hidden="1">
      <c r="B1" s="46" t="e">
        <f t="shared" ref="B1" ca="1" si="0">IF(OFFSET(B1,-1,-1)="HE",1,IF(OFFSET(B1,0,-1)="TT",3,IF(OFFSET(B1,-1,0)=1,2,1)))</f>
        <v>#REF!</v>
      </c>
      <c r="C1" s="57" t="e">
        <f ca="1">IF(OFFSET(C1,0,-2)="TT","TOTAL",""&amp;INDIRECT("'Beneficiaries List'!B" &amp; MATCH(A1,'Beneficiaries List'!J:J,0),TRUE))</f>
        <v>#N/A</v>
      </c>
      <c r="D1" s="57" t="e">
        <f ca="1">IF(OFFSET(C1,0,-2)="TT","Consortium",""&amp;INDIRECT("'Beneficiaries List'!C" &amp; MATCH(A1,'Beneficiaries List'!J:J,0),TRUE))</f>
        <v>#N/A</v>
      </c>
      <c r="E1" s="147" t="e">
        <f ca="1">IF(OFFSET(E1,ROW(E$4)-ROW(E1),0)="TT",SUM(INDIRECT(ADDRESS(ROW(E1),COLUMN($D1)+1)&amp;":"&amp;ADDRESS(ROW(E1),COLUMN(E1)-1),TRUE)),IF($A1="TT",SUM(INDIRECT(ADDRESS(MATCH("HE",$A:$A,0)+1,COLUMN(E1))&amp;":"&amp;ADDRESS(ROW(E1)-1,COLUMN(E1)),TRUE)),INDIRECT(CELL("address",OFFSET(INDIRECT("'BE " &amp; TEXT(INT($A1),"000") &amp; "'!A1",TRUE),MATCH("STARTWP" &amp; TEXT(OFFSET(E1,ROW(E$4)-ROW(E1),0),"000"),INDIRECT("'BE " &amp; TEXT(INT($A1),"000") &amp; "'!A:A",TRUE),0),MATCH($A1,INDIRECT("'BE " &amp; TEXT(INT($A1),"000") &amp; "'!2:2",TRUE),0)-2)),TRUE)))</f>
        <v>#REF!</v>
      </c>
    </row>
    <row r="2" spans="1:13" ht="21" hidden="1">
      <c r="C2" s="46" t="s">
        <v>164</v>
      </c>
      <c r="D2" s="95">
        <v>999999999</v>
      </c>
      <c r="E2" s="384">
        <v>999999999.99000001</v>
      </c>
      <c r="F2" s="384">
        <v>999999999.99000001</v>
      </c>
      <c r="G2" s="384">
        <v>999999999.99000001</v>
      </c>
      <c r="H2" s="384">
        <v>999999999.99000001</v>
      </c>
      <c r="I2" s="384">
        <v>999999999.99000001</v>
      </c>
      <c r="J2" s="384">
        <v>999999999.99000001</v>
      </c>
      <c r="K2" s="384">
        <v>999999999.99000001</v>
      </c>
      <c r="L2" s="384">
        <v>999999999.99000001</v>
      </c>
      <c r="M2" s="384">
        <v>999999999.99000001</v>
      </c>
    </row>
    <row r="3" spans="1:13" hidden="1">
      <c r="B3" s="47" t="str">
        <f>ADDRESS(E3,COLUMN(C1))</f>
        <v>$C$7</v>
      </c>
      <c r="C3" s="48">
        <f>MATCH("TT",A:A,0)</f>
        <v>19</v>
      </c>
      <c r="D3" s="48">
        <f>MATCH("TT",4:4,0)</f>
        <v>13</v>
      </c>
      <c r="E3" s="149">
        <f>MATCH("HE",A:A,0)+1</f>
        <v>7</v>
      </c>
    </row>
    <row r="4" spans="1:13" hidden="1">
      <c r="C4" s="46" t="s">
        <v>728</v>
      </c>
      <c r="D4" s="46"/>
      <c r="E4" s="148">
        <v>1</v>
      </c>
      <c r="F4">
        <v>2</v>
      </c>
      <c r="G4">
        <v>3</v>
      </c>
      <c r="H4">
        <v>4</v>
      </c>
      <c r="I4">
        <v>5</v>
      </c>
      <c r="J4">
        <v>6</v>
      </c>
      <c r="K4">
        <v>7</v>
      </c>
      <c r="L4">
        <v>8</v>
      </c>
      <c r="M4" t="s">
        <v>138</v>
      </c>
    </row>
    <row r="5" spans="1:13" ht="42">
      <c r="A5" s="111" t="s">
        <v>161</v>
      </c>
      <c r="C5" s="489" t="s">
        <v>910</v>
      </c>
      <c r="D5" s="489"/>
      <c r="E5" s="489"/>
    </row>
    <row r="6" spans="1:13" ht="45">
      <c r="A6" s="45" t="s">
        <v>163</v>
      </c>
      <c r="B6" s="267" t="s">
        <v>32</v>
      </c>
      <c r="C6" s="92" t="s">
        <v>51</v>
      </c>
      <c r="D6" s="93" t="s">
        <v>53</v>
      </c>
      <c r="E6" s="151" t="str">
        <f ca="1">IF(OFFSET(E6,-2,0)="TT",IF($C4="O","Maximum
Grant
Amount",IF($C4="PM","Total
for project","")),INDIRECT("'Work Packages List'!A" &amp; MATCH(OFFSET(E6,-2,0),'Work Packages List'!$J:$J,0),TRUE) &amp; "
" &amp; INDIRECT("'Work Packages List'!B" &amp; MATCH(OFFSET(E6,-2,0),'Work Packages List'!$J:$J,0),TRUE))</f>
        <v xml:space="preserve">WP 001
</v>
      </c>
      <c r="F6" s="151" t="str">
        <f ca="1">IF(OFFSET(F6,-2,0)="TT",IF($C4="O","Maximum
Grant
Amount",IF($C4="PM","Total
for project","")),INDIRECT("'Work Packages List'!A" &amp; MATCH(OFFSET(F6,-2,0),'Work Packages List'!$J:$J,0),TRUE) &amp; "
" &amp; INDIRECT("'Work Packages List'!B" &amp; MATCH(OFFSET(F6,-2,0),'Work Packages List'!$J:$J,0),TRUE))</f>
        <v xml:space="preserve">WP 002
</v>
      </c>
      <c r="G6" s="151" t="str">
        <f ca="1">IF(OFFSET(G6,-2,0)="TT",IF($C4="O","Maximum
Grant
Amount",IF($C4="PM","Total
for project","")),INDIRECT("'Work Packages List'!A" &amp; MATCH(OFFSET(G6,-2,0),'Work Packages List'!$J:$J,0),TRUE) &amp; "
" &amp; INDIRECT("'Work Packages List'!B" &amp; MATCH(OFFSET(G6,-2,0),'Work Packages List'!$J:$J,0),TRUE))</f>
        <v xml:space="preserve">WP 003
</v>
      </c>
      <c r="H6" s="151" t="str">
        <f ca="1">IF(OFFSET(H6,-2,0)="TT",IF($C4="O","Maximum
Grant
Amount",IF($C4="PM","Total
for project","")),INDIRECT("'Work Packages List'!A" &amp; MATCH(OFFSET(H6,-2,0),'Work Packages List'!$J:$J,0),TRUE) &amp; "
" &amp; INDIRECT("'Work Packages List'!B" &amp; MATCH(OFFSET(H6,-2,0),'Work Packages List'!$J:$J,0),TRUE))</f>
        <v xml:space="preserve">WP 004
</v>
      </c>
      <c r="I6" s="151" t="str">
        <f ca="1">IF(OFFSET(I6,-2,0)="TT",IF($C4="O","Maximum
Grant
Amount",IF($C4="PM","Total
for project","")),INDIRECT("'Work Packages List'!A" &amp; MATCH(OFFSET(I6,-2,0),'Work Packages List'!$J:$J,0),TRUE) &amp; "
" &amp; INDIRECT("'Work Packages List'!B" &amp; MATCH(OFFSET(I6,-2,0),'Work Packages List'!$J:$J,0),TRUE))</f>
        <v xml:space="preserve">WP 005
</v>
      </c>
      <c r="J6" s="151" t="str">
        <f ca="1">IF(OFFSET(J6,-2,0)="TT",IF($C4="O","Maximum
Grant
Amount",IF($C4="PM","Total
for project","")),INDIRECT("'Work Packages List'!A" &amp; MATCH(OFFSET(J6,-2,0),'Work Packages List'!$J:$J,0),TRUE) &amp; "
" &amp; INDIRECT("'Work Packages List'!B" &amp; MATCH(OFFSET(J6,-2,0),'Work Packages List'!$J:$J,0),TRUE))</f>
        <v xml:space="preserve">WP 006
</v>
      </c>
      <c r="K6" s="151" t="str">
        <f ca="1">IF(OFFSET(K6,-2,0)="TT",IF($C4="O","Maximum
Grant
Amount",IF($C4="PM","Total
for project","")),INDIRECT("'Work Packages List'!A" &amp; MATCH(OFFSET(K6,-2,0),'Work Packages List'!$J:$J,0),TRUE) &amp; "
" &amp; INDIRECT("'Work Packages List'!B" &amp; MATCH(OFFSET(K6,-2,0),'Work Packages List'!$J:$J,0),TRUE))</f>
        <v xml:space="preserve">WP 007
</v>
      </c>
      <c r="L6" s="151" t="str">
        <f ca="1">IF(OFFSET(L6,-2,0)="TT",IF($C4="O","Maximum
Grant
Amount",IF($C4="PM","Total
for project","")),INDIRECT("'Work Packages List'!A" &amp; MATCH(OFFSET(L6,-2,0),'Work Packages List'!$J:$J,0),TRUE) &amp; "
" &amp; INDIRECT("'Work Packages List'!B" &amp; MATCH(OFFSET(L6,-2,0),'Work Packages List'!$J:$J,0),TRUE))</f>
        <v xml:space="preserve">WP 008
</v>
      </c>
      <c r="M6" s="151" t="str">
        <f ca="1">IF(OFFSET(M6,-2,0)="TT",IF($C4="O","Maximum
Grant
Amount",IF($C4="PM","Total
for project","")),INDIRECT("'Work Packages List'!A" &amp; MATCH(OFFSET(M6,-2,0),'Work Packages List'!$J:$J,0),TRUE) &amp; "
" &amp; INDIRECT("'Work Packages List'!B" &amp; MATCH(OFFSET(M6,-2,0),'Work Packages List'!$J:$J,0),TRUE))</f>
        <v>Total
for project</v>
      </c>
    </row>
    <row r="7" spans="1:13">
      <c r="A7">
        <v>1</v>
      </c>
      <c r="B7" s="46">
        <f t="shared" ref="B7:B19" ca="1" si="1">IF(OFFSET(B7,-1,-1)="HE",1,IF(OFFSET(B7,0,-1)="TT",3,IF(OFFSET(B7,-1,0)=1,2,1)))</f>
        <v>1</v>
      </c>
      <c r="C7" s="57" t="str">
        <f ca="1">IF(OFFSET(C7,0,-2)="TT","TOTAL",""&amp;INDIRECT("'Beneficiaries List'!B" &amp; MATCH(A7,'Beneficiaries List'!J:J,0),TRUE))</f>
        <v/>
      </c>
      <c r="D7" s="57" t="str">
        <f ca="1">IF(OFFSET(C7,0,-2)="TT","Consortium",""&amp;INDIRECT("'Beneficiaries List'!C" &amp; MATCH(A7,'Beneficiaries List'!J:J,0),TRUE))</f>
        <v/>
      </c>
      <c r="E7" s="147">
        <f t="shared" ref="E7:M19" ca="1" si="2">IF(OFFSET(E7,ROW(E$4)-ROW(E7),0)="TT",SUM(INDIRECT(ADDRESS(ROW(E7),COLUMN($D7)+1)&amp;":"&amp;ADDRESS(ROW(E7),COLUMN(E7)-1),TRUE)),IF($A7="TT",SUM(INDIRECT(ADDRESS(MATCH("HE",$A:$A,0)+1,COLUMN(E7))&amp;":"&amp;ADDRESS(ROW(E7)-1,COLUMN(E7)),TRUE)),INDIRECT(CELL("address",OFFSET(INDIRECT("'BE " &amp; TEXT(INT($A7),"000") &amp; "'!A1",TRUE),MATCH("STARTWP" &amp; TEXT(OFFSET(E7,ROW(E$4)-ROW(E7),0),"000"),INDIRECT("'BE " &amp; TEXT(INT($A7),"000") &amp; "'!A:A",TRUE),0),MATCH($A7,INDIRECT("'BE " &amp; TEXT(INT($A7),"000") &amp; "'!2:2",TRUE),0)-2)),TRUE)))</f>
        <v>0</v>
      </c>
      <c r="F7" s="147">
        <f t="shared" ca="1" si="2"/>
        <v>0</v>
      </c>
      <c r="G7" s="147">
        <f t="shared" ca="1" si="2"/>
        <v>0</v>
      </c>
      <c r="H7" s="147">
        <f t="shared" ca="1" si="2"/>
        <v>0</v>
      </c>
      <c r="I7" s="147">
        <f t="shared" ca="1" si="2"/>
        <v>0</v>
      </c>
      <c r="J7" s="147">
        <f t="shared" ca="1" si="2"/>
        <v>0</v>
      </c>
      <c r="K7" s="147">
        <f t="shared" ca="1" si="2"/>
        <v>0</v>
      </c>
      <c r="L7" s="147">
        <f t="shared" ca="1" si="2"/>
        <v>0</v>
      </c>
      <c r="M7" s="147">
        <f t="shared" ca="1" si="2"/>
        <v>0</v>
      </c>
    </row>
    <row r="8" spans="1:13">
      <c r="A8">
        <v>2</v>
      </c>
      <c r="B8" s="46">
        <f t="shared" ca="1" si="1"/>
        <v>2</v>
      </c>
      <c r="C8" s="57" t="str">
        <f ca="1">IF(OFFSET(C8,0,-2)="TT","TOTAL",""&amp;INDIRECT("'Beneficiaries List'!B" &amp; MATCH(A8,'Beneficiaries List'!J:J,0),TRUE))</f>
        <v/>
      </c>
      <c r="D8" s="57" t="str">
        <f ca="1">IF(OFFSET(C8,0,-2)="TT","Consortium",""&amp;INDIRECT("'Beneficiaries List'!C" &amp; MATCH(A8,'Beneficiaries List'!J:J,0),TRUE))</f>
        <v/>
      </c>
      <c r="E8" s="147">
        <f t="shared" ca="1" si="2"/>
        <v>0</v>
      </c>
      <c r="F8" s="147">
        <f t="shared" ca="1" si="2"/>
        <v>0</v>
      </c>
      <c r="G8" s="147">
        <f t="shared" ca="1" si="2"/>
        <v>0</v>
      </c>
      <c r="H8" s="147">
        <f t="shared" ca="1" si="2"/>
        <v>0</v>
      </c>
      <c r="I8" s="147">
        <f t="shared" ca="1" si="2"/>
        <v>0</v>
      </c>
      <c r="J8" s="147">
        <f t="shared" ca="1" si="2"/>
        <v>0</v>
      </c>
      <c r="K8" s="147">
        <f t="shared" ca="1" si="2"/>
        <v>0</v>
      </c>
      <c r="L8" s="147">
        <f t="shared" ca="1" si="2"/>
        <v>0</v>
      </c>
      <c r="M8" s="147">
        <f t="shared" ca="1" si="2"/>
        <v>0</v>
      </c>
    </row>
    <row r="9" spans="1:13">
      <c r="A9">
        <v>3</v>
      </c>
      <c r="B9" s="46">
        <f t="shared" ca="1" si="1"/>
        <v>1</v>
      </c>
      <c r="C9" s="57" t="str">
        <f ca="1">IF(OFFSET(C9,0,-2)="TT","TOTAL",""&amp;INDIRECT("'Beneficiaries List'!B" &amp; MATCH(A9,'Beneficiaries List'!J:J,0),TRUE))</f>
        <v/>
      </c>
      <c r="D9" s="57" t="str">
        <f ca="1">IF(OFFSET(C9,0,-2)="TT","Consortium",""&amp;INDIRECT("'Beneficiaries List'!C" &amp; MATCH(A9,'Beneficiaries List'!J:J,0),TRUE))</f>
        <v/>
      </c>
      <c r="E9" s="147">
        <f t="shared" ca="1" si="2"/>
        <v>0</v>
      </c>
      <c r="F9" s="147">
        <f t="shared" ca="1" si="2"/>
        <v>0</v>
      </c>
      <c r="G9" s="147">
        <f t="shared" ca="1" si="2"/>
        <v>0</v>
      </c>
      <c r="H9" s="147">
        <f t="shared" ca="1" si="2"/>
        <v>0</v>
      </c>
      <c r="I9" s="147">
        <f t="shared" ca="1" si="2"/>
        <v>0</v>
      </c>
      <c r="J9" s="147">
        <f t="shared" ca="1" si="2"/>
        <v>0</v>
      </c>
      <c r="K9" s="147">
        <f t="shared" ca="1" si="2"/>
        <v>0</v>
      </c>
      <c r="L9" s="147">
        <f t="shared" ca="1" si="2"/>
        <v>0</v>
      </c>
      <c r="M9" s="147">
        <f t="shared" ca="1" si="2"/>
        <v>0</v>
      </c>
    </row>
    <row r="10" spans="1:13">
      <c r="A10">
        <v>4</v>
      </c>
      <c r="B10" s="46">
        <f t="shared" ca="1" si="1"/>
        <v>2</v>
      </c>
      <c r="C10" s="57" t="str">
        <f ca="1">IF(OFFSET(C10,0,-2)="TT","TOTAL",""&amp;INDIRECT("'Beneficiaries List'!B" &amp; MATCH(A10,'Beneficiaries List'!J:J,0),TRUE))</f>
        <v/>
      </c>
      <c r="D10" s="57" t="str">
        <f ca="1">IF(OFFSET(C10,0,-2)="TT","Consortium",""&amp;INDIRECT("'Beneficiaries List'!C" &amp; MATCH(A10,'Beneficiaries List'!J:J,0),TRUE))</f>
        <v/>
      </c>
      <c r="E10" s="147">
        <f t="shared" ca="1" si="2"/>
        <v>0</v>
      </c>
      <c r="F10" s="147">
        <f t="shared" ca="1" si="2"/>
        <v>0</v>
      </c>
      <c r="G10" s="147">
        <f t="shared" ca="1" si="2"/>
        <v>0</v>
      </c>
      <c r="H10" s="147">
        <f t="shared" ca="1" si="2"/>
        <v>0</v>
      </c>
      <c r="I10" s="147">
        <f t="shared" ca="1" si="2"/>
        <v>0</v>
      </c>
      <c r="J10" s="147">
        <f t="shared" ca="1" si="2"/>
        <v>0</v>
      </c>
      <c r="K10" s="147">
        <f t="shared" ca="1" si="2"/>
        <v>0</v>
      </c>
      <c r="L10" s="147">
        <f t="shared" ca="1" si="2"/>
        <v>0</v>
      </c>
      <c r="M10" s="147">
        <f t="shared" ca="1" si="2"/>
        <v>0</v>
      </c>
    </row>
    <row r="11" spans="1:13">
      <c r="A11">
        <v>5</v>
      </c>
      <c r="B11" s="46">
        <f t="shared" ca="1" si="1"/>
        <v>1</v>
      </c>
      <c r="C11" s="57" t="str">
        <f ca="1">IF(OFFSET(C11,0,-2)="TT","TOTAL",""&amp;INDIRECT("'Beneficiaries List'!B" &amp; MATCH(A11,'Beneficiaries List'!J:J,0),TRUE))</f>
        <v/>
      </c>
      <c r="D11" s="57" t="str">
        <f ca="1">IF(OFFSET(C11,0,-2)="TT","Consortium",""&amp;INDIRECT("'Beneficiaries List'!C" &amp; MATCH(A11,'Beneficiaries List'!J:J,0),TRUE))</f>
        <v/>
      </c>
      <c r="E11" s="147">
        <f t="shared" ca="1" si="2"/>
        <v>0</v>
      </c>
      <c r="F11" s="147">
        <f t="shared" ca="1" si="2"/>
        <v>0</v>
      </c>
      <c r="G11" s="147">
        <f t="shared" ca="1" si="2"/>
        <v>0</v>
      </c>
      <c r="H11" s="147">
        <f t="shared" ca="1" si="2"/>
        <v>0</v>
      </c>
      <c r="I11" s="147">
        <f t="shared" ca="1" si="2"/>
        <v>0</v>
      </c>
      <c r="J11" s="147">
        <f t="shared" ca="1" si="2"/>
        <v>0</v>
      </c>
      <c r="K11" s="147">
        <f t="shared" ca="1" si="2"/>
        <v>0</v>
      </c>
      <c r="L11" s="147">
        <f t="shared" ca="1" si="2"/>
        <v>0</v>
      </c>
      <c r="M11" s="147">
        <f t="shared" ca="1" si="2"/>
        <v>0</v>
      </c>
    </row>
    <row r="12" spans="1:13">
      <c r="A12">
        <v>6</v>
      </c>
      <c r="B12" s="46">
        <f t="shared" ca="1" si="1"/>
        <v>2</v>
      </c>
      <c r="C12" s="57" t="str">
        <f ca="1">IF(OFFSET(C12,0,-2)="TT","TOTAL",""&amp;INDIRECT("'Beneficiaries List'!B" &amp; MATCH(A12,'Beneficiaries List'!J:J,0),TRUE))</f>
        <v/>
      </c>
      <c r="D12" s="57" t="str">
        <f ca="1">IF(OFFSET(C12,0,-2)="TT","Consortium",""&amp;INDIRECT("'Beneficiaries List'!C" &amp; MATCH(A12,'Beneficiaries List'!J:J,0),TRUE))</f>
        <v/>
      </c>
      <c r="E12" s="147">
        <f t="shared" ca="1" si="2"/>
        <v>0</v>
      </c>
      <c r="F12" s="147">
        <f t="shared" ca="1" si="2"/>
        <v>0</v>
      </c>
      <c r="G12" s="147">
        <f t="shared" ca="1" si="2"/>
        <v>0</v>
      </c>
      <c r="H12" s="147">
        <f t="shared" ca="1" si="2"/>
        <v>0</v>
      </c>
      <c r="I12" s="147">
        <f t="shared" ca="1" si="2"/>
        <v>0</v>
      </c>
      <c r="J12" s="147">
        <f t="shared" ca="1" si="2"/>
        <v>0</v>
      </c>
      <c r="K12" s="147">
        <f t="shared" ca="1" si="2"/>
        <v>0</v>
      </c>
      <c r="L12" s="147">
        <f t="shared" ca="1" si="2"/>
        <v>0</v>
      </c>
      <c r="M12" s="147">
        <f t="shared" ca="1" si="2"/>
        <v>0</v>
      </c>
    </row>
    <row r="13" spans="1:13">
      <c r="A13">
        <v>7</v>
      </c>
      <c r="B13" s="46">
        <f t="shared" ca="1" si="1"/>
        <v>1</v>
      </c>
      <c r="C13" s="57" t="str">
        <f ca="1">IF(OFFSET(C13,0,-2)="TT","TOTAL",""&amp;INDIRECT("'Beneficiaries List'!B" &amp; MATCH(A13,'Beneficiaries List'!J:J,0),TRUE))</f>
        <v/>
      </c>
      <c r="D13" s="57" t="str">
        <f ca="1">IF(OFFSET(C13,0,-2)="TT","Consortium",""&amp;INDIRECT("'Beneficiaries List'!C" &amp; MATCH(A13,'Beneficiaries List'!J:J,0),TRUE))</f>
        <v/>
      </c>
      <c r="E13" s="147">
        <f t="shared" ca="1" si="2"/>
        <v>0</v>
      </c>
      <c r="F13" s="147">
        <f t="shared" ca="1" si="2"/>
        <v>0</v>
      </c>
      <c r="G13" s="147">
        <f t="shared" ca="1" si="2"/>
        <v>0</v>
      </c>
      <c r="H13" s="147">
        <f t="shared" ca="1" si="2"/>
        <v>0</v>
      </c>
      <c r="I13" s="147">
        <f t="shared" ca="1" si="2"/>
        <v>0</v>
      </c>
      <c r="J13" s="147">
        <f t="shared" ca="1" si="2"/>
        <v>0</v>
      </c>
      <c r="K13" s="147">
        <f t="shared" ca="1" si="2"/>
        <v>0</v>
      </c>
      <c r="L13" s="147">
        <f t="shared" ca="1" si="2"/>
        <v>0</v>
      </c>
      <c r="M13" s="147">
        <f t="shared" ca="1" si="2"/>
        <v>0</v>
      </c>
    </row>
    <row r="14" spans="1:13">
      <c r="A14">
        <v>8</v>
      </c>
      <c r="B14" s="46">
        <f t="shared" ca="1" si="1"/>
        <v>2</v>
      </c>
      <c r="C14" s="57" t="str">
        <f ca="1">IF(OFFSET(C14,0,-2)="TT","TOTAL",""&amp;INDIRECT("'Beneficiaries List'!B" &amp; MATCH(A14,'Beneficiaries List'!J:J,0),TRUE))</f>
        <v/>
      </c>
      <c r="D14" s="57" t="str">
        <f ca="1">IF(OFFSET(C14,0,-2)="TT","Consortium",""&amp;INDIRECT("'Beneficiaries List'!C" &amp; MATCH(A14,'Beneficiaries List'!J:J,0),TRUE))</f>
        <v/>
      </c>
      <c r="E14" s="147">
        <f t="shared" ca="1" si="2"/>
        <v>0</v>
      </c>
      <c r="F14" s="147">
        <f t="shared" ca="1" si="2"/>
        <v>0</v>
      </c>
      <c r="G14" s="147">
        <f t="shared" ca="1" si="2"/>
        <v>0</v>
      </c>
      <c r="H14" s="147">
        <f t="shared" ca="1" si="2"/>
        <v>0</v>
      </c>
      <c r="I14" s="147">
        <f t="shared" ca="1" si="2"/>
        <v>0</v>
      </c>
      <c r="J14" s="147">
        <f t="shared" ca="1" si="2"/>
        <v>0</v>
      </c>
      <c r="K14" s="147">
        <f t="shared" ca="1" si="2"/>
        <v>0</v>
      </c>
      <c r="L14" s="147">
        <f t="shared" ca="1" si="2"/>
        <v>0</v>
      </c>
      <c r="M14" s="147">
        <f t="shared" ca="1" si="2"/>
        <v>0</v>
      </c>
    </row>
    <row r="15" spans="1:13">
      <c r="A15">
        <v>9</v>
      </c>
      <c r="B15" s="46">
        <f t="shared" ca="1" si="1"/>
        <v>1</v>
      </c>
      <c r="C15" s="57" t="str">
        <f ca="1">IF(OFFSET(C15,0,-2)="TT","TOTAL",""&amp;INDIRECT("'Beneficiaries List'!B" &amp; MATCH(A15,'Beneficiaries List'!J:J,0),TRUE))</f>
        <v/>
      </c>
      <c r="D15" s="57" t="str">
        <f ca="1">IF(OFFSET(C15,0,-2)="TT","Consortium",""&amp;INDIRECT("'Beneficiaries List'!C" &amp; MATCH(A15,'Beneficiaries List'!J:J,0),TRUE))</f>
        <v/>
      </c>
      <c r="E15" s="147">
        <f t="shared" ca="1" si="2"/>
        <v>0</v>
      </c>
      <c r="F15" s="147">
        <f t="shared" ca="1" si="2"/>
        <v>0</v>
      </c>
      <c r="G15" s="147">
        <f t="shared" ca="1" si="2"/>
        <v>0</v>
      </c>
      <c r="H15" s="147">
        <f t="shared" ca="1" si="2"/>
        <v>0</v>
      </c>
      <c r="I15" s="147">
        <f t="shared" ca="1" si="2"/>
        <v>0</v>
      </c>
      <c r="J15" s="147">
        <f t="shared" ca="1" si="2"/>
        <v>0</v>
      </c>
      <c r="K15" s="147">
        <f t="shared" ca="1" si="2"/>
        <v>0</v>
      </c>
      <c r="L15" s="147">
        <f t="shared" ca="1" si="2"/>
        <v>0</v>
      </c>
      <c r="M15" s="147">
        <f t="shared" ca="1" si="2"/>
        <v>0</v>
      </c>
    </row>
    <row r="16" spans="1:13">
      <c r="A16">
        <v>10</v>
      </c>
      <c r="B16" s="46">
        <f t="shared" ca="1" si="1"/>
        <v>2</v>
      </c>
      <c r="C16" s="57" t="str">
        <f ca="1">IF(OFFSET(C16,0,-2)="TT","TOTAL",""&amp;INDIRECT("'Beneficiaries List'!B" &amp; MATCH(A16,'Beneficiaries List'!J:J,0),TRUE))</f>
        <v/>
      </c>
      <c r="D16" s="57" t="str">
        <f ca="1">IF(OFFSET(C16,0,-2)="TT","Consortium",""&amp;INDIRECT("'Beneficiaries List'!C" &amp; MATCH(A16,'Beneficiaries List'!J:J,0),TRUE))</f>
        <v/>
      </c>
      <c r="E16" s="147">
        <f t="shared" ca="1" si="2"/>
        <v>0</v>
      </c>
      <c r="F16" s="147">
        <f t="shared" ca="1" si="2"/>
        <v>0</v>
      </c>
      <c r="G16" s="147">
        <f t="shared" ca="1" si="2"/>
        <v>0</v>
      </c>
      <c r="H16" s="147">
        <f t="shared" ca="1" si="2"/>
        <v>0</v>
      </c>
      <c r="I16" s="147">
        <f t="shared" ca="1" si="2"/>
        <v>0</v>
      </c>
      <c r="J16" s="147">
        <f t="shared" ca="1" si="2"/>
        <v>0</v>
      </c>
      <c r="K16" s="147">
        <f t="shared" ca="1" si="2"/>
        <v>0</v>
      </c>
      <c r="L16" s="147">
        <f t="shared" ca="1" si="2"/>
        <v>0</v>
      </c>
      <c r="M16" s="147">
        <f t="shared" ca="1" si="2"/>
        <v>0</v>
      </c>
    </row>
    <row r="17" spans="1:13">
      <c r="A17">
        <v>11</v>
      </c>
      <c r="B17" s="46">
        <f t="shared" ca="1" si="1"/>
        <v>1</v>
      </c>
      <c r="C17" s="57" t="str">
        <f ca="1">IF(OFFSET(C17,0,-2)="TT","TOTAL",""&amp;INDIRECT("'Beneficiaries List'!B" &amp; MATCH(A17,'Beneficiaries List'!J:J,0),TRUE))</f>
        <v/>
      </c>
      <c r="D17" s="57" t="str">
        <f ca="1">IF(OFFSET(C17,0,-2)="TT","Consortium",""&amp;INDIRECT("'Beneficiaries List'!C" &amp; MATCH(A17,'Beneficiaries List'!J:J,0),TRUE))</f>
        <v/>
      </c>
      <c r="E17" s="147">
        <f t="shared" ca="1" si="2"/>
        <v>0</v>
      </c>
      <c r="F17" s="147">
        <f t="shared" ca="1" si="2"/>
        <v>0</v>
      </c>
      <c r="G17" s="147">
        <f t="shared" ca="1" si="2"/>
        <v>0</v>
      </c>
      <c r="H17" s="147">
        <f t="shared" ca="1" si="2"/>
        <v>0</v>
      </c>
      <c r="I17" s="147">
        <f t="shared" ca="1" si="2"/>
        <v>0</v>
      </c>
      <c r="J17" s="147">
        <f t="shared" ca="1" si="2"/>
        <v>0</v>
      </c>
      <c r="K17" s="147">
        <f t="shared" ca="1" si="2"/>
        <v>0</v>
      </c>
      <c r="L17" s="147">
        <f t="shared" ca="1" si="2"/>
        <v>0</v>
      </c>
      <c r="M17" s="147">
        <f t="shared" ca="1" si="2"/>
        <v>0</v>
      </c>
    </row>
    <row r="18" spans="1:13">
      <c r="A18">
        <v>12</v>
      </c>
      <c r="B18" s="46">
        <f t="shared" ca="1" si="1"/>
        <v>2</v>
      </c>
      <c r="C18" s="57" t="str">
        <f ca="1">IF(OFFSET(C18,0,-2)="TT","TOTAL",""&amp;INDIRECT("'Beneficiaries List'!B" &amp; MATCH(A18,'Beneficiaries List'!J:J,0),TRUE))</f>
        <v/>
      </c>
      <c r="D18" s="57" t="str">
        <f ca="1">IF(OFFSET(C18,0,-2)="TT","Consortium",""&amp;INDIRECT("'Beneficiaries List'!C" &amp; MATCH(A18,'Beneficiaries List'!J:J,0),TRUE))</f>
        <v/>
      </c>
      <c r="E18" s="147">
        <f t="shared" ca="1" si="2"/>
        <v>0</v>
      </c>
      <c r="F18" s="147">
        <f t="shared" ca="1" si="2"/>
        <v>0</v>
      </c>
      <c r="G18" s="147">
        <f t="shared" ca="1" si="2"/>
        <v>0</v>
      </c>
      <c r="H18" s="147">
        <f t="shared" ca="1" si="2"/>
        <v>0</v>
      </c>
      <c r="I18" s="147">
        <f t="shared" ca="1" si="2"/>
        <v>0</v>
      </c>
      <c r="J18" s="147">
        <f t="shared" ca="1" si="2"/>
        <v>0</v>
      </c>
      <c r="K18" s="147">
        <f t="shared" ca="1" si="2"/>
        <v>0</v>
      </c>
      <c r="L18" s="147">
        <f t="shared" ca="1" si="2"/>
        <v>0</v>
      </c>
      <c r="M18" s="147">
        <f t="shared" ca="1" si="2"/>
        <v>0</v>
      </c>
    </row>
    <row r="19" spans="1:13">
      <c r="A19" t="s">
        <v>138</v>
      </c>
      <c r="B19" s="46">
        <f t="shared" ca="1" si="1"/>
        <v>3</v>
      </c>
      <c r="C19" s="57" t="str">
        <f ca="1">IF(OFFSET(C19,0,-2)="TT","TOTAL",""&amp;INDIRECT("'Beneficiaries List'!B" &amp; MATCH(A19,'Beneficiaries List'!J:J,0),TRUE))</f>
        <v>TOTAL</v>
      </c>
      <c r="D19" s="57" t="str">
        <f ca="1">IF(OFFSET(C19,0,-2)="TT","Consortium",""&amp;INDIRECT("'Beneficiaries List'!C" &amp; MATCH(A19,'Beneficiaries List'!J:J,0),TRUE))</f>
        <v>Consortium</v>
      </c>
      <c r="E19" s="147">
        <f t="shared" ca="1" si="2"/>
        <v>0</v>
      </c>
      <c r="F19" s="147">
        <f t="shared" ca="1" si="2"/>
        <v>0</v>
      </c>
      <c r="G19" s="147">
        <f t="shared" ca="1" si="2"/>
        <v>0</v>
      </c>
      <c r="H19" s="147">
        <f t="shared" ca="1" si="2"/>
        <v>0</v>
      </c>
      <c r="I19" s="147">
        <f t="shared" ca="1" si="2"/>
        <v>0</v>
      </c>
      <c r="J19" s="147">
        <f t="shared" ca="1" si="2"/>
        <v>0</v>
      </c>
      <c r="K19" s="147">
        <f t="shared" ca="1" si="2"/>
        <v>0</v>
      </c>
      <c r="L19" s="147">
        <f t="shared" ca="1" si="2"/>
        <v>0</v>
      </c>
      <c r="M19" s="147">
        <f t="shared" ca="1" si="2"/>
        <v>0</v>
      </c>
    </row>
    <row r="20" spans="1:13">
      <c r="E20" s="147"/>
    </row>
  </sheetData>
  <sheetProtection algorithmName="SHA-512" hashValue="Civ6T/qRJSAsq7XTvW2s1H/rhGIDj00W5/vHTcO7c7Ty0APl1h1uVnbvCY7ZYccjEd5JAAvRkKJmmbc0WPN2NA==" saltValue="gTZcm3QnTQwGkS3cghgbZg==" spinCount="100000" sheet="1" objects="1" scenarios="1"/>
  <mergeCells count="1">
    <mergeCell ref="C5:E5"/>
  </mergeCells>
  <conditionalFormatting sqref="A1:D2 A20:E1048576 A4:E4 A5:C5 A6 C6:M6">
    <cfRule type="expression" dxfId="103" priority="632">
      <formula>AND($B1=1,COLUMN(A1)=$D$3)</formula>
    </cfRule>
    <cfRule type="expression" dxfId="102" priority="633">
      <formula>AND($B1=2,COLUMN(A1)=$D$3)</formula>
    </cfRule>
    <cfRule type="expression" dxfId="101" priority="634">
      <formula>AND($B1=3,COLUMN(A1)=$D$3)</formula>
    </cfRule>
    <cfRule type="expression" dxfId="100" priority="635">
      <formula>AND($B1=3,COLUMN(A1)&lt;$D$3)</formula>
    </cfRule>
    <cfRule type="expression" dxfId="99" priority="636">
      <formula>AND($B1=2,COLUMN(A1)&lt;$D$3)</formula>
    </cfRule>
    <cfRule type="expression" dxfId="98" priority="637">
      <formula>AND($B1=1,COLUMN(A1)&lt;$D$3)</formula>
    </cfRule>
  </conditionalFormatting>
  <conditionalFormatting sqref="B3:D3">
    <cfRule type="expression" dxfId="97" priority="638">
      <formula>AND($B1=1,COLUMN(B3)=$D$3)</formula>
    </cfRule>
    <cfRule type="expression" dxfId="96" priority="639">
      <formula>AND($B1=2,COLUMN(B3)=$D$3)</formula>
    </cfRule>
    <cfRule type="expression" dxfId="95" priority="640">
      <formula>AND($B1=3,COLUMN(B3)=$D$3)</formula>
    </cfRule>
    <cfRule type="expression" dxfId="94" priority="641">
      <formula>AND($B1=3,COLUMN(B3)&lt;$D$3)</formula>
    </cfRule>
    <cfRule type="expression" dxfId="93" priority="642">
      <formula>AND($B1=2,COLUMN(B3)&lt;$D$3)</formula>
    </cfRule>
    <cfRule type="expression" dxfId="92" priority="643">
      <formula>AND($B1=1,COLUMN(B3)&lt;$D$3)</formula>
    </cfRule>
  </conditionalFormatting>
  <conditionalFormatting sqref="A3">
    <cfRule type="expression" dxfId="91" priority="644">
      <formula>AND(#REF!=1,COLUMN(A3)=$D$3)</formula>
    </cfRule>
    <cfRule type="expression" dxfId="90" priority="645">
      <formula>AND(#REF!=2,COLUMN(A3)=$D$3)</formula>
    </cfRule>
    <cfRule type="expression" dxfId="89" priority="646">
      <formula>AND(#REF!=3,COLUMN(A3)=$D$3)</formula>
    </cfRule>
    <cfRule type="expression" dxfId="88" priority="647">
      <formula>AND(#REF!=3,COLUMN(A3)&lt;$D$3)</formula>
    </cfRule>
    <cfRule type="expression" dxfId="87" priority="648">
      <formula>AND(#REF!=2,COLUMN(A3)&lt;$D$3)</formula>
    </cfRule>
    <cfRule type="expression" dxfId="86" priority="649">
      <formula>AND(#REF!=1,COLUMN(A3)&lt;$D$3)</formula>
    </cfRule>
  </conditionalFormatting>
  <conditionalFormatting sqref="E3">
    <cfRule type="expression" dxfId="85" priority="650">
      <formula>AND($B1=1,COLUMN(E3)=$D$3)</formula>
    </cfRule>
    <cfRule type="expression" dxfId="84" priority="651">
      <formula>AND($B1=2,COLUMN(E3)=$D$3)</formula>
    </cfRule>
    <cfRule type="expression" dxfId="83" priority="652">
      <formula>AND($B1=3,COLUMN(E3)=$D$3)</formula>
    </cfRule>
    <cfRule type="expression" dxfId="82" priority="653">
      <formula>AND($B1=3,COLUMN(E3)&lt;$D$3)</formula>
    </cfRule>
    <cfRule type="expression" dxfId="81" priority="654">
      <formula>AND($B1=2,COLUMN(E3)&lt;$D$3)</formula>
    </cfRule>
    <cfRule type="expression" dxfId="80" priority="655">
      <formula>AND($B1=1,COLUMN(E3)&lt;$D$3)</formula>
    </cfRule>
  </conditionalFormatting>
  <conditionalFormatting sqref="E6:M6">
    <cfRule type="expression" dxfId="79" priority="631">
      <formula>OFFSET(E6,-3,0)="TT"</formula>
    </cfRule>
  </conditionalFormatting>
  <conditionalFormatting sqref="E1">
    <cfRule type="expression" dxfId="78" priority="625">
      <formula>AND($B1=1,COLUMN(E1)=$D$3)</formula>
    </cfRule>
    <cfRule type="expression" dxfId="77" priority="626">
      <formula>AND($B1=2,COLUMN(E1)=$D$3)</formula>
    </cfRule>
    <cfRule type="expression" dxfId="76" priority="627">
      <formula>AND($B1=3,COLUMN(E1)=$D$3)</formula>
    </cfRule>
    <cfRule type="expression" dxfId="75" priority="628">
      <formula>AND($B1=3,COLUMN(E1)&lt;$D$3)</formula>
    </cfRule>
    <cfRule type="expression" dxfId="74" priority="629">
      <formula>AND($B1=2,COLUMN(E1)&lt;$D$3)</formula>
    </cfRule>
    <cfRule type="expression" dxfId="73" priority="630">
      <formula>AND($B1=1,COLUMN(E1)&lt;$D$3)</formula>
    </cfRule>
  </conditionalFormatting>
  <conditionalFormatting sqref="B6">
    <cfRule type="expression" dxfId="72" priority="61">
      <formula>AND($B6=1,COLUMN(B6)=$D$3)</formula>
    </cfRule>
    <cfRule type="expression" dxfId="71" priority="62">
      <formula>AND($B6=2,COLUMN(B6)=$D$3)</formula>
    </cfRule>
    <cfRule type="expression" dxfId="70" priority="63">
      <formula>AND($B6=3,COLUMN(B6)=$D$3)</formula>
    </cfRule>
    <cfRule type="expression" dxfId="69" priority="64">
      <formula>AND($B6=3,COLUMN(B6)&lt;$D$3)</formula>
    </cfRule>
    <cfRule type="expression" dxfId="68" priority="65">
      <formula>AND($B6=2,COLUMN(B6)&lt;$D$3)</formula>
    </cfRule>
    <cfRule type="expression" dxfId="67" priority="66">
      <formula>AND($B6=1,COLUMN(B6)&lt;$D$3)</formula>
    </cfRule>
  </conditionalFormatting>
  <conditionalFormatting sqref="B7:D19">
    <cfRule type="expression" dxfId="66" priority="7">
      <formula>AND($B7=1,COLUMN(B7)=$D$3)</formula>
    </cfRule>
    <cfRule type="expression" dxfId="65" priority="8">
      <formula>AND($B7=2,COLUMN(B7)=$D$3)</formula>
    </cfRule>
    <cfRule type="expression" dxfId="64" priority="9">
      <formula>AND($B7=3,COLUMN(B7)=$D$3)</formula>
    </cfRule>
    <cfRule type="expression" dxfId="63" priority="10">
      <formula>AND($B7=3,COLUMN(B7)&lt;$D$3)</formula>
    </cfRule>
    <cfRule type="expression" dxfId="62" priority="11">
      <formula>AND($B7=2,COLUMN(B7)&lt;$D$3)</formula>
    </cfRule>
    <cfRule type="expression" dxfId="61" priority="12">
      <formula>AND($B7=1,COLUMN(B7)&lt;$D$3)</formula>
    </cfRule>
  </conditionalFormatting>
  <conditionalFormatting sqref="E7:M19">
    <cfRule type="expression" dxfId="60" priority="1">
      <formula>AND($B7=1,COLUMN(E7)=$D$3)</formula>
    </cfRule>
    <cfRule type="expression" dxfId="59" priority="2">
      <formula>AND($B7=2,COLUMN(E7)=$D$3)</formula>
    </cfRule>
    <cfRule type="expression" dxfId="58" priority="3">
      <formula>AND($B7=3,COLUMN(E7)=$D$3)</formula>
    </cfRule>
    <cfRule type="expression" dxfId="57" priority="4">
      <formula>AND($B7=3,COLUMN(E7)&lt;$D$3)</formula>
    </cfRule>
    <cfRule type="expression" dxfId="56" priority="5">
      <formula>AND($B7=2,COLUMN(E7)&lt;$D$3)</formula>
    </cfRule>
    <cfRule type="expression" dxfId="55" priority="6">
      <formula>AND($B7=1,COLUMN(E7)&lt;$D$3)</formula>
    </cfRule>
  </conditionalFormatting>
  <pageMargins left="0.23622047244094491" right="0.23622047244094491" top="0.74803149606299213" bottom="0.74803149606299213" header="0.31496062992125984" footer="0.31496062992125984"/>
  <pageSetup paperSize="9" orientation="landscape"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19"/>
  <sheetViews>
    <sheetView workbookViewId="0">
      <selection activeCell="C3" sqref="C3:E3"/>
    </sheetView>
  </sheetViews>
  <sheetFormatPr defaultColWidth="0" defaultRowHeight="15" zeroHeight="1"/>
  <cols>
    <col min="1" max="1" width="2" style="52" bestFit="1" customWidth="1"/>
    <col min="2" max="2" width="4" style="50" bestFit="1" customWidth="1"/>
    <col min="3" max="3" width="4.85546875" style="50" bestFit="1" customWidth="1"/>
    <col min="4" max="4" width="6" style="50" bestFit="1" customWidth="1"/>
    <col min="5" max="5" width="17.7109375" style="87" bestFit="1" customWidth="1"/>
    <col min="6" max="6" width="4" style="50" bestFit="1" customWidth="1"/>
    <col min="7" max="7" width="4" style="52" bestFit="1" customWidth="1"/>
    <col min="8" max="8" width="2" style="50" hidden="1" customWidth="1"/>
    <col min="9" max="9" width="30.85546875" style="50" hidden="1" customWidth="1"/>
    <col min="10" max="10" width="12.42578125" style="50" hidden="1" customWidth="1"/>
    <col min="11" max="11" width="16.5703125" style="50" hidden="1" customWidth="1"/>
    <col min="12" max="16384" width="8.85546875" style="50" hidden="1"/>
  </cols>
  <sheetData>
    <row r="1" spans="1:11" s="52" customFormat="1" ht="30">
      <c r="A1" s="51"/>
      <c r="B1" s="52" t="s">
        <v>43</v>
      </c>
      <c r="C1" s="52" t="s">
        <v>911</v>
      </c>
      <c r="D1" s="52" t="s">
        <v>912</v>
      </c>
      <c r="E1" s="86"/>
      <c r="F1" s="51" t="s">
        <v>43</v>
      </c>
      <c r="G1" s="52" t="s">
        <v>43</v>
      </c>
    </row>
    <row r="2" spans="1:11">
      <c r="A2" s="51" t="s">
        <v>70</v>
      </c>
    </row>
    <row r="3" spans="1:11" ht="30">
      <c r="A3" s="51" t="s">
        <v>161</v>
      </c>
      <c r="C3" s="490" t="s">
        <v>913</v>
      </c>
      <c r="D3" s="490"/>
      <c r="E3" s="490"/>
      <c r="I3" s="208">
        <f ca="1">MATCH("TOTAL",'Proposal Budget'!E:E,0)</f>
        <v>21</v>
      </c>
      <c r="J3" s="208">
        <f>MATCH("CHECK",'Proposal Budget'!1:1,0)</f>
        <v>41</v>
      </c>
      <c r="K3" s="208">
        <f ca="1">IF(ISNUMBER(OFFSET('Proposal Budget'!A1,I3-1,J3-2)),1,0)</f>
        <v>0</v>
      </c>
    </row>
    <row r="4" spans="1:11">
      <c r="I4" s="50" t="s">
        <v>268</v>
      </c>
      <c r="J4" s="50" t="s">
        <v>914</v>
      </c>
      <c r="K4" s="50" t="s">
        <v>70</v>
      </c>
    </row>
    <row r="5" spans="1:11" ht="30">
      <c r="A5" s="51" t="s">
        <v>161</v>
      </c>
      <c r="C5" s="84">
        <f ca="1">IF(OFFSET(C5,0,D$19)="","",H5)</f>
        <v>1</v>
      </c>
      <c r="D5" s="56">
        <v>4</v>
      </c>
      <c r="E5" s="88" t="str">
        <f ca="1">OFFSET(C5,0,D$19)</f>
        <v>CHECK VALIDITY</v>
      </c>
      <c r="H5" s="50">
        <v>1</v>
      </c>
      <c r="I5" s="50" t="s">
        <v>915</v>
      </c>
      <c r="J5" s="50" t="s">
        <v>916</v>
      </c>
      <c r="K5" s="50" t="s">
        <v>917</v>
      </c>
    </row>
    <row r="6" spans="1:11">
      <c r="C6" s="54"/>
      <c r="E6" s="89"/>
    </row>
    <row r="7" spans="1:11" ht="30">
      <c r="A7" s="51" t="s">
        <v>161</v>
      </c>
      <c r="C7" s="84">
        <f ca="1">IF(OFFSET(C7,0,D$19)="","",H7)</f>
        <v>2</v>
      </c>
      <c r="D7" s="55">
        <v>4</v>
      </c>
      <c r="E7" s="88" t="str">
        <f ca="1">OFFSET(C7,0,D$19)</f>
        <v>CONVERT TO .XLSX</v>
      </c>
      <c r="H7" s="50">
        <v>2</v>
      </c>
      <c r="I7" s="50" t="s">
        <v>918</v>
      </c>
      <c r="K7" s="50" t="s">
        <v>919</v>
      </c>
    </row>
    <row r="8" spans="1:11">
      <c r="C8" s="54"/>
      <c r="E8" s="89"/>
    </row>
    <row r="9" spans="1:11" ht="30">
      <c r="A9" s="51" t="s">
        <v>161</v>
      </c>
      <c r="C9" s="84" t="str">
        <f ca="1">IF(OFFSET(C9,0,D$19)="","",H9)</f>
        <v/>
      </c>
      <c r="D9" s="55"/>
      <c r="E9" s="88">
        <f ca="1">OFFSET(C9,0,D$19)</f>
        <v>0</v>
      </c>
      <c r="H9" s="50">
        <v>3</v>
      </c>
      <c r="I9" s="50" t="s">
        <v>920</v>
      </c>
    </row>
    <row r="10" spans="1:11"/>
    <row r="11" spans="1:11" ht="30">
      <c r="A11" s="51" t="s">
        <v>161</v>
      </c>
      <c r="C11" s="84" t="str">
        <f ca="1">IF(OFFSET(C11,0,D$19)="","",H11)</f>
        <v/>
      </c>
      <c r="D11" s="55"/>
      <c r="E11" s="88">
        <f ca="1">OFFSET(C11,0,D$19)</f>
        <v>0</v>
      </c>
      <c r="H11" s="50">
        <v>4</v>
      </c>
      <c r="I11" s="50" t="s">
        <v>921</v>
      </c>
    </row>
    <row r="12" spans="1:11">
      <c r="C12" s="54"/>
      <c r="E12" s="89"/>
    </row>
    <row r="13" spans="1:11" ht="30">
      <c r="A13" s="51" t="s">
        <v>161</v>
      </c>
      <c r="C13" s="84" t="str">
        <f ca="1">IF(OFFSET(C13,0,D$19)="","",H13)</f>
        <v/>
      </c>
      <c r="D13" s="55"/>
      <c r="E13" s="88">
        <f ca="1">OFFSET(C13,0,D$19)</f>
        <v>0</v>
      </c>
      <c r="H13" s="50">
        <v>5</v>
      </c>
      <c r="I13" s="50" t="s">
        <v>922</v>
      </c>
    </row>
    <row r="14" spans="1:11"/>
    <row r="15" spans="1:11" ht="30">
      <c r="A15" s="51" t="s">
        <v>161</v>
      </c>
      <c r="C15" s="84" t="str">
        <f ca="1">IF(OFFSET(C15,0,D$19)="","",H15)</f>
        <v/>
      </c>
      <c r="D15" s="55"/>
      <c r="E15" s="88">
        <f ca="1">OFFSET(C15,0,D$19)</f>
        <v>0</v>
      </c>
      <c r="H15" s="50">
        <v>6</v>
      </c>
      <c r="I15" s="50" t="s">
        <v>923</v>
      </c>
    </row>
    <row r="16" spans="1:11"/>
    <row r="17" spans="1:9" ht="30">
      <c r="A17" s="51" t="s">
        <v>161</v>
      </c>
      <c r="C17" s="84" t="str">
        <f ca="1">IF(OFFSET(C17,0,D$19)="","",H17)</f>
        <v/>
      </c>
      <c r="D17" s="55"/>
      <c r="E17" s="88">
        <f ca="1">OFFSET(C17,0,D$19)</f>
        <v>0</v>
      </c>
      <c r="H17" s="50">
        <v>7</v>
      </c>
      <c r="I17" s="50" t="s">
        <v>924</v>
      </c>
    </row>
    <row r="18" spans="1:9"/>
    <row r="19" spans="1:9" ht="30">
      <c r="A19" s="51" t="s">
        <v>161</v>
      </c>
      <c r="B19" s="53"/>
      <c r="C19" s="104" t="s">
        <v>70</v>
      </c>
      <c r="D19" s="52">
        <f>MATCH(C19,4:4,0)-3</f>
        <v>8</v>
      </c>
      <c r="E19" s="90"/>
      <c r="F19" s="53"/>
    </row>
  </sheetData>
  <sheetProtection algorithmName="SHA-512" hashValue="dNS0gJPm87lvM24U5HfdzmvTN4sNLdDAg/CixGAFIq955W7J8h5Ea5iULs/5g+RZ0+lyhmeqkzCU/dtYYH96FQ==" saltValue="A7cH8aHsJjxQKRPxy6XXVw==" spinCount="100000" sheet="1" objects="1" scenarios="1"/>
  <mergeCells count="1">
    <mergeCell ref="C3:E3"/>
  </mergeCells>
  <conditionalFormatting sqref="E5 E7 E9 E13 E15">
    <cfRule type="expression" dxfId="54" priority="7">
      <formula>C5=""</formula>
    </cfRule>
  </conditionalFormatting>
  <conditionalFormatting sqref="E11">
    <cfRule type="expression" dxfId="53" priority="2">
      <formula>C11=""</formula>
    </cfRule>
  </conditionalFormatting>
  <conditionalFormatting sqref="E17">
    <cfRule type="expression" dxfId="52" priority="1">
      <formula>C17=""</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12" id="{232DD6D5-3181-434B-94B5-822424E75783}">
            <x14:iconSet iconSet="5Boxes" showValue="0" custom="1">
              <x14:cfvo type="percent">
                <xm:f>0</xm:f>
              </x14:cfvo>
              <x14:cfvo type="num">
                <xm:f>1</xm:f>
              </x14:cfvo>
              <x14:cfvo type="num">
                <xm:f>2</xm:f>
              </x14:cfvo>
              <x14:cfvo type="num">
                <xm:f>3</xm:f>
              </x14:cfvo>
              <x14:cfvo type="num">
                <xm:f>4</xm:f>
              </x14:cfvo>
              <x14:cfIcon iconSet="5Rating" iconId="0"/>
              <x14:cfIcon iconSet="5Rating" iconId="1"/>
              <x14:cfIcon iconSet="5Rating" iconId="2"/>
              <x14:cfIcon iconSet="5Rating" iconId="3"/>
              <x14:cfIcon iconSet="3Symbols2" iconId="2"/>
            </x14:iconSet>
          </x14:cfRule>
          <xm:sqref>D5 D7 D9 D13 D15</xm:sqref>
        </x14:conditionalFormatting>
        <x14:conditionalFormatting xmlns:xm="http://schemas.microsoft.com/office/excel/2006/main">
          <x14:cfRule type="iconSet" priority="6" id="{A705BC3C-36A6-4C25-A84C-8476C3578315}">
            <x14:iconSet iconSet="5Boxes" showValue="0" custom="1">
              <x14:cfvo type="percent">
                <xm:f>0</xm:f>
              </x14:cfvo>
              <x14:cfvo type="num">
                <xm:f>1</xm:f>
              </x14:cfvo>
              <x14:cfvo type="num">
                <xm:f>2</xm:f>
              </x14:cfvo>
              <x14:cfvo type="num">
                <xm:f>3</xm:f>
              </x14:cfvo>
              <x14:cfvo type="num">
                <xm:f>4</xm:f>
              </x14:cfvo>
              <x14:cfIcon iconSet="5Rating" iconId="0"/>
              <x14:cfIcon iconSet="5Rating" iconId="1"/>
              <x14:cfIcon iconSet="5Rating" iconId="2"/>
              <x14:cfIcon iconSet="5Rating" iconId="3"/>
              <x14:cfIcon iconSet="3Symbols2" iconId="2"/>
            </x14:iconSet>
          </x14:cfRule>
          <xm:sqref>D17</xm:sqref>
        </x14:conditionalFormatting>
        <x14:conditionalFormatting xmlns:xm="http://schemas.microsoft.com/office/excel/2006/main">
          <x14:cfRule type="iconSet" priority="4" id="{0A092937-A0B3-4848-8DEA-6F3C6EBCC7E3}">
            <x14:iconSet iconSet="5Boxes" showValue="0" custom="1">
              <x14:cfvo type="percent">
                <xm:f>0</xm:f>
              </x14:cfvo>
              <x14:cfvo type="num">
                <xm:f>1</xm:f>
              </x14:cfvo>
              <x14:cfvo type="num">
                <xm:f>2</xm:f>
              </x14:cfvo>
              <x14:cfvo type="num">
                <xm:f>3</xm:f>
              </x14:cfvo>
              <x14:cfvo type="num">
                <xm:f>4</xm:f>
              </x14:cfvo>
              <x14:cfIcon iconSet="5Rating" iconId="0"/>
              <x14:cfIcon iconSet="5Rating" iconId="1"/>
              <x14:cfIcon iconSet="5Rating" iconId="2"/>
              <x14:cfIcon iconSet="5Rating" iconId="3"/>
              <x14:cfIcon iconSet="3Symbols2" iconId="2"/>
            </x14:iconSet>
          </x14:cfRule>
          <xm:sqref>D11</xm:sqref>
        </x14:conditionalFormatting>
      </x14:conditionalFormatting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1"/>
  </sheetPr>
  <dimension ref="A1:M19"/>
  <sheetViews>
    <sheetView showGridLines="0" topLeftCell="C5" workbookViewId="0">
      <selection activeCell="C5" sqref="C5"/>
    </sheetView>
  </sheetViews>
  <sheetFormatPr defaultRowHeight="15"/>
  <cols>
    <col min="1" max="1" width="3.28515625" style="45" hidden="1" customWidth="1"/>
    <col min="2" max="2" width="5.85546875" style="46" hidden="1" customWidth="1"/>
    <col min="3" max="3" width="59.85546875" bestFit="1" customWidth="1"/>
    <col min="4" max="4" width="21" bestFit="1" customWidth="1"/>
    <col min="5" max="5" width="14.28515625" style="124" bestFit="1" customWidth="1"/>
    <col min="6" max="13" width="14.28515625" bestFit="1" customWidth="1"/>
    <col min="14" max="15" width="13.140625" bestFit="1" customWidth="1"/>
  </cols>
  <sheetData>
    <row r="1" spans="1:13" hidden="1">
      <c r="B1" s="46" t="e">
        <f t="shared" ref="B1" ca="1" si="0">IF(OFFSET(B1,-1,-1)="HE",1,IF(OFFSET(B1,0,-1)="TT",3,IF(OFFSET(B1,-1,0)=1,2,1)))</f>
        <v>#REF!</v>
      </c>
      <c r="C1" t="e">
        <f ca="1">IF(OFFSET(C1,0,-2)="TT","TOTAL",""&amp;INDIRECT("'Beneficiaries List'!B" &amp; MATCH(A1,'Beneficiaries List'!J:J,0),TRUE))</f>
        <v>#N/A</v>
      </c>
      <c r="D1" t="e">
        <f ca="1">IF(OFFSET(C1,0,-2)="TT","Consortium",""&amp;INDIRECT("'Beneficiaries List'!C" &amp; MATCH(A1,'Beneficiaries List'!J:J,0),TRUE))</f>
        <v>#N/A</v>
      </c>
      <c r="E1" s="147" t="e">
        <f ca="1">IF(OFFSET(E1,ROW(E$4)-ROW(E1),0)="TT",SUM(INDIRECT(ADDRESS(ROW(E1),COLUMN($D1)+1) &amp; ":" &amp; ADDRESS(ROW(E1),COLUMN(E1)-1),TRUE)),IF($A1="TT",SUM(INDIRECT(ADDRESS(MATCH("HE",$A:$A,0)+1,COLUMN(E1))&amp;":"&amp;ADDRESS(ROW(E1)-1,COLUMN(E1)),TRUE)),INDIRECT(CELL("address",OFFSET(INDIRECT("'BE " &amp; TEXT(INT($A1),"000") &amp; "'!A1",TRUE),MATCH("ENDWP" &amp; TEXT(OFFSET(E1,ROW(E$4)-ROW(E1),0),"000"),INDIRECT("'BE " &amp; TEXT(INT($A1),"000") &amp; "'!A:A",TRUE),0)-1,MATCH($A1,INDIRECT("'BE " &amp; TEXT(INT($A1),"000") &amp; "'!2:2",TRUE),0))),TRUE)))</f>
        <v>#REF!</v>
      </c>
    </row>
    <row r="2" spans="1:13" ht="21" hidden="1">
      <c r="C2" s="46" t="s">
        <v>164</v>
      </c>
      <c r="D2" s="103">
        <v>999999999.99000001</v>
      </c>
      <c r="E2" s="148">
        <v>999999999.99000001</v>
      </c>
      <c r="F2" s="148">
        <v>999999999.99000001</v>
      </c>
      <c r="G2" s="148">
        <v>999999999.99000001</v>
      </c>
      <c r="H2" s="148">
        <v>999999999.99000001</v>
      </c>
      <c r="I2" s="148">
        <v>999999999.99000001</v>
      </c>
      <c r="J2" s="148">
        <v>999999999.99000001</v>
      </c>
      <c r="K2" s="148">
        <v>999999999.99000001</v>
      </c>
      <c r="L2" s="148">
        <v>999999999.99000001</v>
      </c>
      <c r="M2" s="148">
        <v>999999999.99000001</v>
      </c>
    </row>
    <row r="3" spans="1:13" hidden="1">
      <c r="B3" s="47" t="str">
        <f>ADDRESS(E3,COLUMN(C1))</f>
        <v>$C$7</v>
      </c>
      <c r="C3" s="48">
        <f>MATCH("TT",A:A,0)</f>
        <v>19</v>
      </c>
      <c r="D3" s="48">
        <f>MATCH("TT",4:4,0)</f>
        <v>13</v>
      </c>
      <c r="E3" s="149">
        <f>MATCH("HE",A:A,0)+1</f>
        <v>7</v>
      </c>
    </row>
    <row r="4" spans="1:13" hidden="1">
      <c r="C4" s="46" t="s">
        <v>165</v>
      </c>
      <c r="D4" s="46"/>
      <c r="E4" s="148">
        <v>1</v>
      </c>
      <c r="F4">
        <v>2</v>
      </c>
      <c r="G4">
        <v>3</v>
      </c>
      <c r="H4">
        <v>4</v>
      </c>
      <c r="I4">
        <v>5</v>
      </c>
      <c r="J4">
        <v>6</v>
      </c>
      <c r="K4">
        <v>7</v>
      </c>
      <c r="L4">
        <v>8</v>
      </c>
      <c r="M4" t="s">
        <v>138</v>
      </c>
    </row>
    <row r="5" spans="1:13" ht="21">
      <c r="C5" s="61" t="s">
        <v>925</v>
      </c>
      <c r="D5" s="146">
        <f ca="1">TotalBudget</f>
        <v>0</v>
      </c>
      <c r="E5" s="150" t="str">
        <f ca="1">IF(D5="N/A","","EUR")</f>
        <v>EUR</v>
      </c>
    </row>
    <row r="6" spans="1:13" ht="45">
      <c r="A6" s="45" t="s">
        <v>163</v>
      </c>
      <c r="B6" s="267" t="s">
        <v>32</v>
      </c>
      <c r="C6" s="94" t="s">
        <v>926</v>
      </c>
      <c r="D6" s="93" t="s">
        <v>53</v>
      </c>
      <c r="E6" s="151" t="str">
        <f ca="1">IF(OFFSET(E6,-2,0)="TT",IF($C4="O","Maximum
Grant
Amount",IF($C4="PM","Total
for project","")),INDIRECT("'Work Packages List'!A" &amp; MATCH(OFFSET(E6,-2,0),'Work Packages List'!$J:$J,0),TRUE) &amp; "
" &amp; INDIRECT("'Work Packages List'!B" &amp; MATCH(OFFSET(E6,-2,0),'Work Packages List'!$J:$J,0),TRUE))</f>
        <v xml:space="preserve">WP 001
</v>
      </c>
      <c r="F6" s="151" t="str">
        <f ca="1">IF(OFFSET(F6,-2,0)="TT",IF($C4="O","Maximum
Grant
Amount",IF($C4="PM","Total
for project","")),INDIRECT("'Work Packages List'!A" &amp; MATCH(OFFSET(F6,-2,0),'Work Packages List'!$J:$J,0),TRUE) &amp; "
" &amp; INDIRECT("'Work Packages List'!B" &amp; MATCH(OFFSET(F6,-2,0),'Work Packages List'!$J:$J,0),TRUE))</f>
        <v xml:space="preserve">WP 002
</v>
      </c>
      <c r="G6" s="151" t="str">
        <f ca="1">IF(OFFSET(G6,-2,0)="TT",IF($C4="O","Maximum
Grant
Amount",IF($C4="PM","Total
for project","")),INDIRECT("'Work Packages List'!A" &amp; MATCH(OFFSET(G6,-2,0),'Work Packages List'!$J:$J,0),TRUE) &amp; "
" &amp; INDIRECT("'Work Packages List'!B" &amp; MATCH(OFFSET(G6,-2,0),'Work Packages List'!$J:$J,0),TRUE))</f>
        <v xml:space="preserve">WP 003
</v>
      </c>
      <c r="H6" s="151" t="str">
        <f ca="1">IF(OFFSET(H6,-2,0)="TT",IF($C4="O","Maximum
Grant
Amount",IF($C4="PM","Total
for project","")),INDIRECT("'Work Packages List'!A" &amp; MATCH(OFFSET(H6,-2,0),'Work Packages List'!$J:$J,0),TRUE) &amp; "
" &amp; INDIRECT("'Work Packages List'!B" &amp; MATCH(OFFSET(H6,-2,0),'Work Packages List'!$J:$J,0),TRUE))</f>
        <v xml:space="preserve">WP 004
</v>
      </c>
      <c r="I6" s="151" t="str">
        <f ca="1">IF(OFFSET(I6,-2,0)="TT",IF($C4="O","Maximum
Grant
Amount",IF($C4="PM","Total
for project","")),INDIRECT("'Work Packages List'!A" &amp; MATCH(OFFSET(I6,-2,0),'Work Packages List'!$J:$J,0),TRUE) &amp; "
" &amp; INDIRECT("'Work Packages List'!B" &amp; MATCH(OFFSET(I6,-2,0),'Work Packages List'!$J:$J,0),TRUE))</f>
        <v xml:space="preserve">WP 005
</v>
      </c>
      <c r="J6" s="151" t="str">
        <f ca="1">IF(OFFSET(J6,-2,0)="TT",IF($C4="O","Maximum
Grant
Amount",IF($C4="PM","Total
for project","")),INDIRECT("'Work Packages List'!A" &amp; MATCH(OFFSET(J6,-2,0),'Work Packages List'!$J:$J,0),TRUE) &amp; "
" &amp; INDIRECT("'Work Packages List'!B" &amp; MATCH(OFFSET(J6,-2,0),'Work Packages List'!$J:$J,0),TRUE))</f>
        <v xml:space="preserve">WP 006
</v>
      </c>
      <c r="K6" s="151" t="str">
        <f ca="1">IF(OFFSET(K6,-2,0)="TT",IF($C4="O","Maximum
Grant
Amount",IF($C4="PM","Total
for project","")),INDIRECT("'Work Packages List'!A" &amp; MATCH(OFFSET(K6,-2,0),'Work Packages List'!$J:$J,0),TRUE) &amp; "
" &amp; INDIRECT("'Work Packages List'!B" &amp; MATCH(OFFSET(K6,-2,0),'Work Packages List'!$J:$J,0),TRUE))</f>
        <v xml:space="preserve">WP 007
</v>
      </c>
      <c r="L6" s="151" t="str">
        <f ca="1">IF(OFFSET(L6,-2,0)="TT",IF($C4="O","Maximum
Grant
Amount",IF($C4="PM","Total
for project","")),INDIRECT("'Work Packages List'!A" &amp; MATCH(OFFSET(L6,-2,0),'Work Packages List'!$J:$J,0),TRUE) &amp; "
" &amp; INDIRECT("'Work Packages List'!B" &amp; MATCH(OFFSET(L6,-2,0),'Work Packages List'!$J:$J,0),TRUE))</f>
        <v xml:space="preserve">WP 008
</v>
      </c>
      <c r="M6" s="151" t="str">
        <f ca="1">IF(OFFSET(M6,-2,0)="TT",IF($C4="O","Maximum
Grant
Amount",IF($C4="PM","Total
for project","")),INDIRECT("'Work Packages List'!A" &amp; MATCH(OFFSET(M6,-2,0),'Work Packages List'!$J:$J,0),TRUE) &amp; "
" &amp; INDIRECT("'Work Packages List'!B" &amp; MATCH(OFFSET(M6,-2,0),'Work Packages List'!$J:$J,0),TRUE))</f>
        <v>Maximum
Grant
Amount</v>
      </c>
    </row>
    <row r="7" spans="1:13">
      <c r="A7">
        <v>1</v>
      </c>
      <c r="B7" s="46">
        <f t="shared" ref="B7:B19" ca="1" si="1">IF(OFFSET(B7,-1,-1)="HE",1,IF(OFFSET(B7,0,-1)="TT",3,IF(OFFSET(B7,-1,0)=1,2,1)))</f>
        <v>1</v>
      </c>
      <c r="C7" t="str">
        <f ca="1">IF(OFFSET(C7,0,-2)="TT","TOTAL",""&amp;INDIRECT("'Beneficiaries List'!B" &amp; MATCH(A7,'Beneficiaries List'!J:J,0),TRUE))</f>
        <v/>
      </c>
      <c r="D7" t="str">
        <f ca="1">IF(OFFSET(C7,0,-2)="TT","Consortium",""&amp;INDIRECT("'Beneficiaries List'!C" &amp; MATCH(A7,'Beneficiaries List'!J:J,0),TRUE))</f>
        <v/>
      </c>
      <c r="E7" s="147">
        <f t="shared" ref="E7:M19" ca="1" si="2">IF(OFFSET(E7,ROW(E$4)-ROW(E7),0)="TT",SUM(INDIRECT(ADDRESS(ROW(E7),COLUMN($D7)+1) &amp; ":" &amp; ADDRESS(ROW(E7),COLUMN(E7)-1),TRUE)),IF($A7="TT",SUM(INDIRECT(ADDRESS(MATCH("HE",$A:$A,0)+1,COLUMN(E7))&amp;":"&amp;ADDRESS(ROW(E7)-1,COLUMN(E7)),TRUE)),INDIRECT(CELL("address",OFFSET(INDIRECT("'BE " &amp; TEXT(INT($A7),"000") &amp; "'!A1",TRUE),MATCH("ENDWP" &amp; TEXT(OFFSET(E7,ROW(E$4)-ROW(E7),0),"000"),INDIRECT("'BE " &amp; TEXT(INT($A7),"000") &amp; "'!A:A",TRUE),0)-1,MATCH($A7,INDIRECT("'BE " &amp; TEXT(INT($A7),"000") &amp; "'!2:2",TRUE),0))),TRUE)))</f>
        <v>0</v>
      </c>
      <c r="F7" s="147">
        <f t="shared" ca="1" si="2"/>
        <v>0</v>
      </c>
      <c r="G7" s="147">
        <f t="shared" ca="1" si="2"/>
        <v>0</v>
      </c>
      <c r="H7" s="147">
        <f t="shared" ca="1" si="2"/>
        <v>0</v>
      </c>
      <c r="I7" s="147">
        <f t="shared" ca="1" si="2"/>
        <v>0</v>
      </c>
      <c r="J7" s="147">
        <f t="shared" ca="1" si="2"/>
        <v>0</v>
      </c>
      <c r="K7" s="147">
        <f t="shared" ca="1" si="2"/>
        <v>0</v>
      </c>
      <c r="L7" s="147">
        <f t="shared" ca="1" si="2"/>
        <v>0</v>
      </c>
      <c r="M7" s="147">
        <f t="shared" ca="1" si="2"/>
        <v>0</v>
      </c>
    </row>
    <row r="8" spans="1:13">
      <c r="A8">
        <v>2</v>
      </c>
      <c r="B8" s="46">
        <f t="shared" ca="1" si="1"/>
        <v>2</v>
      </c>
      <c r="C8" t="str">
        <f ca="1">IF(OFFSET(C8,0,-2)="TT","TOTAL",""&amp;INDIRECT("'Beneficiaries List'!B" &amp; MATCH(A8,'Beneficiaries List'!J:J,0),TRUE))</f>
        <v/>
      </c>
      <c r="D8" t="str">
        <f ca="1">IF(OFFSET(C8,0,-2)="TT","Consortium",""&amp;INDIRECT("'Beneficiaries List'!C" &amp; MATCH(A8,'Beneficiaries List'!J:J,0),TRUE))</f>
        <v/>
      </c>
      <c r="E8" s="147">
        <f t="shared" ca="1" si="2"/>
        <v>0</v>
      </c>
      <c r="F8" s="147">
        <f t="shared" ca="1" si="2"/>
        <v>0</v>
      </c>
      <c r="G8" s="147">
        <f t="shared" ca="1" si="2"/>
        <v>0</v>
      </c>
      <c r="H8" s="147">
        <f t="shared" ca="1" si="2"/>
        <v>0</v>
      </c>
      <c r="I8" s="147">
        <f t="shared" ca="1" si="2"/>
        <v>0</v>
      </c>
      <c r="J8" s="147">
        <f t="shared" ca="1" si="2"/>
        <v>0</v>
      </c>
      <c r="K8" s="147">
        <f t="shared" ca="1" si="2"/>
        <v>0</v>
      </c>
      <c r="L8" s="147">
        <f t="shared" ca="1" si="2"/>
        <v>0</v>
      </c>
      <c r="M8" s="147">
        <f t="shared" ca="1" si="2"/>
        <v>0</v>
      </c>
    </row>
    <row r="9" spans="1:13">
      <c r="A9">
        <v>3</v>
      </c>
      <c r="B9" s="46">
        <f t="shared" ca="1" si="1"/>
        <v>1</v>
      </c>
      <c r="C9" t="str">
        <f ca="1">IF(OFFSET(C9,0,-2)="TT","TOTAL",""&amp;INDIRECT("'Beneficiaries List'!B" &amp; MATCH(A9,'Beneficiaries List'!J:J,0),TRUE))</f>
        <v/>
      </c>
      <c r="D9" t="str">
        <f ca="1">IF(OFFSET(C9,0,-2)="TT","Consortium",""&amp;INDIRECT("'Beneficiaries List'!C" &amp; MATCH(A9,'Beneficiaries List'!J:J,0),TRUE))</f>
        <v/>
      </c>
      <c r="E9" s="147">
        <f t="shared" ca="1" si="2"/>
        <v>0</v>
      </c>
      <c r="F9" s="147">
        <f t="shared" ca="1" si="2"/>
        <v>0</v>
      </c>
      <c r="G9" s="147">
        <f t="shared" ca="1" si="2"/>
        <v>0</v>
      </c>
      <c r="H9" s="147">
        <f t="shared" ca="1" si="2"/>
        <v>0</v>
      </c>
      <c r="I9" s="147">
        <f t="shared" ca="1" si="2"/>
        <v>0</v>
      </c>
      <c r="J9" s="147">
        <f t="shared" ca="1" si="2"/>
        <v>0</v>
      </c>
      <c r="K9" s="147">
        <f t="shared" ca="1" si="2"/>
        <v>0</v>
      </c>
      <c r="L9" s="147">
        <f t="shared" ca="1" si="2"/>
        <v>0</v>
      </c>
      <c r="M9" s="147">
        <f t="shared" ca="1" si="2"/>
        <v>0</v>
      </c>
    </row>
    <row r="10" spans="1:13">
      <c r="A10">
        <v>4</v>
      </c>
      <c r="B10" s="46">
        <f t="shared" ca="1" si="1"/>
        <v>2</v>
      </c>
      <c r="C10" t="str">
        <f ca="1">IF(OFFSET(C10,0,-2)="TT","TOTAL",""&amp;INDIRECT("'Beneficiaries List'!B" &amp; MATCH(A10,'Beneficiaries List'!J:J,0),TRUE))</f>
        <v/>
      </c>
      <c r="D10" t="str">
        <f ca="1">IF(OFFSET(C10,0,-2)="TT","Consortium",""&amp;INDIRECT("'Beneficiaries List'!C" &amp; MATCH(A10,'Beneficiaries List'!J:J,0),TRUE))</f>
        <v/>
      </c>
      <c r="E10" s="147">
        <f t="shared" ca="1" si="2"/>
        <v>0</v>
      </c>
      <c r="F10" s="147">
        <f t="shared" ca="1" si="2"/>
        <v>0</v>
      </c>
      <c r="G10" s="147">
        <f t="shared" ca="1" si="2"/>
        <v>0</v>
      </c>
      <c r="H10" s="147">
        <f t="shared" ca="1" si="2"/>
        <v>0</v>
      </c>
      <c r="I10" s="147">
        <f t="shared" ca="1" si="2"/>
        <v>0</v>
      </c>
      <c r="J10" s="147">
        <f t="shared" ca="1" si="2"/>
        <v>0</v>
      </c>
      <c r="K10" s="147">
        <f t="shared" ca="1" si="2"/>
        <v>0</v>
      </c>
      <c r="L10" s="147">
        <f t="shared" ca="1" si="2"/>
        <v>0</v>
      </c>
      <c r="M10" s="147">
        <f t="shared" ca="1" si="2"/>
        <v>0</v>
      </c>
    </row>
    <row r="11" spans="1:13">
      <c r="A11">
        <v>5</v>
      </c>
      <c r="B11" s="46">
        <f t="shared" ca="1" si="1"/>
        <v>1</v>
      </c>
      <c r="C11" t="str">
        <f ca="1">IF(OFFSET(C11,0,-2)="TT","TOTAL",""&amp;INDIRECT("'Beneficiaries List'!B" &amp; MATCH(A11,'Beneficiaries List'!J:J,0),TRUE))</f>
        <v/>
      </c>
      <c r="D11" t="str">
        <f ca="1">IF(OFFSET(C11,0,-2)="TT","Consortium",""&amp;INDIRECT("'Beneficiaries List'!C" &amp; MATCH(A11,'Beneficiaries List'!J:J,0),TRUE))</f>
        <v/>
      </c>
      <c r="E11" s="147">
        <f t="shared" ca="1" si="2"/>
        <v>0</v>
      </c>
      <c r="F11" s="147">
        <f t="shared" ca="1" si="2"/>
        <v>0</v>
      </c>
      <c r="G11" s="147">
        <f t="shared" ca="1" si="2"/>
        <v>0</v>
      </c>
      <c r="H11" s="147">
        <f t="shared" ca="1" si="2"/>
        <v>0</v>
      </c>
      <c r="I11" s="147">
        <f t="shared" ca="1" si="2"/>
        <v>0</v>
      </c>
      <c r="J11" s="147">
        <f t="shared" ca="1" si="2"/>
        <v>0</v>
      </c>
      <c r="K11" s="147">
        <f t="shared" ca="1" si="2"/>
        <v>0</v>
      </c>
      <c r="L11" s="147">
        <f t="shared" ca="1" si="2"/>
        <v>0</v>
      </c>
      <c r="M11" s="147">
        <f t="shared" ca="1" si="2"/>
        <v>0</v>
      </c>
    </row>
    <row r="12" spans="1:13">
      <c r="A12">
        <v>6</v>
      </c>
      <c r="B12" s="46">
        <f t="shared" ca="1" si="1"/>
        <v>2</v>
      </c>
      <c r="C12" t="str">
        <f ca="1">IF(OFFSET(C12,0,-2)="TT","TOTAL",""&amp;INDIRECT("'Beneficiaries List'!B" &amp; MATCH(A12,'Beneficiaries List'!J:J,0),TRUE))</f>
        <v/>
      </c>
      <c r="D12" t="str">
        <f ca="1">IF(OFFSET(C12,0,-2)="TT","Consortium",""&amp;INDIRECT("'Beneficiaries List'!C" &amp; MATCH(A12,'Beneficiaries List'!J:J,0),TRUE))</f>
        <v/>
      </c>
      <c r="E12" s="147">
        <f t="shared" ca="1" si="2"/>
        <v>0</v>
      </c>
      <c r="F12" s="147">
        <f t="shared" ca="1" si="2"/>
        <v>0</v>
      </c>
      <c r="G12" s="147">
        <f t="shared" ca="1" si="2"/>
        <v>0</v>
      </c>
      <c r="H12" s="147">
        <f t="shared" ca="1" si="2"/>
        <v>0</v>
      </c>
      <c r="I12" s="147">
        <f t="shared" ca="1" si="2"/>
        <v>0</v>
      </c>
      <c r="J12" s="147">
        <f t="shared" ca="1" si="2"/>
        <v>0</v>
      </c>
      <c r="K12" s="147">
        <f t="shared" ca="1" si="2"/>
        <v>0</v>
      </c>
      <c r="L12" s="147">
        <f t="shared" ca="1" si="2"/>
        <v>0</v>
      </c>
      <c r="M12" s="147">
        <f t="shared" ca="1" si="2"/>
        <v>0</v>
      </c>
    </row>
    <row r="13" spans="1:13">
      <c r="A13">
        <v>7</v>
      </c>
      <c r="B13" s="46">
        <f t="shared" ca="1" si="1"/>
        <v>1</v>
      </c>
      <c r="C13" t="str">
        <f ca="1">IF(OFFSET(C13,0,-2)="TT","TOTAL",""&amp;INDIRECT("'Beneficiaries List'!B" &amp; MATCH(A13,'Beneficiaries List'!J:J,0),TRUE))</f>
        <v/>
      </c>
      <c r="D13" t="str">
        <f ca="1">IF(OFFSET(C13,0,-2)="TT","Consortium",""&amp;INDIRECT("'Beneficiaries List'!C" &amp; MATCH(A13,'Beneficiaries List'!J:J,0),TRUE))</f>
        <v/>
      </c>
      <c r="E13" s="147">
        <f t="shared" ca="1" si="2"/>
        <v>0</v>
      </c>
      <c r="F13" s="147">
        <f t="shared" ca="1" si="2"/>
        <v>0</v>
      </c>
      <c r="G13" s="147">
        <f t="shared" ca="1" si="2"/>
        <v>0</v>
      </c>
      <c r="H13" s="147">
        <f t="shared" ca="1" si="2"/>
        <v>0</v>
      </c>
      <c r="I13" s="147">
        <f t="shared" ca="1" si="2"/>
        <v>0</v>
      </c>
      <c r="J13" s="147">
        <f t="shared" ca="1" si="2"/>
        <v>0</v>
      </c>
      <c r="K13" s="147">
        <f t="shared" ca="1" si="2"/>
        <v>0</v>
      </c>
      <c r="L13" s="147">
        <f t="shared" ca="1" si="2"/>
        <v>0</v>
      </c>
      <c r="M13" s="147">
        <f t="shared" ca="1" si="2"/>
        <v>0</v>
      </c>
    </row>
    <row r="14" spans="1:13">
      <c r="A14">
        <v>8</v>
      </c>
      <c r="B14" s="46">
        <f t="shared" ca="1" si="1"/>
        <v>2</v>
      </c>
      <c r="C14" t="str">
        <f ca="1">IF(OFFSET(C14,0,-2)="TT","TOTAL",""&amp;INDIRECT("'Beneficiaries List'!B" &amp; MATCH(A14,'Beneficiaries List'!J:J,0),TRUE))</f>
        <v/>
      </c>
      <c r="D14" t="str">
        <f ca="1">IF(OFFSET(C14,0,-2)="TT","Consortium",""&amp;INDIRECT("'Beneficiaries List'!C" &amp; MATCH(A14,'Beneficiaries List'!J:J,0),TRUE))</f>
        <v/>
      </c>
      <c r="E14" s="147">
        <f t="shared" ca="1" si="2"/>
        <v>0</v>
      </c>
      <c r="F14" s="147">
        <f t="shared" ca="1" si="2"/>
        <v>0</v>
      </c>
      <c r="G14" s="147">
        <f t="shared" ca="1" si="2"/>
        <v>0</v>
      </c>
      <c r="H14" s="147">
        <f t="shared" ca="1" si="2"/>
        <v>0</v>
      </c>
      <c r="I14" s="147">
        <f t="shared" ca="1" si="2"/>
        <v>0</v>
      </c>
      <c r="J14" s="147">
        <f t="shared" ca="1" si="2"/>
        <v>0</v>
      </c>
      <c r="K14" s="147">
        <f t="shared" ca="1" si="2"/>
        <v>0</v>
      </c>
      <c r="L14" s="147">
        <f t="shared" ca="1" si="2"/>
        <v>0</v>
      </c>
      <c r="M14" s="147">
        <f t="shared" ca="1" si="2"/>
        <v>0</v>
      </c>
    </row>
    <row r="15" spans="1:13">
      <c r="A15">
        <v>9</v>
      </c>
      <c r="B15" s="46">
        <f t="shared" ca="1" si="1"/>
        <v>1</v>
      </c>
      <c r="C15" t="str">
        <f ca="1">IF(OFFSET(C15,0,-2)="TT","TOTAL",""&amp;INDIRECT("'Beneficiaries List'!B" &amp; MATCH(A15,'Beneficiaries List'!J:J,0),TRUE))</f>
        <v/>
      </c>
      <c r="D15" t="str">
        <f ca="1">IF(OFFSET(C15,0,-2)="TT","Consortium",""&amp;INDIRECT("'Beneficiaries List'!C" &amp; MATCH(A15,'Beneficiaries List'!J:J,0),TRUE))</f>
        <v/>
      </c>
      <c r="E15" s="147">
        <f t="shared" ca="1" si="2"/>
        <v>0</v>
      </c>
      <c r="F15" s="147">
        <f t="shared" ca="1" si="2"/>
        <v>0</v>
      </c>
      <c r="G15" s="147">
        <f t="shared" ca="1" si="2"/>
        <v>0</v>
      </c>
      <c r="H15" s="147">
        <f t="shared" ca="1" si="2"/>
        <v>0</v>
      </c>
      <c r="I15" s="147">
        <f t="shared" ca="1" si="2"/>
        <v>0</v>
      </c>
      <c r="J15" s="147">
        <f t="shared" ca="1" si="2"/>
        <v>0</v>
      </c>
      <c r="K15" s="147">
        <f t="shared" ca="1" si="2"/>
        <v>0</v>
      </c>
      <c r="L15" s="147">
        <f t="shared" ca="1" si="2"/>
        <v>0</v>
      </c>
      <c r="M15" s="147">
        <f t="shared" ca="1" si="2"/>
        <v>0</v>
      </c>
    </row>
    <row r="16" spans="1:13">
      <c r="A16">
        <v>10</v>
      </c>
      <c r="B16" s="46">
        <f t="shared" ca="1" si="1"/>
        <v>2</v>
      </c>
      <c r="C16" t="str">
        <f ca="1">IF(OFFSET(C16,0,-2)="TT","TOTAL",""&amp;INDIRECT("'Beneficiaries List'!B" &amp; MATCH(A16,'Beneficiaries List'!J:J,0),TRUE))</f>
        <v/>
      </c>
      <c r="D16" t="str">
        <f ca="1">IF(OFFSET(C16,0,-2)="TT","Consortium",""&amp;INDIRECT("'Beneficiaries List'!C" &amp; MATCH(A16,'Beneficiaries List'!J:J,0),TRUE))</f>
        <v/>
      </c>
      <c r="E16" s="147">
        <f t="shared" ca="1" si="2"/>
        <v>0</v>
      </c>
      <c r="F16" s="147">
        <f t="shared" ca="1" si="2"/>
        <v>0</v>
      </c>
      <c r="G16" s="147">
        <f t="shared" ca="1" si="2"/>
        <v>0</v>
      </c>
      <c r="H16" s="147">
        <f t="shared" ca="1" si="2"/>
        <v>0</v>
      </c>
      <c r="I16" s="147">
        <f t="shared" ca="1" si="2"/>
        <v>0</v>
      </c>
      <c r="J16" s="147">
        <f t="shared" ca="1" si="2"/>
        <v>0</v>
      </c>
      <c r="K16" s="147">
        <f t="shared" ca="1" si="2"/>
        <v>0</v>
      </c>
      <c r="L16" s="147">
        <f t="shared" ca="1" si="2"/>
        <v>0</v>
      </c>
      <c r="M16" s="147">
        <f t="shared" ca="1" si="2"/>
        <v>0</v>
      </c>
    </row>
    <row r="17" spans="1:13">
      <c r="A17">
        <v>11</v>
      </c>
      <c r="B17" s="46">
        <f t="shared" ca="1" si="1"/>
        <v>1</v>
      </c>
      <c r="C17" t="str">
        <f ca="1">IF(OFFSET(C17,0,-2)="TT","TOTAL",""&amp;INDIRECT("'Beneficiaries List'!B" &amp; MATCH(A17,'Beneficiaries List'!J:J,0),TRUE))</f>
        <v/>
      </c>
      <c r="D17" t="str">
        <f ca="1">IF(OFFSET(C17,0,-2)="TT","Consortium",""&amp;INDIRECT("'Beneficiaries List'!C" &amp; MATCH(A17,'Beneficiaries List'!J:J,0),TRUE))</f>
        <v/>
      </c>
      <c r="E17" s="147">
        <f t="shared" ca="1" si="2"/>
        <v>0</v>
      </c>
      <c r="F17" s="147">
        <f t="shared" ca="1" si="2"/>
        <v>0</v>
      </c>
      <c r="G17" s="147">
        <f t="shared" ca="1" si="2"/>
        <v>0</v>
      </c>
      <c r="H17" s="147">
        <f t="shared" ca="1" si="2"/>
        <v>0</v>
      </c>
      <c r="I17" s="147">
        <f t="shared" ca="1" si="2"/>
        <v>0</v>
      </c>
      <c r="J17" s="147">
        <f t="shared" ca="1" si="2"/>
        <v>0</v>
      </c>
      <c r="K17" s="147">
        <f t="shared" ca="1" si="2"/>
        <v>0</v>
      </c>
      <c r="L17" s="147">
        <f t="shared" ca="1" si="2"/>
        <v>0</v>
      </c>
      <c r="M17" s="147">
        <f t="shared" ca="1" si="2"/>
        <v>0</v>
      </c>
    </row>
    <row r="18" spans="1:13">
      <c r="A18">
        <v>12</v>
      </c>
      <c r="B18" s="46">
        <f t="shared" ca="1" si="1"/>
        <v>2</v>
      </c>
      <c r="C18" t="str">
        <f ca="1">IF(OFFSET(C18,0,-2)="TT","TOTAL",""&amp;INDIRECT("'Beneficiaries List'!B" &amp; MATCH(A18,'Beneficiaries List'!J:J,0),TRUE))</f>
        <v/>
      </c>
      <c r="D18" t="str">
        <f ca="1">IF(OFFSET(C18,0,-2)="TT","Consortium",""&amp;INDIRECT("'Beneficiaries List'!C" &amp; MATCH(A18,'Beneficiaries List'!J:J,0),TRUE))</f>
        <v/>
      </c>
      <c r="E18" s="147">
        <f t="shared" ca="1" si="2"/>
        <v>0</v>
      </c>
      <c r="F18" s="147">
        <f t="shared" ca="1" si="2"/>
        <v>0</v>
      </c>
      <c r="G18" s="147">
        <f t="shared" ca="1" si="2"/>
        <v>0</v>
      </c>
      <c r="H18" s="147">
        <f t="shared" ca="1" si="2"/>
        <v>0</v>
      </c>
      <c r="I18" s="147">
        <f t="shared" ca="1" si="2"/>
        <v>0</v>
      </c>
      <c r="J18" s="147">
        <f t="shared" ca="1" si="2"/>
        <v>0</v>
      </c>
      <c r="K18" s="147">
        <f t="shared" ca="1" si="2"/>
        <v>0</v>
      </c>
      <c r="L18" s="147">
        <f t="shared" ca="1" si="2"/>
        <v>0</v>
      </c>
      <c r="M18" s="147">
        <f t="shared" ca="1" si="2"/>
        <v>0</v>
      </c>
    </row>
    <row r="19" spans="1:13">
      <c r="A19" t="s">
        <v>138</v>
      </c>
      <c r="B19" s="46">
        <f t="shared" ca="1" si="1"/>
        <v>3</v>
      </c>
      <c r="C19" t="str">
        <f ca="1">IF(OFFSET(C19,0,-2)="TT","TOTAL",""&amp;INDIRECT("'Beneficiaries List'!B" &amp; MATCH(A19,'Beneficiaries List'!J:J,0),TRUE))</f>
        <v>TOTAL</v>
      </c>
      <c r="D19" t="str">
        <f ca="1">IF(OFFSET(C19,0,-2)="TT","Consortium",""&amp;INDIRECT("'Beneficiaries List'!C" &amp; MATCH(A19,'Beneficiaries List'!J:J,0),TRUE))</f>
        <v>Consortium</v>
      </c>
      <c r="E19" s="147">
        <f t="shared" ca="1" si="2"/>
        <v>0</v>
      </c>
      <c r="F19" s="147">
        <f t="shared" ca="1" si="2"/>
        <v>0</v>
      </c>
      <c r="G19" s="147">
        <f t="shared" ca="1" si="2"/>
        <v>0</v>
      </c>
      <c r="H19" s="147">
        <f t="shared" ca="1" si="2"/>
        <v>0</v>
      </c>
      <c r="I19" s="147">
        <f t="shared" ca="1" si="2"/>
        <v>0</v>
      </c>
      <c r="J19" s="147">
        <f t="shared" ca="1" si="2"/>
        <v>0</v>
      </c>
      <c r="K19" s="147">
        <f t="shared" ca="1" si="2"/>
        <v>0</v>
      </c>
      <c r="L19" s="147">
        <f t="shared" ca="1" si="2"/>
        <v>0</v>
      </c>
      <c r="M19" s="147">
        <f t="shared" ca="1" si="2"/>
        <v>0</v>
      </c>
    </row>
  </sheetData>
  <sheetProtection algorithmName="SHA-512" hashValue="gjABSnh+RX/TVfaIRXH98VgJZ5aa1PRV7Pam3b4GBlkOU3lsXPpoqNG+mnx3u3rihxzl5RsOWNUed9I44HiYNw==" saltValue="gILL1sB/3254DHryJpy4Kg==" spinCount="100000" sheet="1" objects="1" scenarios="1"/>
  <conditionalFormatting sqref="A2:D2 A1:E1 A20:E1048576 A4:E4 A5:C5 E5 A6 C6:M6">
    <cfRule type="expression" dxfId="51" priority="1641">
      <formula>AND($B1=1,COLUMN(A1)=$D$3)</formula>
    </cfRule>
    <cfRule type="expression" dxfId="50" priority="1642">
      <formula>AND($B1=2,COLUMN(A1)=$D$3)</formula>
    </cfRule>
    <cfRule type="expression" dxfId="49" priority="1643">
      <formula>AND($B1=3,COLUMN(A1)=$D$3)</formula>
    </cfRule>
    <cfRule type="expression" dxfId="48" priority="1644">
      <formula>AND($B1=3,COLUMN(A1)&lt;$D$3)</formula>
    </cfRule>
    <cfRule type="expression" dxfId="47" priority="1645">
      <formula>AND($B1=2,COLUMN(A1)&lt;$D$3)</formula>
    </cfRule>
    <cfRule type="expression" dxfId="46" priority="1646">
      <formula>AND($B1=1,COLUMN(A1)&lt;$D$3)</formula>
    </cfRule>
  </conditionalFormatting>
  <conditionalFormatting sqref="B3:D3">
    <cfRule type="expression" dxfId="45" priority="1647">
      <formula>AND($B1=1,COLUMN(B3)=$D$3)</formula>
    </cfRule>
    <cfRule type="expression" dxfId="44" priority="1648">
      <formula>AND($B1=2,COLUMN(B3)=$D$3)</formula>
    </cfRule>
    <cfRule type="expression" dxfId="43" priority="1649">
      <formula>AND($B1=3,COLUMN(B3)=$D$3)</formula>
    </cfRule>
    <cfRule type="expression" dxfId="42" priority="1650">
      <formula>AND($B1=3,COLUMN(B3)&lt;$D$3)</formula>
    </cfRule>
    <cfRule type="expression" dxfId="41" priority="1651">
      <formula>AND($B1=2,COLUMN(B3)&lt;$D$3)</formula>
    </cfRule>
    <cfRule type="expression" dxfId="40" priority="1652">
      <formula>AND($B1=1,COLUMN(B3)&lt;$D$3)</formula>
    </cfRule>
  </conditionalFormatting>
  <conditionalFormatting sqref="A3">
    <cfRule type="expression" dxfId="39" priority="1653">
      <formula>AND(#REF!=1,COLUMN(A3)=$D$3)</formula>
    </cfRule>
    <cfRule type="expression" dxfId="38" priority="1654">
      <formula>AND(#REF!=2,COLUMN(A3)=$D$3)</formula>
    </cfRule>
    <cfRule type="expression" dxfId="37" priority="1655">
      <formula>AND(#REF!=3,COLUMN(A3)=$D$3)</formula>
    </cfRule>
    <cfRule type="expression" dxfId="36" priority="1656">
      <formula>AND(#REF!=3,COLUMN(A3)&lt;$D$3)</formula>
    </cfRule>
    <cfRule type="expression" dxfId="35" priority="1657">
      <formula>AND(#REF!=2,COLUMN(A3)&lt;$D$3)</formula>
    </cfRule>
    <cfRule type="expression" dxfId="34" priority="1658">
      <formula>AND(#REF!=1,COLUMN(A3)&lt;$D$3)</formula>
    </cfRule>
  </conditionalFormatting>
  <conditionalFormatting sqref="E3">
    <cfRule type="expression" dxfId="33" priority="1659">
      <formula>AND($B1=1,COLUMN(E3)=$D$3)</formula>
    </cfRule>
    <cfRule type="expression" dxfId="32" priority="1660">
      <formula>AND($B1=2,COLUMN(E3)=$D$3)</formula>
    </cfRule>
    <cfRule type="expression" dxfId="31" priority="1661">
      <formula>AND($B1=3,COLUMN(E3)=$D$3)</formula>
    </cfRule>
    <cfRule type="expression" dxfId="30" priority="1662">
      <formula>AND($B1=3,COLUMN(E3)&lt;$D$3)</formula>
    </cfRule>
    <cfRule type="expression" dxfId="29" priority="1663">
      <formula>AND($B1=2,COLUMN(E3)&lt;$D$3)</formula>
    </cfRule>
    <cfRule type="expression" dxfId="28" priority="1664">
      <formula>AND($B1=1,COLUMN(E3)&lt;$D$3)</formula>
    </cfRule>
  </conditionalFormatting>
  <conditionalFormatting sqref="E6:M6">
    <cfRule type="expression" dxfId="27" priority="1640">
      <formula>OFFSET(E6,-3,0)="TT"</formula>
    </cfRule>
  </conditionalFormatting>
  <conditionalFormatting sqref="D5">
    <cfRule type="expression" dxfId="26" priority="488">
      <formula>AND($B5=1,COLUMN(D5)=$D$3)</formula>
    </cfRule>
    <cfRule type="expression" dxfId="25" priority="489">
      <formula>AND($B5=2,COLUMN(D5)=$D$3)</formula>
    </cfRule>
    <cfRule type="expression" dxfId="24" priority="490">
      <formula>AND($B5=3,COLUMN(D5)=$D$3)</formula>
    </cfRule>
    <cfRule type="expression" dxfId="23" priority="491">
      <formula>AND($B5=3,COLUMN(D5)&lt;$D$3)</formula>
    </cfRule>
    <cfRule type="expression" dxfId="22" priority="492">
      <formula>AND($B5=2,COLUMN(D5)&lt;$D$3)</formula>
    </cfRule>
    <cfRule type="expression" dxfId="21" priority="493">
      <formula>AND($B5=1,COLUMN(D5)&lt;$D$3)</formula>
    </cfRule>
  </conditionalFormatting>
  <conditionalFormatting sqref="D5">
    <cfRule type="expression" dxfId="20" priority="487">
      <formula>D4=0</formula>
    </cfRule>
  </conditionalFormatting>
  <conditionalFormatting sqref="B6">
    <cfRule type="expression" dxfId="19" priority="61">
      <formula>AND($B6=1,COLUMN(B6)=$D$3)</formula>
    </cfRule>
    <cfRule type="expression" dxfId="18" priority="62">
      <formula>AND($B6=2,COLUMN(B6)=$D$3)</formula>
    </cfRule>
    <cfRule type="expression" dxfId="17" priority="63">
      <formula>AND($B6=3,COLUMN(B6)=$D$3)</formula>
    </cfRule>
    <cfRule type="expression" dxfId="16" priority="64">
      <formula>AND($B6=3,COLUMN(B6)&lt;$D$3)</formula>
    </cfRule>
    <cfRule type="expression" dxfId="15" priority="65">
      <formula>AND($B6=2,COLUMN(B6)&lt;$D$3)</formula>
    </cfRule>
    <cfRule type="expression" dxfId="14" priority="66">
      <formula>AND($B6=1,COLUMN(B6)&lt;$D$3)</formula>
    </cfRule>
  </conditionalFormatting>
  <conditionalFormatting sqref="B7:D19">
    <cfRule type="expression" dxfId="13" priority="7">
      <formula>AND($B7=1,COLUMN(B7)=$D$3)</formula>
    </cfRule>
    <cfRule type="expression" dxfId="12" priority="8">
      <formula>AND($B7=2,COLUMN(B7)=$D$3)</formula>
    </cfRule>
    <cfRule type="expression" dxfId="11" priority="9">
      <formula>AND($B7=3,COLUMN(B7)=$D$3)</formula>
    </cfRule>
    <cfRule type="expression" dxfId="10" priority="10">
      <formula>AND($B7=3,COLUMN(B7)&lt;$D$3)</formula>
    </cfRule>
    <cfRule type="expression" dxfId="9" priority="11">
      <formula>AND($B7=2,COLUMN(B7)&lt;$D$3)</formula>
    </cfRule>
    <cfRule type="expression" dxfId="8" priority="12">
      <formula>AND($B7=1,COLUMN(B7)&lt;$D$3)</formula>
    </cfRule>
  </conditionalFormatting>
  <conditionalFormatting sqref="E7:M19">
    <cfRule type="expression" dxfId="7" priority="1">
      <formula>AND($B7=1,COLUMN(E7)=$D$3)</formula>
    </cfRule>
    <cfRule type="expression" dxfId="6" priority="2">
      <formula>AND($B7=2,COLUMN(E7)=$D$3)</formula>
    </cfRule>
    <cfRule type="expression" dxfId="5" priority="3">
      <formula>AND($B7=3,COLUMN(E7)=$D$3)</formula>
    </cfRule>
    <cfRule type="expression" dxfId="4" priority="4">
      <formula>AND($B7=3,COLUMN(E7)&lt;$D$3)</formula>
    </cfRule>
    <cfRule type="expression" dxfId="3" priority="5">
      <formula>AND($B7=2,COLUMN(E7)&lt;$D$3)</formula>
    </cfRule>
    <cfRule type="expression" dxfId="2" priority="6">
      <formula>AND($B7=1,COLUMN(E7)&lt;$D$3)</formula>
    </cfRule>
  </conditionalFormatting>
  <pageMargins left="0.7" right="0.7" top="0.75" bottom="0.75" header="0.3" footer="0.3"/>
  <pageSetup paperSize="9" orientation="portrait" verticalDpi="0"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pageSetUpPr fitToPage="1"/>
  </sheetPr>
  <dimension ref="A1:L210"/>
  <sheetViews>
    <sheetView tabSelected="1" zoomScaleNormal="100" workbookViewId="0">
      <pane ySplit="3" topLeftCell="A4" activePane="bottomLeft" state="frozen"/>
      <selection pane="bottomLeft" activeCell="A4" sqref="A4"/>
    </sheetView>
  </sheetViews>
  <sheetFormatPr defaultColWidth="8.85546875" defaultRowHeight="15"/>
  <cols>
    <col min="1" max="1" width="7.5703125" style="176" customWidth="1"/>
    <col min="2" max="2" width="23.5703125" style="176" customWidth="1"/>
    <col min="3" max="3" width="7.5703125" style="176" customWidth="1"/>
    <col min="4" max="4" width="23.5703125" style="176" customWidth="1"/>
    <col min="5" max="5" width="15.5703125" style="176" bestFit="1" customWidth="1"/>
    <col min="6" max="6" width="28.5703125" style="176" customWidth="1"/>
    <col min="7" max="7" width="14.5703125" style="176" customWidth="1"/>
    <col min="8" max="8" width="15.42578125" style="176" bestFit="1" customWidth="1"/>
    <col min="9" max="10" width="14.5703125" style="176" customWidth="1"/>
    <col min="11" max="11" width="19.85546875" style="124" bestFit="1" customWidth="1"/>
    <col min="12" max="12" width="50.5703125" style="176" customWidth="1"/>
    <col min="13" max="16384" width="8.85546875" style="124"/>
  </cols>
  <sheetData>
    <row r="1" spans="1:12" ht="23.25">
      <c r="A1" s="491" t="s">
        <v>927</v>
      </c>
      <c r="B1" s="491"/>
      <c r="C1" s="491"/>
      <c r="D1" s="491"/>
      <c r="E1" s="491"/>
      <c r="F1" s="491"/>
      <c r="G1" s="491"/>
      <c r="H1" s="491"/>
      <c r="I1" s="491"/>
      <c r="J1" s="491"/>
      <c r="K1" s="491"/>
      <c r="L1" s="491"/>
    </row>
    <row r="2" spans="1:12" ht="11.1" customHeight="1" thickBot="1">
      <c r="A2" s="124"/>
      <c r="B2" s="124"/>
      <c r="C2" s="124"/>
      <c r="D2" s="124"/>
      <c r="E2" s="124"/>
      <c r="F2" s="124"/>
      <c r="G2" s="124"/>
      <c r="H2" s="124"/>
      <c r="I2" s="124"/>
      <c r="J2" s="124"/>
      <c r="L2" s="124"/>
    </row>
    <row r="3" spans="1:12" s="173" customFormat="1" ht="63">
      <c r="A3" s="169" t="s">
        <v>928</v>
      </c>
      <c r="B3" s="170" t="s">
        <v>929</v>
      </c>
      <c r="C3" s="171" t="s">
        <v>930</v>
      </c>
      <c r="D3" s="170" t="s">
        <v>931</v>
      </c>
      <c r="E3" s="170" t="s">
        <v>932</v>
      </c>
      <c r="F3" s="170" t="s">
        <v>933</v>
      </c>
      <c r="G3" s="170" t="s">
        <v>934</v>
      </c>
      <c r="H3" s="170" t="s">
        <v>935</v>
      </c>
      <c r="I3" s="170" t="s">
        <v>936</v>
      </c>
      <c r="J3" s="170" t="s">
        <v>937</v>
      </c>
      <c r="K3" s="170" t="s">
        <v>938</v>
      </c>
      <c r="L3" s="172" t="s">
        <v>939</v>
      </c>
    </row>
    <row r="4" spans="1:12">
      <c r="A4" s="177"/>
      <c r="B4" s="178"/>
      <c r="C4" s="178"/>
      <c r="D4" s="178"/>
      <c r="E4" s="152"/>
      <c r="F4" s="179"/>
      <c r="G4" s="180"/>
      <c r="H4" s="178"/>
      <c r="I4" s="181"/>
      <c r="J4" s="181"/>
      <c r="K4" s="174">
        <f t="shared" ref="K4:K69" si="0">+H4*I4*J4</f>
        <v>0</v>
      </c>
      <c r="L4" s="182"/>
    </row>
    <row r="5" spans="1:12">
      <c r="A5" s="177"/>
      <c r="B5" s="178"/>
      <c r="C5" s="178"/>
      <c r="D5" s="178"/>
      <c r="E5" s="152"/>
      <c r="F5" s="183"/>
      <c r="G5" s="180"/>
      <c r="H5" s="178"/>
      <c r="I5" s="181"/>
      <c r="J5" s="184"/>
      <c r="K5" s="174">
        <f t="shared" si="0"/>
        <v>0</v>
      </c>
      <c r="L5" s="182"/>
    </row>
    <row r="6" spans="1:12">
      <c r="A6" s="177"/>
      <c r="B6" s="178"/>
      <c r="C6" s="178"/>
      <c r="D6" s="178"/>
      <c r="E6" s="152"/>
      <c r="F6" s="183"/>
      <c r="G6" s="180"/>
      <c r="H6" s="178"/>
      <c r="I6" s="181"/>
      <c r="J6" s="184"/>
      <c r="K6" s="174">
        <f t="shared" si="0"/>
        <v>0</v>
      </c>
      <c r="L6" s="182"/>
    </row>
    <row r="7" spans="1:12">
      <c r="A7" s="177"/>
      <c r="B7" s="178"/>
      <c r="C7" s="178"/>
      <c r="D7" s="178"/>
      <c r="E7" s="152"/>
      <c r="F7" s="183"/>
      <c r="G7" s="180"/>
      <c r="H7" s="178"/>
      <c r="I7" s="181"/>
      <c r="J7" s="184"/>
      <c r="K7" s="174">
        <f t="shared" si="0"/>
        <v>0</v>
      </c>
      <c r="L7" s="182"/>
    </row>
    <row r="8" spans="1:12">
      <c r="A8" s="177"/>
      <c r="B8" s="178"/>
      <c r="C8" s="178"/>
      <c r="D8" s="178"/>
      <c r="E8" s="152"/>
      <c r="F8" s="183"/>
      <c r="G8" s="180"/>
      <c r="H8" s="178"/>
      <c r="I8" s="181"/>
      <c r="J8" s="184"/>
      <c r="K8" s="174">
        <f t="shared" si="0"/>
        <v>0</v>
      </c>
      <c r="L8" s="182"/>
    </row>
    <row r="9" spans="1:12">
      <c r="A9" s="177"/>
      <c r="B9" s="178"/>
      <c r="C9" s="178"/>
      <c r="D9" s="178"/>
      <c r="E9" s="152"/>
      <c r="F9" s="183"/>
      <c r="G9" s="180"/>
      <c r="H9" s="178"/>
      <c r="I9" s="181"/>
      <c r="J9" s="184"/>
      <c r="K9" s="174">
        <f t="shared" si="0"/>
        <v>0</v>
      </c>
      <c r="L9" s="182"/>
    </row>
    <row r="10" spans="1:12">
      <c r="A10" s="177"/>
      <c r="B10" s="178"/>
      <c r="C10" s="178"/>
      <c r="D10" s="178"/>
      <c r="E10" s="152"/>
      <c r="F10" s="183"/>
      <c r="G10" s="180"/>
      <c r="H10" s="178"/>
      <c r="I10" s="181"/>
      <c r="J10" s="184"/>
      <c r="K10" s="174">
        <f t="shared" si="0"/>
        <v>0</v>
      </c>
      <c r="L10" s="182"/>
    </row>
    <row r="11" spans="1:12">
      <c r="A11" s="177"/>
      <c r="B11" s="178"/>
      <c r="C11" s="178"/>
      <c r="D11" s="178"/>
      <c r="E11" s="152"/>
      <c r="F11" s="183"/>
      <c r="G11" s="180"/>
      <c r="H11" s="178"/>
      <c r="I11" s="181"/>
      <c r="J11" s="184"/>
      <c r="K11" s="174">
        <f t="shared" si="0"/>
        <v>0</v>
      </c>
      <c r="L11" s="182"/>
    </row>
    <row r="12" spans="1:12">
      <c r="A12" s="177"/>
      <c r="B12" s="178"/>
      <c r="C12" s="178"/>
      <c r="D12" s="178"/>
      <c r="E12" s="152"/>
      <c r="F12" s="183"/>
      <c r="G12" s="180"/>
      <c r="H12" s="178"/>
      <c r="I12" s="181"/>
      <c r="J12" s="184"/>
      <c r="K12" s="174">
        <f t="shared" si="0"/>
        <v>0</v>
      </c>
      <c r="L12" s="182"/>
    </row>
    <row r="13" spans="1:12">
      <c r="A13" s="177"/>
      <c r="B13" s="178"/>
      <c r="C13" s="178"/>
      <c r="D13" s="178"/>
      <c r="E13" s="152"/>
      <c r="F13" s="183"/>
      <c r="G13" s="180"/>
      <c r="H13" s="178"/>
      <c r="I13" s="181"/>
      <c r="J13" s="184"/>
      <c r="K13" s="174">
        <f t="shared" si="0"/>
        <v>0</v>
      </c>
      <c r="L13" s="182"/>
    </row>
    <row r="14" spans="1:12">
      <c r="A14" s="177"/>
      <c r="B14" s="178"/>
      <c r="C14" s="178"/>
      <c r="D14" s="178"/>
      <c r="E14" s="152"/>
      <c r="F14" s="183"/>
      <c r="G14" s="180"/>
      <c r="H14" s="178"/>
      <c r="I14" s="181"/>
      <c r="J14" s="184"/>
      <c r="K14" s="174">
        <f t="shared" si="0"/>
        <v>0</v>
      </c>
      <c r="L14" s="182"/>
    </row>
    <row r="15" spans="1:12">
      <c r="A15" s="177"/>
      <c r="B15" s="178"/>
      <c r="C15" s="178"/>
      <c r="D15" s="178"/>
      <c r="E15" s="152"/>
      <c r="F15" s="183"/>
      <c r="G15" s="180"/>
      <c r="H15" s="178"/>
      <c r="I15" s="181"/>
      <c r="J15" s="184"/>
      <c r="K15" s="174">
        <f t="shared" si="0"/>
        <v>0</v>
      </c>
      <c r="L15" s="182"/>
    </row>
    <row r="16" spans="1:12">
      <c r="A16" s="177"/>
      <c r="B16" s="178"/>
      <c r="C16" s="178"/>
      <c r="D16" s="178"/>
      <c r="E16" s="152"/>
      <c r="F16" s="183"/>
      <c r="G16" s="180"/>
      <c r="H16" s="178"/>
      <c r="I16" s="181"/>
      <c r="J16" s="184"/>
      <c r="K16" s="174">
        <f t="shared" si="0"/>
        <v>0</v>
      </c>
      <c r="L16" s="182"/>
    </row>
    <row r="17" spans="1:12">
      <c r="A17" s="177"/>
      <c r="B17" s="178"/>
      <c r="C17" s="178"/>
      <c r="D17" s="178"/>
      <c r="E17" s="152"/>
      <c r="F17" s="183"/>
      <c r="G17" s="180"/>
      <c r="H17" s="178"/>
      <c r="I17" s="181"/>
      <c r="J17" s="184"/>
      <c r="K17" s="174">
        <f t="shared" si="0"/>
        <v>0</v>
      </c>
      <c r="L17" s="182"/>
    </row>
    <row r="18" spans="1:12">
      <c r="A18" s="177"/>
      <c r="B18" s="178"/>
      <c r="C18" s="178"/>
      <c r="D18" s="178"/>
      <c r="E18" s="152"/>
      <c r="F18" s="183"/>
      <c r="G18" s="180"/>
      <c r="H18" s="178"/>
      <c r="I18" s="181"/>
      <c r="J18" s="184"/>
      <c r="K18" s="174">
        <f t="shared" si="0"/>
        <v>0</v>
      </c>
      <c r="L18" s="182"/>
    </row>
    <row r="19" spans="1:12">
      <c r="A19" s="177"/>
      <c r="B19" s="178"/>
      <c r="C19" s="178"/>
      <c r="D19" s="178"/>
      <c r="E19" s="152"/>
      <c r="F19" s="183"/>
      <c r="G19" s="180"/>
      <c r="H19" s="178"/>
      <c r="I19" s="181"/>
      <c r="J19" s="184"/>
      <c r="K19" s="174">
        <f t="shared" si="0"/>
        <v>0</v>
      </c>
      <c r="L19" s="182"/>
    </row>
    <row r="20" spans="1:12">
      <c r="A20" s="177"/>
      <c r="B20" s="178"/>
      <c r="C20" s="178"/>
      <c r="D20" s="178"/>
      <c r="E20" s="152"/>
      <c r="F20" s="183"/>
      <c r="G20" s="180"/>
      <c r="H20" s="178"/>
      <c r="I20" s="181"/>
      <c r="J20" s="184"/>
      <c r="K20" s="174">
        <f t="shared" si="0"/>
        <v>0</v>
      </c>
      <c r="L20" s="182"/>
    </row>
    <row r="21" spans="1:12">
      <c r="A21" s="177"/>
      <c r="B21" s="178"/>
      <c r="C21" s="178"/>
      <c r="D21" s="178"/>
      <c r="E21" s="152"/>
      <c r="F21" s="183"/>
      <c r="G21" s="180"/>
      <c r="H21" s="178"/>
      <c r="I21" s="181"/>
      <c r="J21" s="184"/>
      <c r="K21" s="174">
        <f t="shared" si="0"/>
        <v>0</v>
      </c>
      <c r="L21" s="182"/>
    </row>
    <row r="22" spans="1:12">
      <c r="A22" s="177"/>
      <c r="B22" s="178"/>
      <c r="C22" s="178"/>
      <c r="D22" s="178"/>
      <c r="E22" s="152"/>
      <c r="F22" s="183"/>
      <c r="G22" s="180"/>
      <c r="H22" s="178"/>
      <c r="I22" s="181"/>
      <c r="J22" s="184"/>
      <c r="K22" s="174">
        <f t="shared" si="0"/>
        <v>0</v>
      </c>
      <c r="L22" s="182"/>
    </row>
    <row r="23" spans="1:12">
      <c r="A23" s="177"/>
      <c r="B23" s="178"/>
      <c r="C23" s="178"/>
      <c r="D23" s="178"/>
      <c r="E23" s="152"/>
      <c r="F23" s="183"/>
      <c r="G23" s="180"/>
      <c r="H23" s="178"/>
      <c r="I23" s="181"/>
      <c r="J23" s="184"/>
      <c r="K23" s="174">
        <f t="shared" si="0"/>
        <v>0</v>
      </c>
      <c r="L23" s="182"/>
    </row>
    <row r="24" spans="1:12">
      <c r="A24" s="177"/>
      <c r="B24" s="178"/>
      <c r="C24" s="178"/>
      <c r="D24" s="178"/>
      <c r="E24" s="152"/>
      <c r="F24" s="183"/>
      <c r="G24" s="180"/>
      <c r="H24" s="178"/>
      <c r="I24" s="181"/>
      <c r="J24" s="184"/>
      <c r="K24" s="174">
        <f t="shared" si="0"/>
        <v>0</v>
      </c>
      <c r="L24" s="182"/>
    </row>
    <row r="25" spans="1:12">
      <c r="A25" s="177"/>
      <c r="B25" s="178"/>
      <c r="C25" s="178"/>
      <c r="D25" s="178"/>
      <c r="E25" s="152"/>
      <c r="F25" s="183"/>
      <c r="G25" s="180"/>
      <c r="H25" s="178"/>
      <c r="I25" s="181"/>
      <c r="J25" s="184"/>
      <c r="K25" s="174">
        <f t="shared" si="0"/>
        <v>0</v>
      </c>
      <c r="L25" s="182"/>
    </row>
    <row r="26" spans="1:12">
      <c r="A26" s="177"/>
      <c r="B26" s="178"/>
      <c r="C26" s="178"/>
      <c r="D26" s="178"/>
      <c r="E26" s="152"/>
      <c r="F26" s="183"/>
      <c r="G26" s="180"/>
      <c r="H26" s="178"/>
      <c r="I26" s="181"/>
      <c r="J26" s="184"/>
      <c r="K26" s="174">
        <f t="shared" si="0"/>
        <v>0</v>
      </c>
      <c r="L26" s="182"/>
    </row>
    <row r="27" spans="1:12">
      <c r="A27" s="177"/>
      <c r="B27" s="178"/>
      <c r="C27" s="178"/>
      <c r="D27" s="178"/>
      <c r="E27" s="152"/>
      <c r="F27" s="183"/>
      <c r="G27" s="180"/>
      <c r="H27" s="178"/>
      <c r="I27" s="181"/>
      <c r="J27" s="184"/>
      <c r="K27" s="174">
        <f t="shared" si="0"/>
        <v>0</v>
      </c>
      <c r="L27" s="182"/>
    </row>
    <row r="28" spans="1:12">
      <c r="A28" s="177"/>
      <c r="B28" s="178"/>
      <c r="C28" s="178"/>
      <c r="D28" s="178"/>
      <c r="E28" s="152"/>
      <c r="F28" s="183"/>
      <c r="G28" s="180"/>
      <c r="H28" s="178"/>
      <c r="I28" s="181"/>
      <c r="J28" s="184"/>
      <c r="K28" s="174">
        <f t="shared" si="0"/>
        <v>0</v>
      </c>
      <c r="L28" s="182"/>
    </row>
    <row r="29" spans="1:12">
      <c r="A29" s="177"/>
      <c r="B29" s="178"/>
      <c r="C29" s="178"/>
      <c r="D29" s="178"/>
      <c r="E29" s="152"/>
      <c r="F29" s="183"/>
      <c r="G29" s="180"/>
      <c r="H29" s="178"/>
      <c r="I29" s="181"/>
      <c r="J29" s="184"/>
      <c r="K29" s="174">
        <f t="shared" si="0"/>
        <v>0</v>
      </c>
      <c r="L29" s="182"/>
    </row>
    <row r="30" spans="1:12">
      <c r="A30" s="177"/>
      <c r="B30" s="178"/>
      <c r="C30" s="178"/>
      <c r="D30" s="178"/>
      <c r="E30" s="152"/>
      <c r="F30" s="183"/>
      <c r="G30" s="180"/>
      <c r="H30" s="178"/>
      <c r="I30" s="181"/>
      <c r="J30" s="184"/>
      <c r="K30" s="174">
        <f t="shared" si="0"/>
        <v>0</v>
      </c>
      <c r="L30" s="182"/>
    </row>
    <row r="31" spans="1:12">
      <c r="A31" s="177"/>
      <c r="B31" s="178"/>
      <c r="C31" s="178"/>
      <c r="D31" s="178"/>
      <c r="E31" s="152"/>
      <c r="F31" s="183"/>
      <c r="G31" s="180"/>
      <c r="H31" s="178"/>
      <c r="I31" s="181"/>
      <c r="J31" s="184"/>
      <c r="K31" s="174">
        <f t="shared" si="0"/>
        <v>0</v>
      </c>
      <c r="L31" s="182"/>
    </row>
    <row r="32" spans="1:12">
      <c r="A32" s="177"/>
      <c r="B32" s="178"/>
      <c r="C32" s="178"/>
      <c r="D32" s="178"/>
      <c r="E32" s="152"/>
      <c r="F32" s="183"/>
      <c r="G32" s="180"/>
      <c r="H32" s="178"/>
      <c r="I32" s="181"/>
      <c r="J32" s="184"/>
      <c r="K32" s="174">
        <f t="shared" si="0"/>
        <v>0</v>
      </c>
      <c r="L32" s="182"/>
    </row>
    <row r="33" spans="1:12">
      <c r="A33" s="177"/>
      <c r="B33" s="178"/>
      <c r="C33" s="178"/>
      <c r="D33" s="178"/>
      <c r="E33" s="152"/>
      <c r="F33" s="183"/>
      <c r="G33" s="180"/>
      <c r="H33" s="178"/>
      <c r="I33" s="181"/>
      <c r="J33" s="184"/>
      <c r="K33" s="174">
        <f t="shared" si="0"/>
        <v>0</v>
      </c>
      <c r="L33" s="182"/>
    </row>
    <row r="34" spans="1:12">
      <c r="A34" s="177"/>
      <c r="B34" s="178"/>
      <c r="C34" s="178"/>
      <c r="D34" s="178"/>
      <c r="E34" s="152"/>
      <c r="F34" s="183"/>
      <c r="G34" s="180"/>
      <c r="H34" s="178"/>
      <c r="I34" s="181"/>
      <c r="J34" s="184"/>
      <c r="K34" s="174">
        <f t="shared" si="0"/>
        <v>0</v>
      </c>
      <c r="L34" s="182"/>
    </row>
    <row r="35" spans="1:12">
      <c r="A35" s="177"/>
      <c r="B35" s="178"/>
      <c r="C35" s="178"/>
      <c r="D35" s="178"/>
      <c r="E35" s="152"/>
      <c r="F35" s="183"/>
      <c r="G35" s="180"/>
      <c r="H35" s="178"/>
      <c r="I35" s="181"/>
      <c r="J35" s="184"/>
      <c r="K35" s="174">
        <f t="shared" si="0"/>
        <v>0</v>
      </c>
      <c r="L35" s="182"/>
    </row>
    <row r="36" spans="1:12">
      <c r="A36" s="177"/>
      <c r="B36" s="178"/>
      <c r="C36" s="178"/>
      <c r="D36" s="178"/>
      <c r="E36" s="152"/>
      <c r="F36" s="183"/>
      <c r="G36" s="180"/>
      <c r="H36" s="178"/>
      <c r="I36" s="181"/>
      <c r="J36" s="184"/>
      <c r="K36" s="174">
        <f t="shared" si="0"/>
        <v>0</v>
      </c>
      <c r="L36" s="182"/>
    </row>
    <row r="37" spans="1:12">
      <c r="A37" s="177"/>
      <c r="B37" s="178"/>
      <c r="C37" s="178"/>
      <c r="D37" s="178"/>
      <c r="E37" s="152"/>
      <c r="F37" s="183"/>
      <c r="G37" s="180"/>
      <c r="H37" s="178"/>
      <c r="I37" s="181"/>
      <c r="J37" s="184"/>
      <c r="K37" s="174">
        <f t="shared" si="0"/>
        <v>0</v>
      </c>
      <c r="L37" s="182"/>
    </row>
    <row r="38" spans="1:12">
      <c r="A38" s="177"/>
      <c r="B38" s="178"/>
      <c r="C38" s="178"/>
      <c r="D38" s="178"/>
      <c r="E38" s="152"/>
      <c r="F38" s="183"/>
      <c r="G38" s="180"/>
      <c r="H38" s="178"/>
      <c r="I38" s="181"/>
      <c r="J38" s="184"/>
      <c r="K38" s="174">
        <f t="shared" si="0"/>
        <v>0</v>
      </c>
      <c r="L38" s="182"/>
    </row>
    <row r="39" spans="1:12">
      <c r="A39" s="177"/>
      <c r="B39" s="178"/>
      <c r="C39" s="178"/>
      <c r="D39" s="178"/>
      <c r="E39" s="152"/>
      <c r="F39" s="183"/>
      <c r="G39" s="180"/>
      <c r="H39" s="178"/>
      <c r="I39" s="181"/>
      <c r="J39" s="184"/>
      <c r="K39" s="174">
        <f t="shared" si="0"/>
        <v>0</v>
      </c>
      <c r="L39" s="182"/>
    </row>
    <row r="40" spans="1:12">
      <c r="A40" s="177"/>
      <c r="B40" s="178"/>
      <c r="C40" s="178"/>
      <c r="D40" s="178"/>
      <c r="E40" s="152"/>
      <c r="F40" s="183"/>
      <c r="G40" s="180"/>
      <c r="H40" s="178"/>
      <c r="I40" s="181"/>
      <c r="J40" s="184"/>
      <c r="K40" s="174">
        <f t="shared" si="0"/>
        <v>0</v>
      </c>
      <c r="L40" s="182"/>
    </row>
    <row r="41" spans="1:12">
      <c r="A41" s="177"/>
      <c r="B41" s="178"/>
      <c r="C41" s="178"/>
      <c r="D41" s="178"/>
      <c r="E41" s="152"/>
      <c r="F41" s="183"/>
      <c r="G41" s="180"/>
      <c r="H41" s="178"/>
      <c r="I41" s="181"/>
      <c r="J41" s="184"/>
      <c r="K41" s="174">
        <f t="shared" si="0"/>
        <v>0</v>
      </c>
      <c r="L41" s="182"/>
    </row>
    <row r="42" spans="1:12">
      <c r="A42" s="177"/>
      <c r="B42" s="178"/>
      <c r="C42" s="178"/>
      <c r="D42" s="178"/>
      <c r="E42" s="152"/>
      <c r="F42" s="183"/>
      <c r="G42" s="180"/>
      <c r="H42" s="178"/>
      <c r="I42" s="181"/>
      <c r="J42" s="184"/>
      <c r="K42" s="174">
        <f t="shared" si="0"/>
        <v>0</v>
      </c>
      <c r="L42" s="182"/>
    </row>
    <row r="43" spans="1:12">
      <c r="A43" s="177"/>
      <c r="B43" s="178"/>
      <c r="C43" s="178"/>
      <c r="D43" s="178"/>
      <c r="E43" s="152"/>
      <c r="F43" s="183"/>
      <c r="G43" s="180"/>
      <c r="H43" s="178"/>
      <c r="I43" s="181"/>
      <c r="J43" s="184"/>
      <c r="K43" s="174">
        <f t="shared" si="0"/>
        <v>0</v>
      </c>
      <c r="L43" s="182"/>
    </row>
    <row r="44" spans="1:12">
      <c r="A44" s="177"/>
      <c r="B44" s="178"/>
      <c r="C44" s="178"/>
      <c r="D44" s="178"/>
      <c r="E44" s="152"/>
      <c r="F44" s="183"/>
      <c r="G44" s="180"/>
      <c r="H44" s="178"/>
      <c r="I44" s="181"/>
      <c r="J44" s="184"/>
      <c r="K44" s="174">
        <f t="shared" si="0"/>
        <v>0</v>
      </c>
      <c r="L44" s="182"/>
    </row>
    <row r="45" spans="1:12">
      <c r="A45" s="177"/>
      <c r="B45" s="178"/>
      <c r="C45" s="178"/>
      <c r="D45" s="178"/>
      <c r="E45" s="152"/>
      <c r="F45" s="183"/>
      <c r="G45" s="180"/>
      <c r="H45" s="178"/>
      <c r="I45" s="181"/>
      <c r="J45" s="184"/>
      <c r="K45" s="174">
        <f t="shared" si="0"/>
        <v>0</v>
      </c>
      <c r="L45" s="182"/>
    </row>
    <row r="46" spans="1:12">
      <c r="A46" s="177"/>
      <c r="B46" s="178"/>
      <c r="C46" s="178"/>
      <c r="D46" s="178"/>
      <c r="E46" s="152"/>
      <c r="F46" s="183"/>
      <c r="G46" s="180"/>
      <c r="H46" s="178"/>
      <c r="I46" s="181"/>
      <c r="J46" s="184"/>
      <c r="K46" s="174">
        <f t="shared" si="0"/>
        <v>0</v>
      </c>
      <c r="L46" s="182"/>
    </row>
    <row r="47" spans="1:12">
      <c r="A47" s="177"/>
      <c r="B47" s="178"/>
      <c r="C47" s="178"/>
      <c r="D47" s="178"/>
      <c r="E47" s="152"/>
      <c r="F47" s="183"/>
      <c r="G47" s="180"/>
      <c r="H47" s="178"/>
      <c r="I47" s="181"/>
      <c r="J47" s="184"/>
      <c r="K47" s="174">
        <f t="shared" si="0"/>
        <v>0</v>
      </c>
      <c r="L47" s="182"/>
    </row>
    <row r="48" spans="1:12">
      <c r="A48" s="177"/>
      <c r="B48" s="178"/>
      <c r="C48" s="178"/>
      <c r="D48" s="178"/>
      <c r="E48" s="152"/>
      <c r="F48" s="183"/>
      <c r="G48" s="180"/>
      <c r="H48" s="178"/>
      <c r="I48" s="181"/>
      <c r="J48" s="184"/>
      <c r="K48" s="174">
        <f t="shared" si="0"/>
        <v>0</v>
      </c>
      <c r="L48" s="182"/>
    </row>
    <row r="49" spans="1:12">
      <c r="A49" s="177"/>
      <c r="B49" s="178"/>
      <c r="C49" s="178"/>
      <c r="D49" s="178"/>
      <c r="E49" s="152"/>
      <c r="F49" s="183"/>
      <c r="G49" s="180"/>
      <c r="H49" s="178"/>
      <c r="I49" s="181"/>
      <c r="J49" s="184"/>
      <c r="K49" s="174">
        <f t="shared" si="0"/>
        <v>0</v>
      </c>
      <c r="L49" s="182"/>
    </row>
    <row r="50" spans="1:12">
      <c r="A50" s="177"/>
      <c r="B50" s="178"/>
      <c r="C50" s="178"/>
      <c r="D50" s="178"/>
      <c r="E50" s="152"/>
      <c r="F50" s="183"/>
      <c r="G50" s="180"/>
      <c r="H50" s="178"/>
      <c r="I50" s="181"/>
      <c r="J50" s="184"/>
      <c r="K50" s="174">
        <f t="shared" si="0"/>
        <v>0</v>
      </c>
      <c r="L50" s="182"/>
    </row>
    <row r="51" spans="1:12">
      <c r="A51" s="177"/>
      <c r="B51" s="178"/>
      <c r="C51" s="178"/>
      <c r="D51" s="178"/>
      <c r="E51" s="152"/>
      <c r="F51" s="183"/>
      <c r="G51" s="180"/>
      <c r="H51" s="178"/>
      <c r="I51" s="181"/>
      <c r="J51" s="184"/>
      <c r="K51" s="174">
        <f t="shared" si="0"/>
        <v>0</v>
      </c>
      <c r="L51" s="182"/>
    </row>
    <row r="52" spans="1:12">
      <c r="A52" s="177"/>
      <c r="B52" s="178"/>
      <c r="C52" s="178"/>
      <c r="D52" s="178"/>
      <c r="E52" s="152"/>
      <c r="F52" s="183"/>
      <c r="G52" s="180"/>
      <c r="H52" s="178"/>
      <c r="I52" s="181"/>
      <c r="J52" s="184"/>
      <c r="K52" s="174">
        <f t="shared" si="0"/>
        <v>0</v>
      </c>
      <c r="L52" s="182"/>
    </row>
    <row r="53" spans="1:12">
      <c r="A53" s="177"/>
      <c r="B53" s="178"/>
      <c r="C53" s="178"/>
      <c r="D53" s="178"/>
      <c r="E53" s="152"/>
      <c r="F53" s="183"/>
      <c r="G53" s="180"/>
      <c r="H53" s="178"/>
      <c r="I53" s="181"/>
      <c r="J53" s="184"/>
      <c r="K53" s="174">
        <f t="shared" si="0"/>
        <v>0</v>
      </c>
      <c r="L53" s="182"/>
    </row>
    <row r="54" spans="1:12">
      <c r="A54" s="177"/>
      <c r="B54" s="178"/>
      <c r="C54" s="178"/>
      <c r="D54" s="178"/>
      <c r="E54" s="152"/>
      <c r="F54" s="183"/>
      <c r="G54" s="180"/>
      <c r="H54" s="178"/>
      <c r="I54" s="181"/>
      <c r="J54" s="184"/>
      <c r="K54" s="174">
        <f t="shared" si="0"/>
        <v>0</v>
      </c>
      <c r="L54" s="182"/>
    </row>
    <row r="55" spans="1:12">
      <c r="A55" s="177"/>
      <c r="B55" s="178"/>
      <c r="C55" s="178"/>
      <c r="D55" s="178"/>
      <c r="E55" s="152"/>
      <c r="F55" s="183"/>
      <c r="G55" s="180"/>
      <c r="H55" s="178"/>
      <c r="I55" s="181"/>
      <c r="J55" s="184"/>
      <c r="K55" s="174">
        <f t="shared" si="0"/>
        <v>0</v>
      </c>
      <c r="L55" s="182"/>
    </row>
    <row r="56" spans="1:12">
      <c r="A56" s="177"/>
      <c r="B56" s="178"/>
      <c r="C56" s="178"/>
      <c r="D56" s="178"/>
      <c r="E56" s="152"/>
      <c r="F56" s="183"/>
      <c r="G56" s="180"/>
      <c r="H56" s="178"/>
      <c r="I56" s="181"/>
      <c r="J56" s="184"/>
      <c r="K56" s="174">
        <f t="shared" si="0"/>
        <v>0</v>
      </c>
      <c r="L56" s="182"/>
    </row>
    <row r="57" spans="1:12">
      <c r="A57" s="177"/>
      <c r="B57" s="178"/>
      <c r="C57" s="178"/>
      <c r="D57" s="178"/>
      <c r="E57" s="152"/>
      <c r="F57" s="183"/>
      <c r="G57" s="180"/>
      <c r="H57" s="178"/>
      <c r="I57" s="181"/>
      <c r="J57" s="184"/>
      <c r="K57" s="174">
        <f t="shared" si="0"/>
        <v>0</v>
      </c>
      <c r="L57" s="182"/>
    </row>
    <row r="58" spans="1:12">
      <c r="A58" s="177"/>
      <c r="B58" s="178"/>
      <c r="C58" s="178"/>
      <c r="D58" s="178"/>
      <c r="E58" s="152"/>
      <c r="F58" s="183"/>
      <c r="G58" s="180"/>
      <c r="H58" s="178"/>
      <c r="I58" s="181"/>
      <c r="J58" s="184"/>
      <c r="K58" s="174">
        <f t="shared" si="0"/>
        <v>0</v>
      </c>
      <c r="L58" s="182"/>
    </row>
    <row r="59" spans="1:12">
      <c r="A59" s="177"/>
      <c r="B59" s="178"/>
      <c r="C59" s="178"/>
      <c r="D59" s="178"/>
      <c r="E59" s="152"/>
      <c r="F59" s="183"/>
      <c r="G59" s="180"/>
      <c r="H59" s="178"/>
      <c r="I59" s="181"/>
      <c r="J59" s="184"/>
      <c r="K59" s="174">
        <f t="shared" si="0"/>
        <v>0</v>
      </c>
      <c r="L59" s="182"/>
    </row>
    <row r="60" spans="1:12">
      <c r="A60" s="177"/>
      <c r="B60" s="178"/>
      <c r="C60" s="178"/>
      <c r="D60" s="178"/>
      <c r="E60" s="152"/>
      <c r="F60" s="183"/>
      <c r="G60" s="180"/>
      <c r="H60" s="178"/>
      <c r="I60" s="181"/>
      <c r="J60" s="184"/>
      <c r="K60" s="174">
        <f t="shared" si="0"/>
        <v>0</v>
      </c>
      <c r="L60" s="182"/>
    </row>
    <row r="61" spans="1:12">
      <c r="A61" s="177"/>
      <c r="B61" s="178"/>
      <c r="C61" s="178"/>
      <c r="D61" s="178"/>
      <c r="E61" s="152"/>
      <c r="F61" s="183"/>
      <c r="G61" s="180"/>
      <c r="H61" s="178"/>
      <c r="I61" s="181"/>
      <c r="J61" s="184"/>
      <c r="K61" s="174">
        <f t="shared" si="0"/>
        <v>0</v>
      </c>
      <c r="L61" s="182"/>
    </row>
    <row r="62" spans="1:12">
      <c r="A62" s="177"/>
      <c r="B62" s="178"/>
      <c r="C62" s="178"/>
      <c r="D62" s="178"/>
      <c r="E62" s="152"/>
      <c r="F62" s="183"/>
      <c r="G62" s="180"/>
      <c r="H62" s="178"/>
      <c r="I62" s="181"/>
      <c r="J62" s="184"/>
      <c r="K62" s="174">
        <f t="shared" si="0"/>
        <v>0</v>
      </c>
      <c r="L62" s="182"/>
    </row>
    <row r="63" spans="1:12">
      <c r="A63" s="177"/>
      <c r="B63" s="178"/>
      <c r="C63" s="178"/>
      <c r="D63" s="178"/>
      <c r="E63" s="152"/>
      <c r="F63" s="183"/>
      <c r="G63" s="180"/>
      <c r="H63" s="178"/>
      <c r="I63" s="181"/>
      <c r="J63" s="184"/>
      <c r="K63" s="174">
        <f t="shared" si="0"/>
        <v>0</v>
      </c>
      <c r="L63" s="182"/>
    </row>
    <row r="64" spans="1:12">
      <c r="A64" s="177"/>
      <c r="B64" s="178"/>
      <c r="C64" s="178"/>
      <c r="D64" s="178"/>
      <c r="E64" s="152"/>
      <c r="F64" s="183"/>
      <c r="G64" s="180"/>
      <c r="H64" s="178"/>
      <c r="I64" s="181"/>
      <c r="J64" s="184"/>
      <c r="K64" s="174">
        <f t="shared" si="0"/>
        <v>0</v>
      </c>
      <c r="L64" s="182"/>
    </row>
    <row r="65" spans="1:12">
      <c r="A65" s="177"/>
      <c r="B65" s="178"/>
      <c r="C65" s="178"/>
      <c r="D65" s="178"/>
      <c r="E65" s="152"/>
      <c r="F65" s="183"/>
      <c r="G65" s="180"/>
      <c r="H65" s="178"/>
      <c r="I65" s="181"/>
      <c r="J65" s="184"/>
      <c r="K65" s="174">
        <f t="shared" si="0"/>
        <v>0</v>
      </c>
      <c r="L65" s="182"/>
    </row>
    <row r="66" spans="1:12">
      <c r="A66" s="177"/>
      <c r="B66" s="178"/>
      <c r="C66" s="178"/>
      <c r="D66" s="178"/>
      <c r="E66" s="152"/>
      <c r="F66" s="183"/>
      <c r="G66" s="180"/>
      <c r="H66" s="178"/>
      <c r="I66" s="181"/>
      <c r="J66" s="184"/>
      <c r="K66" s="174">
        <f t="shared" si="0"/>
        <v>0</v>
      </c>
      <c r="L66" s="182"/>
    </row>
    <row r="67" spans="1:12">
      <c r="A67" s="177"/>
      <c r="B67" s="178"/>
      <c r="C67" s="178"/>
      <c r="D67" s="178"/>
      <c r="E67" s="152"/>
      <c r="F67" s="183"/>
      <c r="G67" s="180"/>
      <c r="H67" s="178"/>
      <c r="I67" s="181"/>
      <c r="J67" s="184"/>
      <c r="K67" s="174">
        <f t="shared" si="0"/>
        <v>0</v>
      </c>
      <c r="L67" s="182"/>
    </row>
    <row r="68" spans="1:12">
      <c r="A68" s="177"/>
      <c r="B68" s="178"/>
      <c r="C68" s="178"/>
      <c r="D68" s="178"/>
      <c r="E68" s="152"/>
      <c r="F68" s="183"/>
      <c r="G68" s="180"/>
      <c r="H68" s="178"/>
      <c r="I68" s="181"/>
      <c r="J68" s="184"/>
      <c r="K68" s="174">
        <f t="shared" si="0"/>
        <v>0</v>
      </c>
      <c r="L68" s="182"/>
    </row>
    <row r="69" spans="1:12">
      <c r="A69" s="177"/>
      <c r="B69" s="178"/>
      <c r="C69" s="178"/>
      <c r="D69" s="178"/>
      <c r="E69" s="152"/>
      <c r="F69" s="183"/>
      <c r="G69" s="180"/>
      <c r="H69" s="178"/>
      <c r="I69" s="181"/>
      <c r="J69" s="184"/>
      <c r="K69" s="174">
        <f t="shared" si="0"/>
        <v>0</v>
      </c>
      <c r="L69" s="182"/>
    </row>
    <row r="70" spans="1:12">
      <c r="A70" s="177"/>
      <c r="B70" s="178"/>
      <c r="C70" s="178"/>
      <c r="D70" s="178"/>
      <c r="E70" s="152"/>
      <c r="F70" s="183"/>
      <c r="G70" s="180"/>
      <c r="H70" s="178"/>
      <c r="I70" s="181"/>
      <c r="J70" s="184"/>
      <c r="K70" s="174">
        <f t="shared" ref="K70:K133" si="1">+H70*I70*J70</f>
        <v>0</v>
      </c>
      <c r="L70" s="182"/>
    </row>
    <row r="71" spans="1:12">
      <c r="A71" s="177"/>
      <c r="B71" s="178"/>
      <c r="C71" s="178"/>
      <c r="D71" s="178"/>
      <c r="E71" s="152"/>
      <c r="F71" s="183"/>
      <c r="G71" s="180"/>
      <c r="H71" s="178"/>
      <c r="I71" s="181"/>
      <c r="J71" s="184"/>
      <c r="K71" s="174">
        <f t="shared" si="1"/>
        <v>0</v>
      </c>
      <c r="L71" s="182"/>
    </row>
    <row r="72" spans="1:12">
      <c r="A72" s="177"/>
      <c r="B72" s="178"/>
      <c r="C72" s="178"/>
      <c r="D72" s="178"/>
      <c r="E72" s="152"/>
      <c r="F72" s="183"/>
      <c r="G72" s="180"/>
      <c r="H72" s="178"/>
      <c r="I72" s="181"/>
      <c r="J72" s="184"/>
      <c r="K72" s="174">
        <f t="shared" si="1"/>
        <v>0</v>
      </c>
      <c r="L72" s="182"/>
    </row>
    <row r="73" spans="1:12">
      <c r="A73" s="177"/>
      <c r="B73" s="178"/>
      <c r="C73" s="178"/>
      <c r="D73" s="178"/>
      <c r="E73" s="152"/>
      <c r="F73" s="183"/>
      <c r="G73" s="180"/>
      <c r="H73" s="178"/>
      <c r="I73" s="181"/>
      <c r="J73" s="184"/>
      <c r="K73" s="174">
        <f t="shared" si="1"/>
        <v>0</v>
      </c>
      <c r="L73" s="182"/>
    </row>
    <row r="74" spans="1:12">
      <c r="A74" s="177"/>
      <c r="B74" s="178"/>
      <c r="C74" s="178"/>
      <c r="D74" s="178"/>
      <c r="E74" s="152"/>
      <c r="F74" s="183"/>
      <c r="G74" s="180"/>
      <c r="H74" s="178"/>
      <c r="I74" s="181"/>
      <c r="J74" s="184"/>
      <c r="K74" s="174">
        <f t="shared" si="1"/>
        <v>0</v>
      </c>
      <c r="L74" s="182"/>
    </row>
    <row r="75" spans="1:12">
      <c r="A75" s="177"/>
      <c r="B75" s="178"/>
      <c r="C75" s="178"/>
      <c r="D75" s="178"/>
      <c r="E75" s="152"/>
      <c r="F75" s="183"/>
      <c r="G75" s="180"/>
      <c r="H75" s="178"/>
      <c r="I75" s="181"/>
      <c r="J75" s="184"/>
      <c r="K75" s="174">
        <f t="shared" si="1"/>
        <v>0</v>
      </c>
      <c r="L75" s="182"/>
    </row>
    <row r="76" spans="1:12">
      <c r="A76" s="177"/>
      <c r="B76" s="178"/>
      <c r="C76" s="178"/>
      <c r="D76" s="178"/>
      <c r="E76" s="152"/>
      <c r="F76" s="183"/>
      <c r="G76" s="180"/>
      <c r="H76" s="178"/>
      <c r="I76" s="181"/>
      <c r="J76" s="184"/>
      <c r="K76" s="174">
        <f t="shared" si="1"/>
        <v>0</v>
      </c>
      <c r="L76" s="182"/>
    </row>
    <row r="77" spans="1:12">
      <c r="A77" s="177"/>
      <c r="B77" s="178"/>
      <c r="C77" s="178"/>
      <c r="D77" s="178"/>
      <c r="E77" s="152"/>
      <c r="F77" s="183"/>
      <c r="G77" s="180"/>
      <c r="H77" s="178"/>
      <c r="I77" s="181"/>
      <c r="J77" s="184"/>
      <c r="K77" s="174">
        <f t="shared" si="1"/>
        <v>0</v>
      </c>
      <c r="L77" s="182"/>
    </row>
    <row r="78" spans="1:12">
      <c r="A78" s="177"/>
      <c r="B78" s="178"/>
      <c r="C78" s="178"/>
      <c r="D78" s="178"/>
      <c r="E78" s="152"/>
      <c r="F78" s="183"/>
      <c r="G78" s="180"/>
      <c r="H78" s="178"/>
      <c r="I78" s="181"/>
      <c r="J78" s="184"/>
      <c r="K78" s="174">
        <f t="shared" si="1"/>
        <v>0</v>
      </c>
      <c r="L78" s="182"/>
    </row>
    <row r="79" spans="1:12">
      <c r="A79" s="177"/>
      <c r="B79" s="178"/>
      <c r="C79" s="178"/>
      <c r="D79" s="178"/>
      <c r="E79" s="152"/>
      <c r="F79" s="183"/>
      <c r="G79" s="180"/>
      <c r="H79" s="178"/>
      <c r="I79" s="181"/>
      <c r="J79" s="184"/>
      <c r="K79" s="174">
        <f t="shared" si="1"/>
        <v>0</v>
      </c>
      <c r="L79" s="182"/>
    </row>
    <row r="80" spans="1:12">
      <c r="A80" s="177"/>
      <c r="B80" s="178"/>
      <c r="C80" s="178"/>
      <c r="D80" s="178"/>
      <c r="E80" s="152"/>
      <c r="F80" s="183"/>
      <c r="G80" s="180"/>
      <c r="H80" s="178"/>
      <c r="I80" s="181"/>
      <c r="J80" s="184"/>
      <c r="K80" s="174">
        <f t="shared" si="1"/>
        <v>0</v>
      </c>
      <c r="L80" s="182"/>
    </row>
    <row r="81" spans="1:12">
      <c r="A81" s="177"/>
      <c r="B81" s="178"/>
      <c r="C81" s="178"/>
      <c r="D81" s="178"/>
      <c r="E81" s="152"/>
      <c r="F81" s="183"/>
      <c r="G81" s="180"/>
      <c r="H81" s="178"/>
      <c r="I81" s="181"/>
      <c r="J81" s="184"/>
      <c r="K81" s="174">
        <f t="shared" si="1"/>
        <v>0</v>
      </c>
      <c r="L81" s="182"/>
    </row>
    <row r="82" spans="1:12">
      <c r="A82" s="177"/>
      <c r="B82" s="178"/>
      <c r="C82" s="178"/>
      <c r="D82" s="178"/>
      <c r="E82" s="152"/>
      <c r="F82" s="183"/>
      <c r="G82" s="180"/>
      <c r="H82" s="178"/>
      <c r="I82" s="181"/>
      <c r="J82" s="184"/>
      <c r="K82" s="174">
        <f t="shared" si="1"/>
        <v>0</v>
      </c>
      <c r="L82" s="182"/>
    </row>
    <row r="83" spans="1:12">
      <c r="A83" s="177"/>
      <c r="B83" s="178"/>
      <c r="C83" s="178"/>
      <c r="D83" s="178"/>
      <c r="E83" s="152"/>
      <c r="F83" s="183"/>
      <c r="G83" s="179"/>
      <c r="H83" s="178"/>
      <c r="I83" s="181"/>
      <c r="J83" s="184"/>
      <c r="K83" s="174">
        <f t="shared" si="1"/>
        <v>0</v>
      </c>
      <c r="L83" s="182"/>
    </row>
    <row r="84" spans="1:12">
      <c r="A84" s="177"/>
      <c r="B84" s="178"/>
      <c r="C84" s="178"/>
      <c r="D84" s="178"/>
      <c r="E84" s="152"/>
      <c r="F84" s="183"/>
      <c r="G84" s="179"/>
      <c r="H84" s="178"/>
      <c r="I84" s="181"/>
      <c r="J84" s="184"/>
      <c r="K84" s="174">
        <f t="shared" si="1"/>
        <v>0</v>
      </c>
      <c r="L84" s="182"/>
    </row>
    <row r="85" spans="1:12">
      <c r="A85" s="177"/>
      <c r="B85" s="178"/>
      <c r="C85" s="178"/>
      <c r="D85" s="178"/>
      <c r="E85" s="152"/>
      <c r="F85" s="183"/>
      <c r="G85" s="179"/>
      <c r="H85" s="178"/>
      <c r="I85" s="181"/>
      <c r="J85" s="184"/>
      <c r="K85" s="174">
        <f t="shared" si="1"/>
        <v>0</v>
      </c>
      <c r="L85" s="182"/>
    </row>
    <row r="86" spans="1:12">
      <c r="A86" s="177"/>
      <c r="B86" s="178"/>
      <c r="C86" s="178"/>
      <c r="D86" s="178"/>
      <c r="E86" s="152"/>
      <c r="F86" s="183"/>
      <c r="G86" s="179"/>
      <c r="H86" s="178"/>
      <c r="I86" s="181"/>
      <c r="J86" s="184"/>
      <c r="K86" s="174">
        <f t="shared" si="1"/>
        <v>0</v>
      </c>
      <c r="L86" s="182"/>
    </row>
    <row r="87" spans="1:12">
      <c r="A87" s="177"/>
      <c r="B87" s="178"/>
      <c r="C87" s="178"/>
      <c r="D87" s="178"/>
      <c r="E87" s="152"/>
      <c r="F87" s="183"/>
      <c r="G87" s="179"/>
      <c r="H87" s="178"/>
      <c r="I87" s="181"/>
      <c r="J87" s="184"/>
      <c r="K87" s="174">
        <f t="shared" si="1"/>
        <v>0</v>
      </c>
      <c r="L87" s="182"/>
    </row>
    <row r="88" spans="1:12">
      <c r="A88" s="177"/>
      <c r="B88" s="178"/>
      <c r="C88" s="178"/>
      <c r="D88" s="178"/>
      <c r="E88" s="152"/>
      <c r="F88" s="183"/>
      <c r="G88" s="179"/>
      <c r="H88" s="178"/>
      <c r="I88" s="181"/>
      <c r="J88" s="184"/>
      <c r="K88" s="174">
        <f t="shared" si="1"/>
        <v>0</v>
      </c>
      <c r="L88" s="182"/>
    </row>
    <row r="89" spans="1:12">
      <c r="A89" s="177"/>
      <c r="B89" s="178"/>
      <c r="C89" s="178"/>
      <c r="D89" s="178"/>
      <c r="E89" s="152"/>
      <c r="F89" s="183"/>
      <c r="G89" s="179"/>
      <c r="H89" s="178"/>
      <c r="I89" s="181"/>
      <c r="J89" s="184"/>
      <c r="K89" s="174">
        <f t="shared" si="1"/>
        <v>0</v>
      </c>
      <c r="L89" s="182"/>
    </row>
    <row r="90" spans="1:12">
      <c r="A90" s="177"/>
      <c r="B90" s="178"/>
      <c r="C90" s="178"/>
      <c r="D90" s="178"/>
      <c r="E90" s="152"/>
      <c r="F90" s="183"/>
      <c r="G90" s="179"/>
      <c r="H90" s="178"/>
      <c r="I90" s="181"/>
      <c r="J90" s="184"/>
      <c r="K90" s="174">
        <f t="shared" si="1"/>
        <v>0</v>
      </c>
      <c r="L90" s="182"/>
    </row>
    <row r="91" spans="1:12">
      <c r="A91" s="177"/>
      <c r="B91" s="178"/>
      <c r="C91" s="178"/>
      <c r="D91" s="178"/>
      <c r="E91" s="152"/>
      <c r="F91" s="183"/>
      <c r="G91" s="179"/>
      <c r="H91" s="178"/>
      <c r="I91" s="181"/>
      <c r="J91" s="184"/>
      <c r="K91" s="174">
        <f t="shared" si="1"/>
        <v>0</v>
      </c>
      <c r="L91" s="182"/>
    </row>
    <row r="92" spans="1:12">
      <c r="A92" s="177"/>
      <c r="B92" s="178"/>
      <c r="C92" s="178"/>
      <c r="D92" s="178"/>
      <c r="E92" s="152"/>
      <c r="F92" s="183"/>
      <c r="G92" s="179"/>
      <c r="H92" s="178"/>
      <c r="I92" s="181"/>
      <c r="J92" s="184"/>
      <c r="K92" s="174">
        <f t="shared" si="1"/>
        <v>0</v>
      </c>
      <c r="L92" s="182"/>
    </row>
    <row r="93" spans="1:12">
      <c r="A93" s="177"/>
      <c r="B93" s="178"/>
      <c r="C93" s="178"/>
      <c r="D93" s="178"/>
      <c r="E93" s="152"/>
      <c r="F93" s="183"/>
      <c r="G93" s="179"/>
      <c r="H93" s="178"/>
      <c r="I93" s="181"/>
      <c r="J93" s="184"/>
      <c r="K93" s="174">
        <f t="shared" si="1"/>
        <v>0</v>
      </c>
      <c r="L93" s="182"/>
    </row>
    <row r="94" spans="1:12">
      <c r="A94" s="177"/>
      <c r="B94" s="178"/>
      <c r="C94" s="178"/>
      <c r="D94" s="178"/>
      <c r="E94" s="152"/>
      <c r="F94" s="183"/>
      <c r="G94" s="179"/>
      <c r="H94" s="178"/>
      <c r="I94" s="181"/>
      <c r="J94" s="184"/>
      <c r="K94" s="174">
        <f t="shared" si="1"/>
        <v>0</v>
      </c>
      <c r="L94" s="182"/>
    </row>
    <row r="95" spans="1:12">
      <c r="A95" s="177"/>
      <c r="B95" s="178"/>
      <c r="C95" s="178"/>
      <c r="D95" s="178"/>
      <c r="E95" s="152"/>
      <c r="F95" s="183"/>
      <c r="G95" s="179"/>
      <c r="H95" s="178"/>
      <c r="I95" s="181"/>
      <c r="J95" s="184"/>
      <c r="K95" s="174">
        <f t="shared" si="1"/>
        <v>0</v>
      </c>
      <c r="L95" s="182"/>
    </row>
    <row r="96" spans="1:12">
      <c r="A96" s="177"/>
      <c r="B96" s="178"/>
      <c r="C96" s="178"/>
      <c r="D96" s="178"/>
      <c r="E96" s="152"/>
      <c r="F96" s="183"/>
      <c r="G96" s="179"/>
      <c r="H96" s="178"/>
      <c r="I96" s="181"/>
      <c r="J96" s="184"/>
      <c r="K96" s="174">
        <f t="shared" si="1"/>
        <v>0</v>
      </c>
      <c r="L96" s="182"/>
    </row>
    <row r="97" spans="1:12">
      <c r="A97" s="177"/>
      <c r="B97" s="178"/>
      <c r="C97" s="178"/>
      <c r="D97" s="178"/>
      <c r="E97" s="152"/>
      <c r="F97" s="183"/>
      <c r="G97" s="179"/>
      <c r="H97" s="178"/>
      <c r="I97" s="181"/>
      <c r="J97" s="184"/>
      <c r="K97" s="174">
        <f t="shared" si="1"/>
        <v>0</v>
      </c>
      <c r="L97" s="182"/>
    </row>
    <row r="98" spans="1:12">
      <c r="A98" s="177"/>
      <c r="B98" s="178"/>
      <c r="C98" s="178"/>
      <c r="D98" s="178"/>
      <c r="E98" s="152"/>
      <c r="F98" s="183"/>
      <c r="G98" s="179"/>
      <c r="H98" s="178"/>
      <c r="I98" s="181"/>
      <c r="J98" s="184"/>
      <c r="K98" s="174">
        <f t="shared" si="1"/>
        <v>0</v>
      </c>
      <c r="L98" s="182"/>
    </row>
    <row r="99" spans="1:12">
      <c r="A99" s="177"/>
      <c r="B99" s="178"/>
      <c r="C99" s="178"/>
      <c r="D99" s="178"/>
      <c r="E99" s="152"/>
      <c r="F99" s="183"/>
      <c r="G99" s="179"/>
      <c r="H99" s="178"/>
      <c r="I99" s="181"/>
      <c r="J99" s="184"/>
      <c r="K99" s="174">
        <f t="shared" si="1"/>
        <v>0</v>
      </c>
      <c r="L99" s="182"/>
    </row>
    <row r="100" spans="1:12">
      <c r="A100" s="177"/>
      <c r="B100" s="178"/>
      <c r="C100" s="178"/>
      <c r="D100" s="178"/>
      <c r="E100" s="152"/>
      <c r="F100" s="183"/>
      <c r="G100" s="179"/>
      <c r="H100" s="178"/>
      <c r="I100" s="181"/>
      <c r="J100" s="184"/>
      <c r="K100" s="174">
        <f t="shared" si="1"/>
        <v>0</v>
      </c>
      <c r="L100" s="182"/>
    </row>
    <row r="101" spans="1:12">
      <c r="A101" s="177"/>
      <c r="B101" s="178"/>
      <c r="C101" s="178"/>
      <c r="D101" s="178"/>
      <c r="E101" s="152"/>
      <c r="F101" s="183"/>
      <c r="G101" s="179"/>
      <c r="H101" s="178"/>
      <c r="I101" s="181"/>
      <c r="J101" s="184"/>
      <c r="K101" s="174">
        <f t="shared" si="1"/>
        <v>0</v>
      </c>
      <c r="L101" s="182"/>
    </row>
    <row r="102" spans="1:12">
      <c r="A102" s="177"/>
      <c r="B102" s="178"/>
      <c r="C102" s="178"/>
      <c r="D102" s="178"/>
      <c r="E102" s="152"/>
      <c r="F102" s="183"/>
      <c r="G102" s="179"/>
      <c r="H102" s="178"/>
      <c r="I102" s="181"/>
      <c r="J102" s="184"/>
      <c r="K102" s="174">
        <f t="shared" si="1"/>
        <v>0</v>
      </c>
      <c r="L102" s="182"/>
    </row>
    <row r="103" spans="1:12">
      <c r="A103" s="177"/>
      <c r="B103" s="178"/>
      <c r="C103" s="178"/>
      <c r="D103" s="178"/>
      <c r="E103" s="152"/>
      <c r="F103" s="183"/>
      <c r="G103" s="179"/>
      <c r="H103" s="178"/>
      <c r="I103" s="181"/>
      <c r="J103" s="184"/>
      <c r="K103" s="174">
        <f t="shared" si="1"/>
        <v>0</v>
      </c>
      <c r="L103" s="182"/>
    </row>
    <row r="104" spans="1:12">
      <c r="A104" s="177"/>
      <c r="B104" s="178"/>
      <c r="C104" s="178"/>
      <c r="D104" s="178"/>
      <c r="E104" s="152"/>
      <c r="F104" s="183"/>
      <c r="G104" s="179"/>
      <c r="H104" s="178"/>
      <c r="I104" s="181"/>
      <c r="J104" s="184"/>
      <c r="K104" s="174">
        <f t="shared" si="1"/>
        <v>0</v>
      </c>
      <c r="L104" s="182"/>
    </row>
    <row r="105" spans="1:12">
      <c r="A105" s="177"/>
      <c r="B105" s="178"/>
      <c r="C105" s="178"/>
      <c r="D105" s="178"/>
      <c r="E105" s="152"/>
      <c r="F105" s="183"/>
      <c r="G105" s="179"/>
      <c r="H105" s="178"/>
      <c r="I105" s="181"/>
      <c r="J105" s="184"/>
      <c r="K105" s="174">
        <f t="shared" si="1"/>
        <v>0</v>
      </c>
      <c r="L105" s="182"/>
    </row>
    <row r="106" spans="1:12">
      <c r="A106" s="177"/>
      <c r="B106" s="178"/>
      <c r="C106" s="178"/>
      <c r="D106" s="178"/>
      <c r="E106" s="152"/>
      <c r="F106" s="183"/>
      <c r="G106" s="179"/>
      <c r="H106" s="178"/>
      <c r="I106" s="181"/>
      <c r="J106" s="184"/>
      <c r="K106" s="174">
        <f t="shared" si="1"/>
        <v>0</v>
      </c>
      <c r="L106" s="182"/>
    </row>
    <row r="107" spans="1:12">
      <c r="A107" s="177"/>
      <c r="B107" s="178"/>
      <c r="C107" s="178"/>
      <c r="D107" s="178"/>
      <c r="E107" s="152"/>
      <c r="F107" s="183"/>
      <c r="G107" s="179"/>
      <c r="H107" s="178"/>
      <c r="I107" s="181"/>
      <c r="J107" s="184"/>
      <c r="K107" s="174">
        <f t="shared" si="1"/>
        <v>0</v>
      </c>
      <c r="L107" s="182"/>
    </row>
    <row r="108" spans="1:12">
      <c r="A108" s="177"/>
      <c r="B108" s="178"/>
      <c r="C108" s="178"/>
      <c r="D108" s="178"/>
      <c r="E108" s="152"/>
      <c r="F108" s="183"/>
      <c r="G108" s="179"/>
      <c r="H108" s="178"/>
      <c r="I108" s="181"/>
      <c r="J108" s="184"/>
      <c r="K108" s="174">
        <f t="shared" si="1"/>
        <v>0</v>
      </c>
      <c r="L108" s="182"/>
    </row>
    <row r="109" spans="1:12">
      <c r="A109" s="177"/>
      <c r="B109" s="178"/>
      <c r="C109" s="178"/>
      <c r="D109" s="178"/>
      <c r="E109" s="152"/>
      <c r="F109" s="183"/>
      <c r="G109" s="179"/>
      <c r="H109" s="178"/>
      <c r="I109" s="181"/>
      <c r="J109" s="184"/>
      <c r="K109" s="174">
        <f t="shared" si="1"/>
        <v>0</v>
      </c>
      <c r="L109" s="182"/>
    </row>
    <row r="110" spans="1:12">
      <c r="A110" s="177"/>
      <c r="B110" s="178"/>
      <c r="C110" s="178"/>
      <c r="D110" s="178"/>
      <c r="E110" s="152"/>
      <c r="F110" s="183"/>
      <c r="G110" s="179"/>
      <c r="H110" s="178"/>
      <c r="I110" s="181"/>
      <c r="J110" s="184"/>
      <c r="K110" s="174">
        <f t="shared" si="1"/>
        <v>0</v>
      </c>
      <c r="L110" s="182"/>
    </row>
    <row r="111" spans="1:12">
      <c r="A111" s="177"/>
      <c r="B111" s="178"/>
      <c r="C111" s="178"/>
      <c r="D111" s="178"/>
      <c r="E111" s="152"/>
      <c r="F111" s="183"/>
      <c r="G111" s="179"/>
      <c r="H111" s="178"/>
      <c r="I111" s="181"/>
      <c r="J111" s="184"/>
      <c r="K111" s="174">
        <f t="shared" si="1"/>
        <v>0</v>
      </c>
      <c r="L111" s="182"/>
    </row>
    <row r="112" spans="1:12">
      <c r="A112" s="177"/>
      <c r="B112" s="178"/>
      <c r="C112" s="178"/>
      <c r="D112" s="178"/>
      <c r="E112" s="152"/>
      <c r="F112" s="183"/>
      <c r="G112" s="179"/>
      <c r="H112" s="178"/>
      <c r="I112" s="181"/>
      <c r="J112" s="184"/>
      <c r="K112" s="174">
        <f t="shared" si="1"/>
        <v>0</v>
      </c>
      <c r="L112" s="182"/>
    </row>
    <row r="113" spans="1:12">
      <c r="A113" s="177"/>
      <c r="B113" s="178"/>
      <c r="C113" s="178"/>
      <c r="D113" s="178"/>
      <c r="E113" s="152"/>
      <c r="F113" s="183"/>
      <c r="G113" s="179"/>
      <c r="H113" s="178"/>
      <c r="I113" s="181"/>
      <c r="J113" s="184"/>
      <c r="K113" s="174">
        <f t="shared" si="1"/>
        <v>0</v>
      </c>
      <c r="L113" s="182"/>
    </row>
    <row r="114" spans="1:12">
      <c r="A114" s="177"/>
      <c r="B114" s="178"/>
      <c r="C114" s="178"/>
      <c r="D114" s="178"/>
      <c r="E114" s="152"/>
      <c r="F114" s="183"/>
      <c r="G114" s="179"/>
      <c r="H114" s="178"/>
      <c r="I114" s="181"/>
      <c r="J114" s="184"/>
      <c r="K114" s="174">
        <f t="shared" si="1"/>
        <v>0</v>
      </c>
      <c r="L114" s="182"/>
    </row>
    <row r="115" spans="1:12">
      <c r="A115" s="177"/>
      <c r="B115" s="178"/>
      <c r="C115" s="178"/>
      <c r="D115" s="178"/>
      <c r="E115" s="152"/>
      <c r="F115" s="183"/>
      <c r="G115" s="179"/>
      <c r="H115" s="178"/>
      <c r="I115" s="181"/>
      <c r="J115" s="184"/>
      <c r="K115" s="174">
        <f t="shared" si="1"/>
        <v>0</v>
      </c>
      <c r="L115" s="182"/>
    </row>
    <row r="116" spans="1:12">
      <c r="A116" s="177"/>
      <c r="B116" s="178"/>
      <c r="C116" s="178"/>
      <c r="D116" s="178"/>
      <c r="E116" s="152"/>
      <c r="F116" s="183"/>
      <c r="G116" s="179"/>
      <c r="H116" s="178"/>
      <c r="I116" s="181"/>
      <c r="J116" s="184"/>
      <c r="K116" s="174">
        <f t="shared" si="1"/>
        <v>0</v>
      </c>
      <c r="L116" s="182"/>
    </row>
    <row r="117" spans="1:12">
      <c r="A117" s="177"/>
      <c r="B117" s="178"/>
      <c r="C117" s="178"/>
      <c r="D117" s="178"/>
      <c r="E117" s="152"/>
      <c r="F117" s="183"/>
      <c r="G117" s="179"/>
      <c r="H117" s="178"/>
      <c r="I117" s="181"/>
      <c r="J117" s="184"/>
      <c r="K117" s="174">
        <f t="shared" si="1"/>
        <v>0</v>
      </c>
      <c r="L117" s="182"/>
    </row>
    <row r="118" spans="1:12">
      <c r="A118" s="177"/>
      <c r="B118" s="178"/>
      <c r="C118" s="178"/>
      <c r="D118" s="178"/>
      <c r="E118" s="152"/>
      <c r="F118" s="183"/>
      <c r="G118" s="179"/>
      <c r="H118" s="178"/>
      <c r="I118" s="181"/>
      <c r="J118" s="184"/>
      <c r="K118" s="174">
        <f t="shared" si="1"/>
        <v>0</v>
      </c>
      <c r="L118" s="182"/>
    </row>
    <row r="119" spans="1:12">
      <c r="A119" s="177"/>
      <c r="B119" s="178"/>
      <c r="C119" s="178"/>
      <c r="D119" s="178"/>
      <c r="E119" s="152"/>
      <c r="F119" s="183"/>
      <c r="G119" s="179"/>
      <c r="H119" s="178"/>
      <c r="I119" s="181"/>
      <c r="J119" s="184"/>
      <c r="K119" s="174">
        <f t="shared" si="1"/>
        <v>0</v>
      </c>
      <c r="L119" s="182"/>
    </row>
    <row r="120" spans="1:12">
      <c r="A120" s="177"/>
      <c r="B120" s="178"/>
      <c r="C120" s="178"/>
      <c r="D120" s="178"/>
      <c r="E120" s="152"/>
      <c r="F120" s="183"/>
      <c r="G120" s="179"/>
      <c r="H120" s="178"/>
      <c r="I120" s="181"/>
      <c r="J120" s="184"/>
      <c r="K120" s="174">
        <f t="shared" si="1"/>
        <v>0</v>
      </c>
      <c r="L120" s="182"/>
    </row>
    <row r="121" spans="1:12">
      <c r="A121" s="177"/>
      <c r="B121" s="178"/>
      <c r="C121" s="178"/>
      <c r="D121" s="178"/>
      <c r="E121" s="152"/>
      <c r="F121" s="183"/>
      <c r="G121" s="179"/>
      <c r="H121" s="178"/>
      <c r="I121" s="181"/>
      <c r="J121" s="184"/>
      <c r="K121" s="174">
        <f t="shared" si="1"/>
        <v>0</v>
      </c>
      <c r="L121" s="182"/>
    </row>
    <row r="122" spans="1:12">
      <c r="A122" s="177"/>
      <c r="B122" s="178"/>
      <c r="C122" s="178"/>
      <c r="D122" s="178"/>
      <c r="E122" s="152"/>
      <c r="F122" s="183"/>
      <c r="G122" s="179"/>
      <c r="H122" s="178"/>
      <c r="I122" s="181"/>
      <c r="J122" s="184"/>
      <c r="K122" s="174">
        <f t="shared" si="1"/>
        <v>0</v>
      </c>
      <c r="L122" s="182"/>
    </row>
    <row r="123" spans="1:12">
      <c r="A123" s="177"/>
      <c r="B123" s="178"/>
      <c r="C123" s="178"/>
      <c r="D123" s="178"/>
      <c r="E123" s="152"/>
      <c r="F123" s="183"/>
      <c r="G123" s="179"/>
      <c r="H123" s="178"/>
      <c r="I123" s="181"/>
      <c r="J123" s="184"/>
      <c r="K123" s="174">
        <f t="shared" si="1"/>
        <v>0</v>
      </c>
      <c r="L123" s="182"/>
    </row>
    <row r="124" spans="1:12">
      <c r="A124" s="177"/>
      <c r="B124" s="178"/>
      <c r="C124" s="178"/>
      <c r="D124" s="178"/>
      <c r="E124" s="152"/>
      <c r="F124" s="183"/>
      <c r="G124" s="179"/>
      <c r="H124" s="178"/>
      <c r="I124" s="181"/>
      <c r="J124" s="184"/>
      <c r="K124" s="174">
        <f t="shared" si="1"/>
        <v>0</v>
      </c>
      <c r="L124" s="182"/>
    </row>
    <row r="125" spans="1:12">
      <c r="A125" s="177"/>
      <c r="B125" s="178"/>
      <c r="C125" s="178"/>
      <c r="D125" s="178"/>
      <c r="E125" s="152"/>
      <c r="F125" s="183"/>
      <c r="G125" s="179"/>
      <c r="H125" s="178"/>
      <c r="I125" s="181"/>
      <c r="J125" s="184"/>
      <c r="K125" s="174">
        <f t="shared" si="1"/>
        <v>0</v>
      </c>
      <c r="L125" s="182"/>
    </row>
    <row r="126" spans="1:12">
      <c r="A126" s="177"/>
      <c r="B126" s="178"/>
      <c r="C126" s="178"/>
      <c r="D126" s="178"/>
      <c r="E126" s="152"/>
      <c r="F126" s="183"/>
      <c r="G126" s="179"/>
      <c r="H126" s="178"/>
      <c r="I126" s="181"/>
      <c r="J126" s="184"/>
      <c r="K126" s="174">
        <f t="shared" si="1"/>
        <v>0</v>
      </c>
      <c r="L126" s="182"/>
    </row>
    <row r="127" spans="1:12">
      <c r="A127" s="177"/>
      <c r="B127" s="178"/>
      <c r="C127" s="178"/>
      <c r="D127" s="178"/>
      <c r="E127" s="152"/>
      <c r="F127" s="183"/>
      <c r="G127" s="179"/>
      <c r="H127" s="178"/>
      <c r="I127" s="181"/>
      <c r="J127" s="184"/>
      <c r="K127" s="174">
        <f t="shared" si="1"/>
        <v>0</v>
      </c>
      <c r="L127" s="182"/>
    </row>
    <row r="128" spans="1:12">
      <c r="A128" s="177"/>
      <c r="B128" s="178"/>
      <c r="C128" s="178"/>
      <c r="D128" s="178"/>
      <c r="E128" s="152"/>
      <c r="F128" s="183"/>
      <c r="G128" s="179"/>
      <c r="H128" s="178"/>
      <c r="I128" s="181"/>
      <c r="J128" s="184"/>
      <c r="K128" s="174">
        <f t="shared" si="1"/>
        <v>0</v>
      </c>
      <c r="L128" s="182"/>
    </row>
    <row r="129" spans="1:12">
      <c r="A129" s="177"/>
      <c r="B129" s="178"/>
      <c r="C129" s="178"/>
      <c r="D129" s="178"/>
      <c r="E129" s="152"/>
      <c r="F129" s="183"/>
      <c r="G129" s="179"/>
      <c r="H129" s="178"/>
      <c r="I129" s="181"/>
      <c r="J129" s="184"/>
      <c r="K129" s="174">
        <f t="shared" si="1"/>
        <v>0</v>
      </c>
      <c r="L129" s="182"/>
    </row>
    <row r="130" spans="1:12">
      <c r="A130" s="177"/>
      <c r="B130" s="178"/>
      <c r="C130" s="178"/>
      <c r="D130" s="178"/>
      <c r="E130" s="152"/>
      <c r="F130" s="183"/>
      <c r="G130" s="179"/>
      <c r="H130" s="178"/>
      <c r="I130" s="181"/>
      <c r="J130" s="184"/>
      <c r="K130" s="174">
        <f t="shared" si="1"/>
        <v>0</v>
      </c>
      <c r="L130" s="182"/>
    </row>
    <row r="131" spans="1:12">
      <c r="A131" s="177"/>
      <c r="B131" s="178"/>
      <c r="C131" s="178"/>
      <c r="D131" s="178"/>
      <c r="E131" s="152"/>
      <c r="F131" s="183"/>
      <c r="G131" s="179"/>
      <c r="H131" s="178"/>
      <c r="I131" s="181"/>
      <c r="J131" s="184"/>
      <c r="K131" s="174">
        <f t="shared" si="1"/>
        <v>0</v>
      </c>
      <c r="L131" s="182"/>
    </row>
    <row r="132" spans="1:12">
      <c r="A132" s="177"/>
      <c r="B132" s="178"/>
      <c r="C132" s="178"/>
      <c r="D132" s="178"/>
      <c r="E132" s="152"/>
      <c r="F132" s="183"/>
      <c r="G132" s="179"/>
      <c r="H132" s="178"/>
      <c r="I132" s="181"/>
      <c r="J132" s="184"/>
      <c r="K132" s="174">
        <f t="shared" si="1"/>
        <v>0</v>
      </c>
      <c r="L132" s="182"/>
    </row>
    <row r="133" spans="1:12">
      <c r="A133" s="177"/>
      <c r="B133" s="178"/>
      <c r="C133" s="178"/>
      <c r="D133" s="178"/>
      <c r="E133" s="152"/>
      <c r="F133" s="183"/>
      <c r="G133" s="179"/>
      <c r="H133" s="178"/>
      <c r="I133" s="181"/>
      <c r="J133" s="184"/>
      <c r="K133" s="174">
        <f t="shared" si="1"/>
        <v>0</v>
      </c>
      <c r="L133" s="182"/>
    </row>
    <row r="134" spans="1:12">
      <c r="A134" s="177"/>
      <c r="B134" s="178"/>
      <c r="C134" s="178"/>
      <c r="D134" s="178"/>
      <c r="E134" s="152"/>
      <c r="F134" s="183"/>
      <c r="G134" s="179"/>
      <c r="H134" s="178"/>
      <c r="I134" s="181"/>
      <c r="J134" s="184"/>
      <c r="K134" s="174">
        <f t="shared" ref="K134:K197" si="2">+H134*I134*J134</f>
        <v>0</v>
      </c>
      <c r="L134" s="182"/>
    </row>
    <row r="135" spans="1:12">
      <c r="A135" s="177"/>
      <c r="B135" s="178"/>
      <c r="C135" s="178"/>
      <c r="D135" s="178"/>
      <c r="E135" s="152"/>
      <c r="F135" s="183"/>
      <c r="G135" s="179"/>
      <c r="H135" s="178"/>
      <c r="I135" s="181"/>
      <c r="J135" s="184"/>
      <c r="K135" s="174">
        <f t="shared" si="2"/>
        <v>0</v>
      </c>
      <c r="L135" s="182"/>
    </row>
    <row r="136" spans="1:12">
      <c r="A136" s="177"/>
      <c r="B136" s="178"/>
      <c r="C136" s="178"/>
      <c r="D136" s="178"/>
      <c r="E136" s="152"/>
      <c r="F136" s="183"/>
      <c r="G136" s="179"/>
      <c r="H136" s="178"/>
      <c r="I136" s="181"/>
      <c r="J136" s="184"/>
      <c r="K136" s="174">
        <f t="shared" si="2"/>
        <v>0</v>
      </c>
      <c r="L136" s="182"/>
    </row>
    <row r="137" spans="1:12">
      <c r="A137" s="177"/>
      <c r="B137" s="178"/>
      <c r="C137" s="178"/>
      <c r="D137" s="178"/>
      <c r="E137" s="152"/>
      <c r="F137" s="183"/>
      <c r="G137" s="179"/>
      <c r="H137" s="178"/>
      <c r="I137" s="181"/>
      <c r="J137" s="184"/>
      <c r="K137" s="174">
        <f t="shared" si="2"/>
        <v>0</v>
      </c>
      <c r="L137" s="182"/>
    </row>
    <row r="138" spans="1:12">
      <c r="A138" s="177"/>
      <c r="B138" s="178"/>
      <c r="C138" s="178"/>
      <c r="D138" s="178"/>
      <c r="E138" s="152"/>
      <c r="F138" s="183"/>
      <c r="G138" s="179"/>
      <c r="H138" s="178"/>
      <c r="I138" s="181"/>
      <c r="J138" s="184"/>
      <c r="K138" s="174">
        <f t="shared" si="2"/>
        <v>0</v>
      </c>
      <c r="L138" s="182"/>
    </row>
    <row r="139" spans="1:12">
      <c r="A139" s="177"/>
      <c r="B139" s="178"/>
      <c r="C139" s="178"/>
      <c r="D139" s="178"/>
      <c r="E139" s="152"/>
      <c r="F139" s="183"/>
      <c r="G139" s="179"/>
      <c r="H139" s="178"/>
      <c r="I139" s="181"/>
      <c r="J139" s="184"/>
      <c r="K139" s="174">
        <f t="shared" si="2"/>
        <v>0</v>
      </c>
      <c r="L139" s="182"/>
    </row>
    <row r="140" spans="1:12">
      <c r="A140" s="177"/>
      <c r="B140" s="178"/>
      <c r="C140" s="178"/>
      <c r="D140" s="178"/>
      <c r="E140" s="152"/>
      <c r="F140" s="183"/>
      <c r="G140" s="179"/>
      <c r="H140" s="178"/>
      <c r="I140" s="181"/>
      <c r="J140" s="184"/>
      <c r="K140" s="174">
        <f t="shared" si="2"/>
        <v>0</v>
      </c>
      <c r="L140" s="182"/>
    </row>
    <row r="141" spans="1:12">
      <c r="A141" s="177"/>
      <c r="B141" s="178"/>
      <c r="C141" s="178"/>
      <c r="D141" s="178"/>
      <c r="E141" s="152"/>
      <c r="F141" s="183"/>
      <c r="G141" s="179"/>
      <c r="H141" s="178"/>
      <c r="I141" s="181"/>
      <c r="J141" s="184"/>
      <c r="K141" s="174">
        <f t="shared" si="2"/>
        <v>0</v>
      </c>
      <c r="L141" s="182"/>
    </row>
    <row r="142" spans="1:12">
      <c r="A142" s="177"/>
      <c r="B142" s="178"/>
      <c r="C142" s="178"/>
      <c r="D142" s="178"/>
      <c r="E142" s="152"/>
      <c r="F142" s="183"/>
      <c r="G142" s="179"/>
      <c r="H142" s="178"/>
      <c r="I142" s="181"/>
      <c r="J142" s="184"/>
      <c r="K142" s="174">
        <f t="shared" si="2"/>
        <v>0</v>
      </c>
      <c r="L142" s="182"/>
    </row>
    <row r="143" spans="1:12">
      <c r="A143" s="177"/>
      <c r="B143" s="178"/>
      <c r="C143" s="178"/>
      <c r="D143" s="178"/>
      <c r="E143" s="152"/>
      <c r="F143" s="183"/>
      <c r="G143" s="179"/>
      <c r="H143" s="178"/>
      <c r="I143" s="181"/>
      <c r="J143" s="184"/>
      <c r="K143" s="174">
        <f t="shared" si="2"/>
        <v>0</v>
      </c>
      <c r="L143" s="182"/>
    </row>
    <row r="144" spans="1:12">
      <c r="A144" s="177"/>
      <c r="B144" s="178"/>
      <c r="C144" s="178"/>
      <c r="D144" s="178"/>
      <c r="E144" s="152"/>
      <c r="F144" s="183"/>
      <c r="G144" s="179"/>
      <c r="H144" s="178"/>
      <c r="I144" s="181"/>
      <c r="J144" s="184"/>
      <c r="K144" s="174">
        <f t="shared" si="2"/>
        <v>0</v>
      </c>
      <c r="L144" s="182"/>
    </row>
    <row r="145" spans="1:12">
      <c r="A145" s="177"/>
      <c r="B145" s="178"/>
      <c r="C145" s="178"/>
      <c r="D145" s="178"/>
      <c r="E145" s="152"/>
      <c r="F145" s="183"/>
      <c r="G145" s="179"/>
      <c r="H145" s="178"/>
      <c r="I145" s="181"/>
      <c r="J145" s="184"/>
      <c r="K145" s="174">
        <f t="shared" si="2"/>
        <v>0</v>
      </c>
      <c r="L145" s="182"/>
    </row>
    <row r="146" spans="1:12">
      <c r="A146" s="177"/>
      <c r="B146" s="178"/>
      <c r="C146" s="178"/>
      <c r="D146" s="178"/>
      <c r="E146" s="152"/>
      <c r="F146" s="183"/>
      <c r="G146" s="179"/>
      <c r="H146" s="178"/>
      <c r="I146" s="181"/>
      <c r="J146" s="184"/>
      <c r="K146" s="174">
        <f t="shared" si="2"/>
        <v>0</v>
      </c>
      <c r="L146" s="182"/>
    </row>
    <row r="147" spans="1:12">
      <c r="A147" s="177"/>
      <c r="B147" s="178"/>
      <c r="C147" s="178"/>
      <c r="D147" s="178"/>
      <c r="E147" s="152"/>
      <c r="F147" s="183"/>
      <c r="G147" s="179"/>
      <c r="H147" s="178"/>
      <c r="I147" s="181"/>
      <c r="J147" s="184"/>
      <c r="K147" s="174">
        <f t="shared" si="2"/>
        <v>0</v>
      </c>
      <c r="L147" s="182"/>
    </row>
    <row r="148" spans="1:12">
      <c r="A148" s="177"/>
      <c r="B148" s="178"/>
      <c r="C148" s="178"/>
      <c r="D148" s="178"/>
      <c r="E148" s="152"/>
      <c r="F148" s="183"/>
      <c r="G148" s="179"/>
      <c r="H148" s="178"/>
      <c r="I148" s="181"/>
      <c r="J148" s="184"/>
      <c r="K148" s="174">
        <f t="shared" si="2"/>
        <v>0</v>
      </c>
      <c r="L148" s="182"/>
    </row>
    <row r="149" spans="1:12">
      <c r="A149" s="177"/>
      <c r="B149" s="178"/>
      <c r="C149" s="178"/>
      <c r="D149" s="178"/>
      <c r="E149" s="152"/>
      <c r="F149" s="183"/>
      <c r="G149" s="179"/>
      <c r="H149" s="178"/>
      <c r="I149" s="181"/>
      <c r="J149" s="184"/>
      <c r="K149" s="174">
        <f t="shared" si="2"/>
        <v>0</v>
      </c>
      <c r="L149" s="182"/>
    </row>
    <row r="150" spans="1:12">
      <c r="A150" s="177"/>
      <c r="B150" s="178"/>
      <c r="C150" s="178"/>
      <c r="D150" s="178"/>
      <c r="E150" s="152"/>
      <c r="F150" s="183"/>
      <c r="G150" s="179"/>
      <c r="H150" s="178"/>
      <c r="I150" s="181"/>
      <c r="J150" s="184"/>
      <c r="K150" s="174">
        <f t="shared" si="2"/>
        <v>0</v>
      </c>
      <c r="L150" s="182"/>
    </row>
    <row r="151" spans="1:12">
      <c r="A151" s="177"/>
      <c r="B151" s="178"/>
      <c r="C151" s="178"/>
      <c r="D151" s="178"/>
      <c r="E151" s="152"/>
      <c r="F151" s="183"/>
      <c r="G151" s="179"/>
      <c r="H151" s="178"/>
      <c r="I151" s="181"/>
      <c r="J151" s="184"/>
      <c r="K151" s="174">
        <f t="shared" si="2"/>
        <v>0</v>
      </c>
      <c r="L151" s="182"/>
    </row>
    <row r="152" spans="1:12">
      <c r="A152" s="177"/>
      <c r="B152" s="178"/>
      <c r="C152" s="178"/>
      <c r="D152" s="178"/>
      <c r="E152" s="152"/>
      <c r="F152" s="183"/>
      <c r="G152" s="179"/>
      <c r="H152" s="178"/>
      <c r="I152" s="181"/>
      <c r="J152" s="184"/>
      <c r="K152" s="174">
        <f t="shared" si="2"/>
        <v>0</v>
      </c>
      <c r="L152" s="182"/>
    </row>
    <row r="153" spans="1:12">
      <c r="A153" s="177"/>
      <c r="B153" s="178"/>
      <c r="C153" s="178"/>
      <c r="D153" s="178"/>
      <c r="E153" s="152"/>
      <c r="F153" s="183"/>
      <c r="G153" s="179"/>
      <c r="H153" s="178"/>
      <c r="I153" s="181"/>
      <c r="J153" s="184"/>
      <c r="K153" s="174">
        <f t="shared" si="2"/>
        <v>0</v>
      </c>
      <c r="L153" s="182"/>
    </row>
    <row r="154" spans="1:12">
      <c r="A154" s="177"/>
      <c r="B154" s="178"/>
      <c r="C154" s="178"/>
      <c r="D154" s="178"/>
      <c r="E154" s="152"/>
      <c r="F154" s="183"/>
      <c r="G154" s="179"/>
      <c r="H154" s="178"/>
      <c r="I154" s="181"/>
      <c r="J154" s="184"/>
      <c r="K154" s="174">
        <f t="shared" si="2"/>
        <v>0</v>
      </c>
      <c r="L154" s="182"/>
    </row>
    <row r="155" spans="1:12">
      <c r="A155" s="177"/>
      <c r="B155" s="178"/>
      <c r="C155" s="178"/>
      <c r="D155" s="178"/>
      <c r="E155" s="152"/>
      <c r="F155" s="183"/>
      <c r="G155" s="179"/>
      <c r="H155" s="178"/>
      <c r="I155" s="181"/>
      <c r="J155" s="184"/>
      <c r="K155" s="174">
        <f t="shared" si="2"/>
        <v>0</v>
      </c>
      <c r="L155" s="182"/>
    </row>
    <row r="156" spans="1:12">
      <c r="A156" s="177"/>
      <c r="B156" s="178"/>
      <c r="C156" s="178"/>
      <c r="D156" s="178"/>
      <c r="E156" s="152"/>
      <c r="F156" s="183"/>
      <c r="G156" s="179"/>
      <c r="H156" s="178"/>
      <c r="I156" s="181"/>
      <c r="J156" s="184"/>
      <c r="K156" s="174">
        <f t="shared" si="2"/>
        <v>0</v>
      </c>
      <c r="L156" s="182"/>
    </row>
    <row r="157" spans="1:12">
      <c r="A157" s="177"/>
      <c r="B157" s="178"/>
      <c r="C157" s="178"/>
      <c r="D157" s="178"/>
      <c r="E157" s="152"/>
      <c r="F157" s="183"/>
      <c r="G157" s="179"/>
      <c r="H157" s="178"/>
      <c r="I157" s="181"/>
      <c r="J157" s="184"/>
      <c r="K157" s="174">
        <f t="shared" si="2"/>
        <v>0</v>
      </c>
      <c r="L157" s="182"/>
    </row>
    <row r="158" spans="1:12">
      <c r="A158" s="177"/>
      <c r="B158" s="178"/>
      <c r="C158" s="178"/>
      <c r="D158" s="178"/>
      <c r="E158" s="152"/>
      <c r="F158" s="183"/>
      <c r="G158" s="179"/>
      <c r="H158" s="178"/>
      <c r="I158" s="181"/>
      <c r="J158" s="184"/>
      <c r="K158" s="174">
        <f t="shared" si="2"/>
        <v>0</v>
      </c>
      <c r="L158" s="182"/>
    </row>
    <row r="159" spans="1:12">
      <c r="A159" s="177"/>
      <c r="B159" s="178"/>
      <c r="C159" s="178"/>
      <c r="D159" s="178"/>
      <c r="E159" s="152"/>
      <c r="F159" s="183"/>
      <c r="G159" s="179"/>
      <c r="H159" s="178"/>
      <c r="I159" s="181"/>
      <c r="J159" s="184"/>
      <c r="K159" s="174">
        <f t="shared" si="2"/>
        <v>0</v>
      </c>
      <c r="L159" s="182"/>
    </row>
    <row r="160" spans="1:12">
      <c r="A160" s="177"/>
      <c r="B160" s="178"/>
      <c r="C160" s="178"/>
      <c r="D160" s="178"/>
      <c r="E160" s="152"/>
      <c r="F160" s="183"/>
      <c r="G160" s="179"/>
      <c r="H160" s="178"/>
      <c r="I160" s="181"/>
      <c r="J160" s="184"/>
      <c r="K160" s="174">
        <f t="shared" si="2"/>
        <v>0</v>
      </c>
      <c r="L160" s="182"/>
    </row>
    <row r="161" spans="1:12">
      <c r="A161" s="177"/>
      <c r="B161" s="178"/>
      <c r="C161" s="178"/>
      <c r="D161" s="178"/>
      <c r="E161" s="152"/>
      <c r="F161" s="183"/>
      <c r="G161" s="179"/>
      <c r="H161" s="178"/>
      <c r="I161" s="181"/>
      <c r="J161" s="184"/>
      <c r="K161" s="174">
        <f t="shared" si="2"/>
        <v>0</v>
      </c>
      <c r="L161" s="182"/>
    </row>
    <row r="162" spans="1:12">
      <c r="A162" s="177"/>
      <c r="B162" s="178"/>
      <c r="C162" s="178"/>
      <c r="D162" s="178"/>
      <c r="E162" s="152"/>
      <c r="F162" s="183"/>
      <c r="G162" s="179"/>
      <c r="H162" s="178"/>
      <c r="I162" s="181"/>
      <c r="J162" s="184"/>
      <c r="K162" s="174">
        <f t="shared" si="2"/>
        <v>0</v>
      </c>
      <c r="L162" s="182"/>
    </row>
    <row r="163" spans="1:12">
      <c r="A163" s="177"/>
      <c r="B163" s="178"/>
      <c r="C163" s="178"/>
      <c r="D163" s="178"/>
      <c r="E163" s="152"/>
      <c r="F163" s="183"/>
      <c r="G163" s="179"/>
      <c r="H163" s="178"/>
      <c r="I163" s="181"/>
      <c r="J163" s="184"/>
      <c r="K163" s="174">
        <f t="shared" si="2"/>
        <v>0</v>
      </c>
      <c r="L163" s="182"/>
    </row>
    <row r="164" spans="1:12">
      <c r="A164" s="177"/>
      <c r="B164" s="178"/>
      <c r="C164" s="178"/>
      <c r="D164" s="178"/>
      <c r="E164" s="152"/>
      <c r="F164" s="183"/>
      <c r="G164" s="179"/>
      <c r="H164" s="178"/>
      <c r="I164" s="181"/>
      <c r="J164" s="184"/>
      <c r="K164" s="174">
        <f t="shared" si="2"/>
        <v>0</v>
      </c>
      <c r="L164" s="182"/>
    </row>
    <row r="165" spans="1:12">
      <c r="A165" s="177"/>
      <c r="B165" s="178"/>
      <c r="C165" s="178"/>
      <c r="D165" s="178"/>
      <c r="E165" s="152"/>
      <c r="F165" s="183"/>
      <c r="G165" s="179"/>
      <c r="H165" s="178"/>
      <c r="I165" s="181"/>
      <c r="J165" s="184"/>
      <c r="K165" s="174">
        <f t="shared" si="2"/>
        <v>0</v>
      </c>
      <c r="L165" s="182"/>
    </row>
    <row r="166" spans="1:12">
      <c r="A166" s="177"/>
      <c r="B166" s="178"/>
      <c r="C166" s="178"/>
      <c r="D166" s="178"/>
      <c r="E166" s="152"/>
      <c r="F166" s="183"/>
      <c r="G166" s="179"/>
      <c r="H166" s="178"/>
      <c r="I166" s="181"/>
      <c r="J166" s="184"/>
      <c r="K166" s="174">
        <f t="shared" si="2"/>
        <v>0</v>
      </c>
      <c r="L166" s="182"/>
    </row>
    <row r="167" spans="1:12">
      <c r="A167" s="177"/>
      <c r="B167" s="178"/>
      <c r="C167" s="178"/>
      <c r="D167" s="178"/>
      <c r="E167" s="152"/>
      <c r="F167" s="183"/>
      <c r="G167" s="179"/>
      <c r="H167" s="178"/>
      <c r="I167" s="181"/>
      <c r="J167" s="184"/>
      <c r="K167" s="174">
        <f t="shared" si="2"/>
        <v>0</v>
      </c>
      <c r="L167" s="182"/>
    </row>
    <row r="168" spans="1:12">
      <c r="A168" s="177"/>
      <c r="B168" s="178"/>
      <c r="C168" s="178"/>
      <c r="D168" s="178"/>
      <c r="E168" s="152"/>
      <c r="F168" s="183"/>
      <c r="G168" s="179"/>
      <c r="H168" s="178"/>
      <c r="I168" s="181"/>
      <c r="J168" s="184"/>
      <c r="K168" s="174">
        <f t="shared" si="2"/>
        <v>0</v>
      </c>
      <c r="L168" s="182"/>
    </row>
    <row r="169" spans="1:12">
      <c r="A169" s="177"/>
      <c r="B169" s="178"/>
      <c r="C169" s="178"/>
      <c r="D169" s="178"/>
      <c r="E169" s="152"/>
      <c r="F169" s="183"/>
      <c r="G169" s="179"/>
      <c r="H169" s="178"/>
      <c r="I169" s="181"/>
      <c r="J169" s="184"/>
      <c r="K169" s="174">
        <f t="shared" si="2"/>
        <v>0</v>
      </c>
      <c r="L169" s="182"/>
    </row>
    <row r="170" spans="1:12">
      <c r="A170" s="177"/>
      <c r="B170" s="178"/>
      <c r="C170" s="178"/>
      <c r="D170" s="178"/>
      <c r="E170" s="152"/>
      <c r="F170" s="183"/>
      <c r="G170" s="179"/>
      <c r="H170" s="178"/>
      <c r="I170" s="181"/>
      <c r="J170" s="184"/>
      <c r="K170" s="174">
        <f t="shared" si="2"/>
        <v>0</v>
      </c>
      <c r="L170" s="182"/>
    </row>
    <row r="171" spans="1:12">
      <c r="A171" s="177"/>
      <c r="B171" s="178"/>
      <c r="C171" s="178"/>
      <c r="D171" s="178"/>
      <c r="E171" s="152"/>
      <c r="F171" s="183"/>
      <c r="G171" s="179"/>
      <c r="H171" s="178"/>
      <c r="I171" s="181"/>
      <c r="J171" s="184"/>
      <c r="K171" s="174">
        <f t="shared" si="2"/>
        <v>0</v>
      </c>
      <c r="L171" s="182"/>
    </row>
    <row r="172" spans="1:12">
      <c r="A172" s="177"/>
      <c r="B172" s="178"/>
      <c r="C172" s="178"/>
      <c r="D172" s="178"/>
      <c r="E172" s="152"/>
      <c r="F172" s="183"/>
      <c r="G172" s="179"/>
      <c r="H172" s="178"/>
      <c r="I172" s="181"/>
      <c r="J172" s="184"/>
      <c r="K172" s="174">
        <f t="shared" si="2"/>
        <v>0</v>
      </c>
      <c r="L172" s="182"/>
    </row>
    <row r="173" spans="1:12">
      <c r="A173" s="177"/>
      <c r="B173" s="178"/>
      <c r="C173" s="178"/>
      <c r="D173" s="178"/>
      <c r="E173" s="152"/>
      <c r="F173" s="183"/>
      <c r="G173" s="179"/>
      <c r="H173" s="178"/>
      <c r="I173" s="181"/>
      <c r="J173" s="184"/>
      <c r="K173" s="174">
        <f t="shared" si="2"/>
        <v>0</v>
      </c>
      <c r="L173" s="182"/>
    </row>
    <row r="174" spans="1:12">
      <c r="A174" s="177"/>
      <c r="B174" s="178"/>
      <c r="C174" s="178"/>
      <c r="D174" s="178"/>
      <c r="E174" s="152"/>
      <c r="F174" s="183"/>
      <c r="G174" s="179"/>
      <c r="H174" s="178"/>
      <c r="I174" s="181"/>
      <c r="J174" s="184"/>
      <c r="K174" s="174">
        <f t="shared" si="2"/>
        <v>0</v>
      </c>
      <c r="L174" s="182"/>
    </row>
    <row r="175" spans="1:12">
      <c r="A175" s="177"/>
      <c r="B175" s="178"/>
      <c r="C175" s="178"/>
      <c r="D175" s="178"/>
      <c r="E175" s="152"/>
      <c r="F175" s="183"/>
      <c r="G175" s="179"/>
      <c r="H175" s="178"/>
      <c r="I175" s="181"/>
      <c r="J175" s="184"/>
      <c r="K175" s="174">
        <f t="shared" si="2"/>
        <v>0</v>
      </c>
      <c r="L175" s="182"/>
    </row>
    <row r="176" spans="1:12">
      <c r="A176" s="177"/>
      <c r="B176" s="178"/>
      <c r="C176" s="178"/>
      <c r="D176" s="178"/>
      <c r="E176" s="152"/>
      <c r="F176" s="183"/>
      <c r="G176" s="179"/>
      <c r="H176" s="178"/>
      <c r="I176" s="181"/>
      <c r="J176" s="184"/>
      <c r="K176" s="174">
        <f t="shared" si="2"/>
        <v>0</v>
      </c>
      <c r="L176" s="182"/>
    </row>
    <row r="177" spans="1:12">
      <c r="A177" s="177"/>
      <c r="B177" s="178"/>
      <c r="C177" s="178"/>
      <c r="D177" s="178"/>
      <c r="E177" s="152"/>
      <c r="F177" s="183"/>
      <c r="G177" s="179"/>
      <c r="H177" s="178"/>
      <c r="I177" s="181"/>
      <c r="J177" s="184"/>
      <c r="K177" s="174">
        <f t="shared" si="2"/>
        <v>0</v>
      </c>
      <c r="L177" s="182"/>
    </row>
    <row r="178" spans="1:12">
      <c r="A178" s="177"/>
      <c r="B178" s="178"/>
      <c r="C178" s="178"/>
      <c r="D178" s="178"/>
      <c r="E178" s="152"/>
      <c r="F178" s="183"/>
      <c r="G178" s="179"/>
      <c r="H178" s="178"/>
      <c r="I178" s="181"/>
      <c r="J178" s="184"/>
      <c r="K178" s="174">
        <f t="shared" si="2"/>
        <v>0</v>
      </c>
      <c r="L178" s="182"/>
    </row>
    <row r="179" spans="1:12">
      <c r="A179" s="177"/>
      <c r="B179" s="178"/>
      <c r="C179" s="178"/>
      <c r="D179" s="178"/>
      <c r="E179" s="152"/>
      <c r="F179" s="183"/>
      <c r="G179" s="179"/>
      <c r="H179" s="178"/>
      <c r="I179" s="181"/>
      <c r="J179" s="184"/>
      <c r="K179" s="174">
        <f t="shared" si="2"/>
        <v>0</v>
      </c>
      <c r="L179" s="182"/>
    </row>
    <row r="180" spans="1:12">
      <c r="A180" s="177"/>
      <c r="B180" s="178"/>
      <c r="C180" s="178"/>
      <c r="D180" s="178"/>
      <c r="E180" s="152"/>
      <c r="F180" s="183"/>
      <c r="G180" s="179"/>
      <c r="H180" s="178"/>
      <c r="I180" s="181"/>
      <c r="J180" s="184"/>
      <c r="K180" s="174">
        <f t="shared" si="2"/>
        <v>0</v>
      </c>
      <c r="L180" s="182"/>
    </row>
    <row r="181" spans="1:12">
      <c r="A181" s="177"/>
      <c r="B181" s="178"/>
      <c r="C181" s="178"/>
      <c r="D181" s="178"/>
      <c r="E181" s="152"/>
      <c r="F181" s="183"/>
      <c r="G181" s="179"/>
      <c r="H181" s="178"/>
      <c r="I181" s="181"/>
      <c r="J181" s="184"/>
      <c r="K181" s="174">
        <f t="shared" si="2"/>
        <v>0</v>
      </c>
      <c r="L181" s="182"/>
    </row>
    <row r="182" spans="1:12">
      <c r="A182" s="177"/>
      <c r="B182" s="178"/>
      <c r="C182" s="178"/>
      <c r="D182" s="178"/>
      <c r="E182" s="152"/>
      <c r="F182" s="183"/>
      <c r="G182" s="179"/>
      <c r="H182" s="178"/>
      <c r="I182" s="181"/>
      <c r="J182" s="184"/>
      <c r="K182" s="174">
        <f t="shared" si="2"/>
        <v>0</v>
      </c>
      <c r="L182" s="182"/>
    </row>
    <row r="183" spans="1:12">
      <c r="A183" s="177"/>
      <c r="B183" s="178"/>
      <c r="C183" s="178"/>
      <c r="D183" s="178"/>
      <c r="E183" s="152"/>
      <c r="F183" s="183"/>
      <c r="G183" s="179"/>
      <c r="H183" s="178"/>
      <c r="I183" s="181"/>
      <c r="J183" s="184"/>
      <c r="K183" s="174">
        <f t="shared" si="2"/>
        <v>0</v>
      </c>
      <c r="L183" s="182"/>
    </row>
    <row r="184" spans="1:12">
      <c r="A184" s="177"/>
      <c r="B184" s="178"/>
      <c r="C184" s="178"/>
      <c r="D184" s="178"/>
      <c r="E184" s="152"/>
      <c r="F184" s="183"/>
      <c r="G184" s="179"/>
      <c r="H184" s="178"/>
      <c r="I184" s="181"/>
      <c r="J184" s="184"/>
      <c r="K184" s="174">
        <f t="shared" si="2"/>
        <v>0</v>
      </c>
      <c r="L184" s="182"/>
    </row>
    <row r="185" spans="1:12">
      <c r="A185" s="177"/>
      <c r="B185" s="178"/>
      <c r="C185" s="178"/>
      <c r="D185" s="178"/>
      <c r="E185" s="152"/>
      <c r="F185" s="183"/>
      <c r="G185" s="179"/>
      <c r="H185" s="178"/>
      <c r="I185" s="181"/>
      <c r="J185" s="184"/>
      <c r="K185" s="174">
        <f t="shared" si="2"/>
        <v>0</v>
      </c>
      <c r="L185" s="182"/>
    </row>
    <row r="186" spans="1:12">
      <c r="A186" s="177"/>
      <c r="B186" s="178"/>
      <c r="C186" s="178"/>
      <c r="D186" s="178"/>
      <c r="E186" s="152"/>
      <c r="F186" s="183"/>
      <c r="G186" s="179"/>
      <c r="H186" s="178"/>
      <c r="I186" s="181"/>
      <c r="J186" s="184"/>
      <c r="K186" s="174">
        <f t="shared" si="2"/>
        <v>0</v>
      </c>
      <c r="L186" s="182"/>
    </row>
    <row r="187" spans="1:12">
      <c r="A187" s="177"/>
      <c r="B187" s="178"/>
      <c r="C187" s="178"/>
      <c r="D187" s="178"/>
      <c r="E187" s="152"/>
      <c r="F187" s="183"/>
      <c r="G187" s="179"/>
      <c r="H187" s="178"/>
      <c r="I187" s="181"/>
      <c r="J187" s="184"/>
      <c r="K187" s="174">
        <f t="shared" si="2"/>
        <v>0</v>
      </c>
      <c r="L187" s="182"/>
    </row>
    <row r="188" spans="1:12">
      <c r="A188" s="177"/>
      <c r="B188" s="178"/>
      <c r="C188" s="178"/>
      <c r="D188" s="178"/>
      <c r="E188" s="152"/>
      <c r="F188" s="183"/>
      <c r="G188" s="179"/>
      <c r="H188" s="178"/>
      <c r="I188" s="181"/>
      <c r="J188" s="184"/>
      <c r="K188" s="174">
        <f t="shared" si="2"/>
        <v>0</v>
      </c>
      <c r="L188" s="182"/>
    </row>
    <row r="189" spans="1:12">
      <c r="A189" s="177"/>
      <c r="B189" s="178"/>
      <c r="C189" s="178"/>
      <c r="D189" s="178"/>
      <c r="E189" s="152"/>
      <c r="F189" s="183"/>
      <c r="G189" s="179"/>
      <c r="H189" s="178"/>
      <c r="I189" s="181"/>
      <c r="J189" s="184"/>
      <c r="K189" s="174">
        <f t="shared" si="2"/>
        <v>0</v>
      </c>
      <c r="L189" s="182"/>
    </row>
    <row r="190" spans="1:12">
      <c r="A190" s="177"/>
      <c r="B190" s="178"/>
      <c r="C190" s="178"/>
      <c r="D190" s="178"/>
      <c r="E190" s="152"/>
      <c r="F190" s="183"/>
      <c r="G190" s="179"/>
      <c r="H190" s="178"/>
      <c r="I190" s="181"/>
      <c r="J190" s="184"/>
      <c r="K190" s="174">
        <f t="shared" si="2"/>
        <v>0</v>
      </c>
      <c r="L190" s="182"/>
    </row>
    <row r="191" spans="1:12">
      <c r="A191" s="177"/>
      <c r="B191" s="178"/>
      <c r="C191" s="178"/>
      <c r="D191" s="178"/>
      <c r="E191" s="152"/>
      <c r="F191" s="183"/>
      <c r="G191" s="179"/>
      <c r="H191" s="178"/>
      <c r="I191" s="181"/>
      <c r="J191" s="184"/>
      <c r="K191" s="174">
        <f t="shared" si="2"/>
        <v>0</v>
      </c>
      <c r="L191" s="182"/>
    </row>
    <row r="192" spans="1:12">
      <c r="A192" s="177"/>
      <c r="B192" s="178"/>
      <c r="C192" s="178"/>
      <c r="D192" s="178"/>
      <c r="E192" s="152"/>
      <c r="F192" s="183"/>
      <c r="G192" s="179"/>
      <c r="H192" s="178"/>
      <c r="I192" s="181"/>
      <c r="J192" s="184"/>
      <c r="K192" s="174">
        <f t="shared" si="2"/>
        <v>0</v>
      </c>
      <c r="L192" s="182"/>
    </row>
    <row r="193" spans="1:12">
      <c r="A193" s="177"/>
      <c r="B193" s="178"/>
      <c r="C193" s="178"/>
      <c r="D193" s="178"/>
      <c r="E193" s="152"/>
      <c r="F193" s="183"/>
      <c r="G193" s="179"/>
      <c r="H193" s="178"/>
      <c r="I193" s="181"/>
      <c r="J193" s="184"/>
      <c r="K193" s="174">
        <f t="shared" si="2"/>
        <v>0</v>
      </c>
      <c r="L193" s="182"/>
    </row>
    <row r="194" spans="1:12">
      <c r="A194" s="177"/>
      <c r="B194" s="178"/>
      <c r="C194" s="178"/>
      <c r="D194" s="178"/>
      <c r="E194" s="152"/>
      <c r="F194" s="183"/>
      <c r="G194" s="179"/>
      <c r="H194" s="178"/>
      <c r="I194" s="181"/>
      <c r="J194" s="184"/>
      <c r="K194" s="174">
        <f t="shared" si="2"/>
        <v>0</v>
      </c>
      <c r="L194" s="182"/>
    </row>
    <row r="195" spans="1:12">
      <c r="A195" s="177"/>
      <c r="B195" s="178"/>
      <c r="C195" s="178"/>
      <c r="D195" s="178"/>
      <c r="E195" s="152"/>
      <c r="F195" s="183"/>
      <c r="G195" s="179"/>
      <c r="H195" s="178"/>
      <c r="I195" s="181"/>
      <c r="J195" s="184"/>
      <c r="K195" s="174">
        <f t="shared" si="2"/>
        <v>0</v>
      </c>
      <c r="L195" s="182"/>
    </row>
    <row r="196" spans="1:12">
      <c r="A196" s="177"/>
      <c r="B196" s="178"/>
      <c r="C196" s="178"/>
      <c r="D196" s="178"/>
      <c r="E196" s="152"/>
      <c r="F196" s="183"/>
      <c r="G196" s="179"/>
      <c r="H196" s="178"/>
      <c r="I196" s="181"/>
      <c r="J196" s="184"/>
      <c r="K196" s="174">
        <f t="shared" si="2"/>
        <v>0</v>
      </c>
      <c r="L196" s="182"/>
    </row>
    <row r="197" spans="1:12">
      <c r="A197" s="177"/>
      <c r="B197" s="178"/>
      <c r="C197" s="178"/>
      <c r="D197" s="178"/>
      <c r="E197" s="152"/>
      <c r="F197" s="183"/>
      <c r="G197" s="179"/>
      <c r="H197" s="178"/>
      <c r="I197" s="181"/>
      <c r="J197" s="184"/>
      <c r="K197" s="174">
        <f t="shared" si="2"/>
        <v>0</v>
      </c>
      <c r="L197" s="182"/>
    </row>
    <row r="198" spans="1:12">
      <c r="A198" s="177"/>
      <c r="B198" s="178"/>
      <c r="C198" s="178"/>
      <c r="D198" s="178"/>
      <c r="E198" s="152"/>
      <c r="F198" s="183"/>
      <c r="G198" s="179"/>
      <c r="H198" s="178"/>
      <c r="I198" s="181"/>
      <c r="J198" s="184"/>
      <c r="K198" s="174">
        <f t="shared" ref="K198:K210" si="3">+H198*I198*J198</f>
        <v>0</v>
      </c>
      <c r="L198" s="182"/>
    </row>
    <row r="199" spans="1:12">
      <c r="A199" s="177"/>
      <c r="B199" s="178"/>
      <c r="C199" s="178"/>
      <c r="D199" s="178"/>
      <c r="E199" s="152"/>
      <c r="F199" s="183"/>
      <c r="G199" s="179"/>
      <c r="H199" s="178"/>
      <c r="I199" s="181"/>
      <c r="J199" s="184"/>
      <c r="K199" s="174">
        <f t="shared" si="3"/>
        <v>0</v>
      </c>
      <c r="L199" s="182"/>
    </row>
    <row r="200" spans="1:12">
      <c r="A200" s="177"/>
      <c r="B200" s="178"/>
      <c r="C200" s="178"/>
      <c r="D200" s="178"/>
      <c r="E200" s="152"/>
      <c r="F200" s="183"/>
      <c r="G200" s="179"/>
      <c r="H200" s="178"/>
      <c r="I200" s="181"/>
      <c r="J200" s="184"/>
      <c r="K200" s="174">
        <f t="shared" si="3"/>
        <v>0</v>
      </c>
      <c r="L200" s="182"/>
    </row>
    <row r="201" spans="1:12">
      <c r="A201" s="177"/>
      <c r="B201" s="178"/>
      <c r="C201" s="178"/>
      <c r="D201" s="178"/>
      <c r="E201" s="152"/>
      <c r="F201" s="183"/>
      <c r="G201" s="179"/>
      <c r="H201" s="178"/>
      <c r="I201" s="181"/>
      <c r="J201" s="184"/>
      <c r="K201" s="174">
        <f t="shared" si="3"/>
        <v>0</v>
      </c>
      <c r="L201" s="182"/>
    </row>
    <row r="202" spans="1:12">
      <c r="A202" s="177"/>
      <c r="B202" s="178"/>
      <c r="C202" s="178"/>
      <c r="D202" s="178"/>
      <c r="E202" s="152"/>
      <c r="F202" s="183"/>
      <c r="G202" s="179"/>
      <c r="H202" s="178"/>
      <c r="I202" s="181"/>
      <c r="J202" s="184"/>
      <c r="K202" s="174">
        <f t="shared" si="3"/>
        <v>0</v>
      </c>
      <c r="L202" s="182"/>
    </row>
    <row r="203" spans="1:12">
      <c r="A203" s="177"/>
      <c r="B203" s="178"/>
      <c r="C203" s="178"/>
      <c r="D203" s="178"/>
      <c r="E203" s="152"/>
      <c r="F203" s="183"/>
      <c r="G203" s="179"/>
      <c r="H203" s="178"/>
      <c r="I203" s="181"/>
      <c r="J203" s="184"/>
      <c r="K203" s="174">
        <f t="shared" si="3"/>
        <v>0</v>
      </c>
      <c r="L203" s="182"/>
    </row>
    <row r="204" spans="1:12">
      <c r="A204" s="177"/>
      <c r="B204" s="178"/>
      <c r="C204" s="178"/>
      <c r="D204" s="178"/>
      <c r="E204" s="152"/>
      <c r="F204" s="183"/>
      <c r="G204" s="179"/>
      <c r="H204" s="178"/>
      <c r="I204" s="181"/>
      <c r="J204" s="184"/>
      <c r="K204" s="174">
        <f t="shared" si="3"/>
        <v>0</v>
      </c>
      <c r="L204" s="182"/>
    </row>
    <row r="205" spans="1:12">
      <c r="A205" s="177"/>
      <c r="B205" s="178"/>
      <c r="C205" s="178"/>
      <c r="D205" s="178"/>
      <c r="E205" s="152"/>
      <c r="F205" s="183"/>
      <c r="G205" s="179"/>
      <c r="H205" s="178"/>
      <c r="I205" s="181"/>
      <c r="J205" s="184"/>
      <c r="K205" s="174">
        <f t="shared" si="3"/>
        <v>0</v>
      </c>
      <c r="L205" s="182"/>
    </row>
    <row r="206" spans="1:12">
      <c r="A206" s="177"/>
      <c r="B206" s="178"/>
      <c r="C206" s="178"/>
      <c r="D206" s="178"/>
      <c r="E206" s="152"/>
      <c r="F206" s="183"/>
      <c r="G206" s="179"/>
      <c r="H206" s="178"/>
      <c r="I206" s="181"/>
      <c r="J206" s="184"/>
      <c r="K206" s="174">
        <f t="shared" si="3"/>
        <v>0</v>
      </c>
      <c r="L206" s="182"/>
    </row>
    <row r="207" spans="1:12">
      <c r="A207" s="177"/>
      <c r="B207" s="178"/>
      <c r="C207" s="178"/>
      <c r="D207" s="178"/>
      <c r="E207" s="152"/>
      <c r="F207" s="183"/>
      <c r="G207" s="179"/>
      <c r="H207" s="178"/>
      <c r="I207" s="181"/>
      <c r="J207" s="184"/>
      <c r="K207" s="174">
        <f t="shared" si="3"/>
        <v>0</v>
      </c>
      <c r="L207" s="182"/>
    </row>
    <row r="208" spans="1:12">
      <c r="A208" s="177"/>
      <c r="B208" s="178"/>
      <c r="C208" s="178"/>
      <c r="D208" s="178"/>
      <c r="E208" s="152"/>
      <c r="F208" s="183"/>
      <c r="G208" s="179"/>
      <c r="H208" s="178"/>
      <c r="I208" s="181"/>
      <c r="J208" s="184"/>
      <c r="K208" s="174">
        <f t="shared" si="3"/>
        <v>0</v>
      </c>
      <c r="L208" s="182"/>
    </row>
    <row r="209" spans="1:12">
      <c r="A209" s="177"/>
      <c r="B209" s="178"/>
      <c r="C209" s="178"/>
      <c r="D209" s="178"/>
      <c r="E209" s="152"/>
      <c r="F209" s="183"/>
      <c r="G209" s="179"/>
      <c r="H209" s="178"/>
      <c r="I209" s="181"/>
      <c r="J209" s="184"/>
      <c r="K209" s="174">
        <f t="shared" si="3"/>
        <v>0</v>
      </c>
      <c r="L209" s="182"/>
    </row>
    <row r="210" spans="1:12" ht="15.75" thickBot="1">
      <c r="A210" s="185"/>
      <c r="B210" s="186"/>
      <c r="C210" s="186"/>
      <c r="D210" s="186"/>
      <c r="E210" s="153"/>
      <c r="F210" s="187"/>
      <c r="G210" s="188"/>
      <c r="H210" s="186"/>
      <c r="I210" s="189"/>
      <c r="J210" s="190"/>
      <c r="K210" s="175">
        <f t="shared" si="3"/>
        <v>0</v>
      </c>
      <c r="L210" s="191"/>
    </row>
  </sheetData>
  <sheetProtection algorithmName="SHA-512" hashValue="oaU+WXnD3B80Y/dnr/wwJNi64F8vxRpfFk06BUjxbijGuD8cYCF610MpKPYmEEGZHJrs7hi7EcmOTAg3p3hsfg==" saltValue="Pr5kSrwHMG8OotDcvgdiWA==" spinCount="100000" sheet="1" objects="1" scenarios="1" selectLockedCells="1"/>
  <mergeCells count="1">
    <mergeCell ref="A1:L1"/>
  </mergeCells>
  <dataValidations count="2">
    <dataValidation type="list" allowBlank="1" showInputMessage="1" showErrorMessage="1" promptTitle="Ressources type" prompt="Make your choice" sqref="E4:E210">
      <formula1>" Equipment,Infrastructures,Other assets"</formula1>
    </dataValidation>
    <dataValidation type="date" allowBlank="1" showInputMessage="1" showErrorMessage="1" sqref="G4:G210">
      <formula1>1</formula1>
      <formula2>73415</formula2>
    </dataValidation>
  </dataValidations>
  <pageMargins left="0.25" right="0.25" top="0.75" bottom="0.75" header="0.3" footer="0.3"/>
  <pageSetup paperSize="9" scale="60" fitToHeight="0" orientation="landscape"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K112"/>
  <sheetViews>
    <sheetView showGridLines="0" workbookViewId="0">
      <pane ySplit="3" topLeftCell="A4" activePane="bottomLeft" state="frozen"/>
      <selection pane="bottomLeft" activeCell="A4" sqref="A4"/>
    </sheetView>
  </sheetViews>
  <sheetFormatPr defaultColWidth="0" defaultRowHeight="15"/>
  <cols>
    <col min="1" max="1" width="3.5703125" style="166" customWidth="1"/>
    <col min="2" max="2" width="13.5703125" style="166" customWidth="1"/>
    <col min="3" max="3" width="13.42578125" style="166" customWidth="1"/>
    <col min="4" max="4" width="159" style="166" customWidth="1"/>
    <col min="5" max="5" width="2" customWidth="1"/>
    <col min="6" max="11" width="0" hidden="1" customWidth="1"/>
    <col min="12" max="16384" width="8.85546875" hidden="1"/>
  </cols>
  <sheetData>
    <row r="1" spans="1:11" s="63" customFormat="1" ht="21">
      <c r="A1" s="492" t="s">
        <v>940</v>
      </c>
      <c r="B1" s="492"/>
      <c r="C1" s="492"/>
      <c r="D1" s="492"/>
      <c r="E1" s="164"/>
      <c r="F1" s="164"/>
      <c r="G1" s="164"/>
      <c r="H1" s="164"/>
      <c r="I1" s="164"/>
      <c r="J1" s="164"/>
      <c r="K1" s="164"/>
    </row>
    <row r="3" spans="1:11">
      <c r="A3" s="165" t="s">
        <v>941</v>
      </c>
      <c r="B3" s="165" t="s">
        <v>942</v>
      </c>
      <c r="C3" s="165" t="s">
        <v>943</v>
      </c>
      <c r="D3" s="165" t="s">
        <v>944</v>
      </c>
    </row>
    <row r="4" spans="1:11">
      <c r="A4" s="167"/>
      <c r="B4" s="168"/>
      <c r="C4" s="168"/>
      <c r="D4" s="168"/>
    </row>
    <row r="5" spans="1:11">
      <c r="A5" s="167"/>
      <c r="B5" s="168"/>
      <c r="C5" s="168"/>
      <c r="D5" s="168"/>
    </row>
    <row r="6" spans="1:11">
      <c r="A6" s="167"/>
      <c r="B6" s="168"/>
      <c r="C6" s="168"/>
      <c r="D6" s="168"/>
    </row>
    <row r="7" spans="1:11">
      <c r="A7" s="167"/>
      <c r="B7" s="168"/>
      <c r="C7" s="168"/>
      <c r="D7" s="168"/>
    </row>
    <row r="8" spans="1:11">
      <c r="A8" s="167"/>
      <c r="B8" s="168"/>
      <c r="C8" s="168"/>
      <c r="D8" s="168"/>
    </row>
    <row r="9" spans="1:11">
      <c r="A9" s="167"/>
      <c r="B9" s="168"/>
      <c r="C9" s="168"/>
      <c r="D9" s="168"/>
    </row>
    <row r="10" spans="1:11">
      <c r="A10" s="167"/>
      <c r="B10" s="168"/>
      <c r="C10" s="168"/>
      <c r="D10" s="168"/>
    </row>
    <row r="11" spans="1:11">
      <c r="A11" s="167"/>
      <c r="B11" s="168"/>
      <c r="C11" s="168"/>
      <c r="D11" s="168"/>
    </row>
    <row r="12" spans="1:11">
      <c r="A12" s="167"/>
      <c r="B12" s="168"/>
      <c r="C12" s="168"/>
      <c r="D12" s="168"/>
    </row>
    <row r="13" spans="1:11">
      <c r="A13" s="167"/>
      <c r="B13" s="168"/>
      <c r="C13" s="168"/>
      <c r="D13" s="168"/>
    </row>
    <row r="14" spans="1:11">
      <c r="A14" s="167"/>
      <c r="B14" s="168"/>
      <c r="C14" s="168"/>
      <c r="D14" s="168"/>
    </row>
    <row r="15" spans="1:11">
      <c r="A15" s="167"/>
      <c r="B15" s="168"/>
      <c r="C15" s="168"/>
      <c r="D15" s="168"/>
    </row>
    <row r="16" spans="1:11">
      <c r="A16" s="167"/>
      <c r="B16" s="168"/>
      <c r="C16" s="168"/>
      <c r="D16" s="168"/>
    </row>
    <row r="17" spans="1:4">
      <c r="A17" s="167"/>
      <c r="B17" s="168"/>
      <c r="C17" s="168"/>
      <c r="D17" s="168"/>
    </row>
    <row r="18" spans="1:4">
      <c r="A18" s="167"/>
      <c r="B18" s="168"/>
      <c r="C18" s="168"/>
      <c r="D18" s="168"/>
    </row>
    <row r="19" spans="1:4">
      <c r="A19" s="167"/>
      <c r="B19" s="168"/>
      <c r="C19" s="168"/>
      <c r="D19" s="168"/>
    </row>
    <row r="20" spans="1:4">
      <c r="A20" s="167"/>
      <c r="B20" s="168"/>
      <c r="C20" s="168"/>
      <c r="D20" s="168"/>
    </row>
    <row r="21" spans="1:4">
      <c r="A21" s="167"/>
      <c r="B21" s="168"/>
      <c r="C21" s="168"/>
      <c r="D21" s="168"/>
    </row>
    <row r="22" spans="1:4">
      <c r="A22" s="167"/>
      <c r="B22" s="168"/>
      <c r="C22" s="168"/>
      <c r="D22" s="168"/>
    </row>
    <row r="23" spans="1:4">
      <c r="A23" s="167"/>
      <c r="B23" s="168"/>
      <c r="C23" s="168"/>
      <c r="D23" s="168"/>
    </row>
    <row r="24" spans="1:4">
      <c r="A24" s="167"/>
      <c r="B24" s="168"/>
      <c r="C24" s="168"/>
      <c r="D24" s="168"/>
    </row>
    <row r="25" spans="1:4">
      <c r="A25" s="167"/>
      <c r="B25" s="168"/>
      <c r="C25" s="168"/>
      <c r="D25" s="168"/>
    </row>
    <row r="26" spans="1:4">
      <c r="A26" s="167"/>
      <c r="B26" s="168"/>
      <c r="C26" s="168"/>
      <c r="D26" s="168"/>
    </row>
    <row r="27" spans="1:4">
      <c r="A27" s="167"/>
      <c r="B27" s="168"/>
      <c r="C27" s="168"/>
      <c r="D27" s="168"/>
    </row>
    <row r="28" spans="1:4">
      <c r="A28" s="167"/>
      <c r="B28" s="168"/>
      <c r="C28" s="168"/>
      <c r="D28" s="168"/>
    </row>
    <row r="29" spans="1:4">
      <c r="A29" s="167"/>
      <c r="B29" s="168"/>
      <c r="C29" s="168"/>
      <c r="D29" s="168"/>
    </row>
    <row r="30" spans="1:4">
      <c r="A30" s="167"/>
      <c r="B30" s="168"/>
      <c r="C30" s="168"/>
      <c r="D30" s="168"/>
    </row>
    <row r="31" spans="1:4">
      <c r="A31" s="167"/>
      <c r="B31" s="168"/>
      <c r="C31" s="168"/>
      <c r="D31" s="168"/>
    </row>
    <row r="32" spans="1:4">
      <c r="A32" s="167"/>
      <c r="B32" s="168"/>
      <c r="C32" s="168"/>
      <c r="D32" s="168"/>
    </row>
    <row r="33" spans="1:4">
      <c r="A33" s="167"/>
      <c r="B33" s="168"/>
      <c r="C33" s="168"/>
      <c r="D33" s="168"/>
    </row>
    <row r="34" spans="1:4">
      <c r="A34" s="167"/>
      <c r="B34" s="168"/>
      <c r="C34" s="168"/>
      <c r="D34" s="168"/>
    </row>
    <row r="35" spans="1:4">
      <c r="A35" s="167"/>
      <c r="B35" s="168"/>
      <c r="C35" s="168"/>
      <c r="D35" s="168"/>
    </row>
    <row r="36" spans="1:4">
      <c r="A36" s="167"/>
      <c r="B36" s="168"/>
      <c r="C36" s="168"/>
      <c r="D36" s="168"/>
    </row>
    <row r="37" spans="1:4">
      <c r="A37" s="167"/>
      <c r="B37" s="168"/>
      <c r="C37" s="168"/>
      <c r="D37" s="168"/>
    </row>
    <row r="38" spans="1:4">
      <c r="A38" s="167"/>
      <c r="B38" s="168"/>
      <c r="C38" s="168"/>
      <c r="D38" s="168"/>
    </row>
    <row r="39" spans="1:4">
      <c r="A39" s="167"/>
      <c r="B39" s="168"/>
      <c r="C39" s="168"/>
      <c r="D39" s="168"/>
    </row>
    <row r="40" spans="1:4">
      <c r="A40" s="167"/>
      <c r="B40" s="168"/>
      <c r="C40" s="168"/>
      <c r="D40" s="168"/>
    </row>
    <row r="41" spans="1:4">
      <c r="A41" s="167"/>
      <c r="B41" s="168"/>
      <c r="C41" s="168"/>
      <c r="D41" s="168"/>
    </row>
    <row r="42" spans="1:4">
      <c r="A42" s="167"/>
      <c r="B42" s="168"/>
      <c r="C42" s="168"/>
      <c r="D42" s="168"/>
    </row>
    <row r="43" spans="1:4">
      <c r="A43" s="167"/>
      <c r="B43" s="168"/>
      <c r="C43" s="168"/>
      <c r="D43" s="168"/>
    </row>
    <row r="44" spans="1:4">
      <c r="A44" s="167"/>
      <c r="B44" s="168"/>
      <c r="C44" s="168"/>
      <c r="D44" s="168"/>
    </row>
    <row r="45" spans="1:4">
      <c r="A45" s="167"/>
      <c r="B45" s="168"/>
      <c r="C45" s="168"/>
      <c r="D45" s="168"/>
    </row>
    <row r="46" spans="1:4">
      <c r="A46" s="167"/>
      <c r="B46" s="168"/>
      <c r="C46" s="168"/>
      <c r="D46" s="168"/>
    </row>
    <row r="47" spans="1:4">
      <c r="A47" s="167"/>
      <c r="B47" s="168"/>
      <c r="C47" s="168"/>
      <c r="D47" s="168"/>
    </row>
    <row r="48" spans="1:4">
      <c r="A48" s="167"/>
      <c r="B48" s="168"/>
      <c r="C48" s="168"/>
      <c r="D48" s="168"/>
    </row>
    <row r="49" spans="1:4">
      <c r="A49" s="167"/>
      <c r="B49" s="168"/>
      <c r="C49" s="168"/>
      <c r="D49" s="168"/>
    </row>
    <row r="50" spans="1:4">
      <c r="A50" s="167"/>
      <c r="B50" s="168"/>
      <c r="C50" s="168"/>
      <c r="D50" s="168"/>
    </row>
    <row r="51" spans="1:4">
      <c r="A51" s="167"/>
      <c r="B51" s="168"/>
      <c r="C51" s="168"/>
      <c r="D51" s="168"/>
    </row>
    <row r="52" spans="1:4">
      <c r="A52" s="167"/>
      <c r="B52" s="168"/>
      <c r="C52" s="168"/>
      <c r="D52" s="168"/>
    </row>
    <row r="53" spans="1:4">
      <c r="A53" s="167"/>
      <c r="B53" s="168"/>
      <c r="C53" s="168"/>
      <c r="D53" s="168"/>
    </row>
    <row r="54" spans="1:4">
      <c r="A54" s="167"/>
      <c r="B54" s="168"/>
      <c r="C54" s="168"/>
      <c r="D54" s="168"/>
    </row>
    <row r="55" spans="1:4">
      <c r="A55" s="167"/>
      <c r="B55" s="168"/>
      <c r="C55" s="168"/>
      <c r="D55" s="168"/>
    </row>
    <row r="56" spans="1:4">
      <c r="A56" s="167"/>
      <c r="B56" s="168"/>
      <c r="C56" s="168"/>
      <c r="D56" s="168"/>
    </row>
    <row r="57" spans="1:4">
      <c r="A57" s="167"/>
      <c r="B57" s="168"/>
      <c r="C57" s="168"/>
      <c r="D57" s="168"/>
    </row>
    <row r="58" spans="1:4">
      <c r="A58" s="167"/>
      <c r="B58" s="168"/>
      <c r="C58" s="168"/>
      <c r="D58" s="168"/>
    </row>
    <row r="59" spans="1:4">
      <c r="A59" s="167"/>
      <c r="B59" s="168"/>
      <c r="C59" s="168"/>
      <c r="D59" s="168"/>
    </row>
    <row r="60" spans="1:4">
      <c r="A60" s="167"/>
      <c r="B60" s="168"/>
      <c r="C60" s="168"/>
      <c r="D60" s="168"/>
    </row>
    <row r="61" spans="1:4">
      <c r="A61" s="167"/>
      <c r="B61" s="168"/>
      <c r="C61" s="168"/>
      <c r="D61" s="168"/>
    </row>
    <row r="62" spans="1:4">
      <c r="A62" s="167"/>
      <c r="B62" s="168"/>
      <c r="C62" s="168"/>
      <c r="D62" s="168"/>
    </row>
    <row r="63" spans="1:4">
      <c r="A63" s="167"/>
      <c r="B63" s="168"/>
      <c r="C63" s="168"/>
      <c r="D63" s="168"/>
    </row>
    <row r="64" spans="1:4">
      <c r="A64" s="167"/>
      <c r="B64" s="168"/>
      <c r="C64" s="168"/>
      <c r="D64" s="168"/>
    </row>
    <row r="65" spans="1:4">
      <c r="A65" s="167"/>
      <c r="B65" s="168"/>
      <c r="C65" s="168"/>
      <c r="D65" s="168"/>
    </row>
    <row r="66" spans="1:4">
      <c r="A66" s="167"/>
      <c r="B66" s="168"/>
      <c r="C66" s="168"/>
      <c r="D66" s="168"/>
    </row>
    <row r="67" spans="1:4">
      <c r="A67" s="167"/>
      <c r="B67" s="168"/>
      <c r="C67" s="168"/>
      <c r="D67" s="168"/>
    </row>
    <row r="68" spans="1:4">
      <c r="A68" s="167"/>
      <c r="B68" s="168"/>
      <c r="C68" s="168"/>
      <c r="D68" s="168"/>
    </row>
    <row r="69" spans="1:4">
      <c r="A69" s="167"/>
      <c r="B69" s="168"/>
      <c r="C69" s="168"/>
      <c r="D69" s="168"/>
    </row>
    <row r="70" spans="1:4">
      <c r="A70" s="167"/>
      <c r="B70" s="168"/>
      <c r="C70" s="168"/>
      <c r="D70" s="168"/>
    </row>
    <row r="71" spans="1:4">
      <c r="A71" s="167"/>
      <c r="B71" s="168"/>
      <c r="C71" s="168"/>
      <c r="D71" s="168"/>
    </row>
    <row r="72" spans="1:4">
      <c r="A72" s="167"/>
      <c r="B72" s="168"/>
      <c r="C72" s="168"/>
      <c r="D72" s="168"/>
    </row>
    <row r="73" spans="1:4">
      <c r="A73" s="167"/>
      <c r="B73" s="168"/>
      <c r="C73" s="168"/>
      <c r="D73" s="168"/>
    </row>
    <row r="74" spans="1:4">
      <c r="A74" s="167"/>
      <c r="B74" s="168"/>
      <c r="C74" s="168"/>
      <c r="D74" s="168"/>
    </row>
    <row r="75" spans="1:4">
      <c r="A75" s="167"/>
      <c r="B75" s="168"/>
      <c r="C75" s="168"/>
      <c r="D75" s="168"/>
    </row>
    <row r="76" spans="1:4">
      <c r="A76" s="167"/>
      <c r="B76" s="168"/>
      <c r="C76" s="168"/>
      <c r="D76" s="168"/>
    </row>
    <row r="77" spans="1:4">
      <c r="A77" s="167"/>
      <c r="B77" s="168"/>
      <c r="C77" s="168"/>
      <c r="D77" s="168"/>
    </row>
    <row r="78" spans="1:4">
      <c r="A78" s="167"/>
      <c r="B78" s="168"/>
      <c r="C78" s="168"/>
      <c r="D78" s="168"/>
    </row>
    <row r="79" spans="1:4">
      <c r="A79" s="167"/>
      <c r="B79" s="168"/>
      <c r="C79" s="168"/>
      <c r="D79" s="168"/>
    </row>
    <row r="80" spans="1:4">
      <c r="A80" s="167"/>
      <c r="B80" s="168"/>
      <c r="C80" s="168"/>
      <c r="D80" s="168"/>
    </row>
    <row r="81" spans="1:4">
      <c r="A81" s="167"/>
      <c r="B81" s="168"/>
      <c r="C81" s="168"/>
      <c r="D81" s="168"/>
    </row>
    <row r="82" spans="1:4">
      <c r="A82" s="167"/>
      <c r="B82" s="168"/>
      <c r="C82" s="168"/>
      <c r="D82" s="168"/>
    </row>
    <row r="83" spans="1:4">
      <c r="A83" s="167"/>
      <c r="B83" s="168"/>
      <c r="C83" s="168"/>
      <c r="D83" s="168"/>
    </row>
    <row r="84" spans="1:4">
      <c r="A84" s="167"/>
      <c r="B84" s="168"/>
      <c r="C84" s="168"/>
      <c r="D84" s="168"/>
    </row>
    <row r="85" spans="1:4">
      <c r="A85" s="167"/>
      <c r="B85" s="168"/>
      <c r="C85" s="168"/>
      <c r="D85" s="168"/>
    </row>
    <row r="86" spans="1:4">
      <c r="A86" s="167"/>
      <c r="B86" s="168"/>
      <c r="C86" s="168"/>
      <c r="D86" s="168"/>
    </row>
    <row r="87" spans="1:4">
      <c r="A87" s="167"/>
      <c r="B87" s="168"/>
      <c r="C87" s="168"/>
      <c r="D87" s="168"/>
    </row>
    <row r="88" spans="1:4">
      <c r="A88" s="167"/>
      <c r="B88" s="168"/>
      <c r="C88" s="168"/>
      <c r="D88" s="168"/>
    </row>
    <row r="89" spans="1:4">
      <c r="A89" s="167"/>
      <c r="B89" s="168"/>
      <c r="C89" s="168"/>
      <c r="D89" s="168"/>
    </row>
    <row r="90" spans="1:4">
      <c r="A90" s="167"/>
      <c r="B90" s="168"/>
      <c r="C90" s="168"/>
      <c r="D90" s="168"/>
    </row>
    <row r="91" spans="1:4">
      <c r="A91" s="167"/>
      <c r="B91" s="168"/>
      <c r="C91" s="168"/>
      <c r="D91" s="168"/>
    </row>
    <row r="92" spans="1:4">
      <c r="A92" s="167"/>
      <c r="B92" s="168"/>
      <c r="C92" s="168"/>
      <c r="D92" s="168"/>
    </row>
    <row r="93" spans="1:4">
      <c r="A93" s="167"/>
      <c r="B93" s="168"/>
      <c r="C93" s="168"/>
      <c r="D93" s="168"/>
    </row>
    <row r="94" spans="1:4">
      <c r="A94" s="167"/>
      <c r="B94" s="168"/>
      <c r="C94" s="168"/>
      <c r="D94" s="168"/>
    </row>
    <row r="95" spans="1:4">
      <c r="A95" s="167"/>
      <c r="B95" s="168"/>
      <c r="C95" s="168"/>
      <c r="D95" s="168"/>
    </row>
    <row r="96" spans="1:4">
      <c r="A96" s="167"/>
      <c r="B96" s="168"/>
      <c r="C96" s="168"/>
      <c r="D96" s="168"/>
    </row>
    <row r="97" spans="1:4">
      <c r="A97" s="167"/>
      <c r="B97" s="168"/>
      <c r="C97" s="168"/>
      <c r="D97" s="168"/>
    </row>
    <row r="98" spans="1:4">
      <c r="A98" s="167"/>
      <c r="B98" s="168"/>
      <c r="C98" s="168"/>
      <c r="D98" s="168"/>
    </row>
    <row r="99" spans="1:4">
      <c r="A99" s="167"/>
      <c r="B99" s="168"/>
      <c r="C99" s="168"/>
      <c r="D99" s="168"/>
    </row>
    <row r="100" spans="1:4">
      <c r="A100" s="167"/>
      <c r="B100" s="168"/>
      <c r="C100" s="168"/>
      <c r="D100" s="168"/>
    </row>
    <row r="101" spans="1:4">
      <c r="A101" s="167"/>
      <c r="B101" s="168"/>
      <c r="C101" s="168"/>
      <c r="D101" s="168"/>
    </row>
    <row r="102" spans="1:4">
      <c r="A102" s="167"/>
      <c r="B102" s="168"/>
      <c r="C102" s="168"/>
      <c r="D102" s="168"/>
    </row>
    <row r="103" spans="1:4">
      <c r="A103" s="167"/>
      <c r="B103" s="168"/>
      <c r="C103" s="168"/>
      <c r="D103" s="168"/>
    </row>
    <row r="104" spans="1:4">
      <c r="A104" s="167"/>
      <c r="B104" s="168"/>
      <c r="C104" s="168"/>
      <c r="D104" s="168"/>
    </row>
    <row r="105" spans="1:4">
      <c r="A105" s="167"/>
      <c r="B105" s="168"/>
      <c r="C105" s="168"/>
      <c r="D105" s="168"/>
    </row>
    <row r="106" spans="1:4">
      <c r="A106" s="167"/>
      <c r="B106" s="168"/>
      <c r="C106" s="168"/>
      <c r="D106" s="168"/>
    </row>
    <row r="107" spans="1:4">
      <c r="A107" s="167"/>
      <c r="B107" s="168"/>
      <c r="C107" s="168"/>
      <c r="D107" s="168"/>
    </row>
    <row r="108" spans="1:4">
      <c r="A108" s="167"/>
      <c r="B108" s="168"/>
      <c r="C108" s="168"/>
      <c r="D108" s="168"/>
    </row>
    <row r="109" spans="1:4">
      <c r="A109" s="167"/>
      <c r="B109" s="168"/>
      <c r="C109" s="168"/>
      <c r="D109" s="168"/>
    </row>
    <row r="110" spans="1:4">
      <c r="A110" s="167"/>
      <c r="B110" s="168"/>
      <c r="C110" s="168"/>
      <c r="D110" s="168"/>
    </row>
    <row r="111" spans="1:4">
      <c r="A111" s="167"/>
      <c r="B111" s="168"/>
      <c r="C111" s="168"/>
      <c r="D111" s="168"/>
    </row>
    <row r="112" spans="1:4">
      <c r="A112" s="167"/>
      <c r="B112" s="168"/>
      <c r="C112" s="168"/>
      <c r="D112" s="168"/>
    </row>
  </sheetData>
  <sheetProtection algorithmName="SHA-512" hashValue="3L1ecoQP7k8367xPXhA2+Z4UsHv5qISRS1jDNtUcWLu8eEC9fDHJfSzW72dvRCc5bXOB69wvQnS2qtZPtku8FQ==" saltValue="+r82++JJ996k73mz7MS61g==" spinCount="100000" sheet="1" objects="1" scenarios="1"/>
  <mergeCells count="1">
    <mergeCell ref="A1:D1"/>
  </mergeCells>
  <pageMargins left="0.25" right="0.25" top="0.75" bottom="0.75" header="0.3" footer="0.3"/>
  <pageSetup paperSize="9" fitToHeight="0"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theme="1"/>
  </sheetPr>
  <dimension ref="A1:D18"/>
  <sheetViews>
    <sheetView workbookViewId="0">
      <selection activeCell="B4" sqref="B4"/>
    </sheetView>
  </sheetViews>
  <sheetFormatPr defaultRowHeight="15"/>
  <cols>
    <col min="1" max="1" width="90" bestFit="1" customWidth="1"/>
    <col min="2" max="2" width="89.5703125" style="57" bestFit="1" customWidth="1"/>
    <col min="4" max="4" width="51.42578125" bestFit="1" customWidth="1"/>
  </cols>
  <sheetData>
    <row r="1" spans="1:4">
      <c r="A1" s="59" t="s">
        <v>945</v>
      </c>
      <c r="B1" s="60" t="s">
        <v>946</v>
      </c>
      <c r="D1" s="274" t="str">
        <f>"[ Version LUMP SUM II - ERASMUS - v" &amp; B2 &amp; "_" &amp; TEXT(B4,"000") &amp; ", of " &amp; TEXT(DAY(B3),"00")&amp;"/"&amp;TEXT(MONTH(B3),"00") &amp; "/"&amp;TEXT(YEAR(B3),"0000") &amp; " " &amp; TEXT(HOUR(B3),"00") &amp; ":" &amp; TEXT(MINUTE(B3),"00")&amp; " ]"</f>
        <v>[ Version LUMP SUM II - ERASMUS - v4.4_001, of 04/10/2023 10:55 ]</v>
      </c>
    </row>
    <row r="2" spans="1:4">
      <c r="A2" s="273" t="s">
        <v>947</v>
      </c>
      <c r="B2" s="279" t="s">
        <v>948</v>
      </c>
    </row>
    <row r="3" spans="1:4">
      <c r="A3" s="282" t="s">
        <v>949</v>
      </c>
      <c r="B3" s="280">
        <v>45203.455196759256</v>
      </c>
    </row>
    <row r="4" spans="1:4">
      <c r="A4" s="273" t="s">
        <v>950</v>
      </c>
      <c r="B4" s="281">
        <v>1</v>
      </c>
    </row>
    <row r="5" spans="1:4">
      <c r="A5" s="109" t="s">
        <v>951</v>
      </c>
      <c r="B5" s="108" t="s">
        <v>952</v>
      </c>
    </row>
    <row r="6" spans="1:4">
      <c r="A6" t="s">
        <v>953</v>
      </c>
      <c r="B6" s="192" t="s">
        <v>954</v>
      </c>
    </row>
    <row r="7" spans="1:4">
      <c r="A7" t="s">
        <v>955</v>
      </c>
      <c r="B7" s="192">
        <v>12</v>
      </c>
      <c r="D7" s="83" t="s">
        <v>956</v>
      </c>
    </row>
    <row r="8" spans="1:4">
      <c r="A8" t="s">
        <v>957</v>
      </c>
      <c r="B8" s="192">
        <v>8</v>
      </c>
      <c r="D8" s="83" t="s">
        <v>956</v>
      </c>
    </row>
    <row r="9" spans="1:4">
      <c r="A9" t="s">
        <v>958</v>
      </c>
      <c r="B9" s="57" t="str">
        <f ca="1">CELL("address",'BE xxx'!N1)</f>
        <v>'[Tpl_Detailed Budget Table (ERASMUS LSII).xlsx]BE xxx'!$N$1</v>
      </c>
    </row>
    <row r="10" spans="1:4">
      <c r="A10" t="s">
        <v>959</v>
      </c>
      <c r="B10" s="57" t="str">
        <f ca="1">CELL("address",'BE xxx'!S2)</f>
        <v>'[Tpl_Detailed Budget Table (ERASMUS LSII).xlsx]BE xxx'!$S$2</v>
      </c>
    </row>
    <row r="11" spans="1:4">
      <c r="A11" t="s">
        <v>960</v>
      </c>
      <c r="B11" s="57">
        <v>3</v>
      </c>
    </row>
    <row r="12" spans="1:4">
      <c r="A12" t="s">
        <v>961</v>
      </c>
      <c r="B12" s="58">
        <f ca="1">OFFSET(INDIRECT("'Estim costs of the project'!A1",TRUE),6,MATCH("TT",INDIRECT("'Estim costs of the project'!2:2",TRUE),0)-1)</f>
        <v>0</v>
      </c>
    </row>
    <row r="13" spans="1:4">
      <c r="A13" t="s">
        <v>962</v>
      </c>
      <c r="B13" s="57" t="str">
        <f ca="1">INDIRECT("'Proposal Budget'!AN" &amp; MATCH("TT",'Proposal Budget'!A:A,0),TRUE)</f>
        <v>No budget defined</v>
      </c>
    </row>
    <row r="14" spans="1:4">
      <c r="A14" t="s">
        <v>963</v>
      </c>
      <c r="B14" s="110" t="e">
        <f ca="1">MyRequetedEUContribution/TotalBudget</f>
        <v>#VALUE!</v>
      </c>
    </row>
    <row r="15" spans="1:4">
      <c r="A15" t="s">
        <v>964</v>
      </c>
      <c r="B15" s="57">
        <f ca="1">CELL("col",'BE xxx'!N9)</f>
        <v>14</v>
      </c>
    </row>
    <row r="16" spans="1:4">
      <c r="A16" t="s">
        <v>965</v>
      </c>
      <c r="B16" s="192">
        <v>1</v>
      </c>
      <c r="D16" s="83" t="s">
        <v>956</v>
      </c>
    </row>
    <row r="17" spans="1:4">
      <c r="A17" t="s">
        <v>966</v>
      </c>
      <c r="B17" s="192">
        <v>2</v>
      </c>
      <c r="D17" s="83" t="s">
        <v>956</v>
      </c>
    </row>
    <row r="18" spans="1:4">
      <c r="A18" t="s">
        <v>967</v>
      </c>
      <c r="B18" s="57" t="s">
        <v>968</v>
      </c>
    </row>
  </sheetData>
  <sheetProtection algorithmName="SHA-512" hashValue="bfFNKn8LAIoV7FVBG1RhB1knhL8w8IDwjFo2UcX/gTFFuk9+BLHbSbnySCevMldOAPu2sbkAkG9iwUrTdWNwYw==" saltValue="34M5MsIiOoXdWzy8iZ9KfQ==" spinCount="100000" sheet="1" objects="1" scenarios="1"/>
  <pageMargins left="0.7" right="0.7" top="0.75" bottom="0.75" header="0.3" footer="0.3"/>
  <pageSetup paperSize="9" orientation="portrait" r:id="rId1"/>
  <legacyDrawing r:id="rId2"/>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1"/>
  </sheetPr>
  <dimension ref="A1:D8"/>
  <sheetViews>
    <sheetView showGridLines="0" workbookViewId="0">
      <selection activeCell="C5" sqref="C5"/>
    </sheetView>
  </sheetViews>
  <sheetFormatPr defaultColWidth="0" defaultRowHeight="15" zeroHeight="1"/>
  <cols>
    <col min="1" max="1" width="8.85546875" style="10" customWidth="1"/>
    <col min="2" max="2" width="92.5703125" bestFit="1" customWidth="1"/>
    <col min="3" max="3" width="35.5703125" bestFit="1" customWidth="1"/>
    <col min="4" max="4" width="8.85546875" customWidth="1"/>
    <col min="5" max="16384" width="8.85546875" hidden="1"/>
  </cols>
  <sheetData>
    <row r="1" spans="1:4" s="10" customFormat="1" ht="45">
      <c r="A1" s="195" t="s">
        <v>969</v>
      </c>
      <c r="D1" s="195" t="s">
        <v>969</v>
      </c>
    </row>
    <row r="2" spans="1:4" ht="39">
      <c r="B2" s="193" t="s">
        <v>970</v>
      </c>
      <c r="C2" s="196">
        <v>100000</v>
      </c>
    </row>
    <row r="3" spans="1:4" ht="39">
      <c r="B3" s="194" t="s">
        <v>971</v>
      </c>
      <c r="C3" s="197">
        <v>0.8</v>
      </c>
    </row>
    <row r="4" spans="1:4" ht="45.75" thickBot="1">
      <c r="A4" s="195" t="s">
        <v>32</v>
      </c>
    </row>
    <row r="5" spans="1:4" ht="22.5" thickTop="1" thickBot="1">
      <c r="B5" s="198" t="s">
        <v>972</v>
      </c>
      <c r="C5" s="14" t="s">
        <v>973</v>
      </c>
    </row>
    <row r="6" spans="1:4" ht="60.75" thickTop="1">
      <c r="A6" s="195" t="s">
        <v>974</v>
      </c>
    </row>
    <row r="7" spans="1:4" ht="21" hidden="1">
      <c r="C7" s="199"/>
    </row>
    <row r="8" spans="1:4" ht="45" hidden="1">
      <c r="A8" s="195" t="s">
        <v>32</v>
      </c>
    </row>
  </sheetData>
  <sheetProtection algorithmName="SHA-512" hashValue="j+APlSmx4TdYI8to9vDc4HCot9omlbjRQ2q4TWdAGvyQMZ4K12XpBdItk0sqStbHapTZhABQeMifLD0jOvQS3w==" saltValue="yxxvPTJNHnLQ9NCb2bInPw==" spinCount="100000" sheet="1" objects="1" scenarios="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C Document" ma:contentTypeID="0x010100258AA79CEB83498886A3A086811232500015D68561EDF2314DA91E1210E4D82B5C" ma:contentTypeVersion="39" ma:contentTypeDescription="Create a new document in this library." ma:contentTypeScope="" ma:versionID="971093045f232eb4d5ef93d006d7b56f">
  <xsd:schema xmlns:xsd="http://www.w3.org/2001/XMLSchema" xmlns:xs="http://www.w3.org/2001/XMLSchema" xmlns:p="http://schemas.microsoft.com/office/2006/metadata/properties" xmlns:ns2="084a5cd8-1559-4e94-ac72-b94fb9abc19e" xmlns:ns3="58f75e61-ed07-41d3-a804-02f248e1fac3" targetNamespace="http://schemas.microsoft.com/office/2006/metadata/properties" ma:root="true" ma:fieldsID="d57276e33b75773c44e98220d34f387b" ns2:_="" ns3:_="">
    <xsd:import namespace="084a5cd8-1559-4e94-ac72-b94fb9abc19e"/>
    <xsd:import namespace="58f75e61-ed07-41d3-a804-02f248e1fac3"/>
    <xsd:element name="properties">
      <xsd:complexType>
        <xsd:sequence>
          <xsd:element name="documentManagement">
            <xsd:complexType>
              <xsd:all>
                <xsd:element ref="ns2:ProgrGroup" minOccurs="0"/>
                <xsd:element ref="ns2:ProgrCategory" minOccurs="0"/>
                <xsd:element ref="ns2:Order1" minOccurs="0"/>
                <xsd:element ref="ns2:DocComments" minOccurs="0"/>
                <xsd:element ref="ns2:DocOfficerComments" minOccurs="0"/>
                <xsd:element ref="ns2:DocStatus" minOccurs="0"/>
                <xsd:element ref="ns2:DocPublProtocol" minOccurs="0"/>
                <xsd:element ref="ns2:DocInternalExternal" minOccurs="0"/>
                <xsd:element ref="ns2:DocPublDestination" minOccurs="0"/>
                <xsd:element ref="ns2:DocPublDate" minOccurs="0"/>
                <xsd:element ref="ns2:DocPublversion" minOccurs="0"/>
                <xsd:element ref="ns2:ITcomments" minOccurs="0"/>
                <xsd:element ref="ns2:ITstatus" minOccurs="0"/>
                <xsd:element ref="ns3:s86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4a5cd8-1559-4e94-ac72-b94fb9abc19e" elementFormDefault="qualified">
    <xsd:import namespace="http://schemas.microsoft.com/office/2006/documentManagement/types"/>
    <xsd:import namespace="http://schemas.microsoft.com/office/infopath/2007/PartnerControls"/>
    <xsd:element name="ProgrGroup" ma:index="1" nillable="true" ma:displayName="Programme Docs Group" ma:description="Needed for MGAs &amp; Programme Documents (MFF 2021-2027)" ma:format="Dropdown" ma:internalName="ProgrGroup">
      <xsd:simpleType>
        <xsd:union memberTypes="dms:Text">
          <xsd:simpleType>
            <xsd:restriction base="dms:Choice">
              <xsd:enumeration value="00 CORPORATE MASTERFILES"/>
              <xsd:enumeration value="00 HEALTHCHECKS"/>
              <xsd:enumeration value="01 HORIZON and EURATOM"/>
              <xsd:enumeration value="02 RFCS"/>
              <xsd:enumeration value="03 DIGITAL EUROPE (DEP)"/>
              <xsd:enumeration value="04 DEFENCE (EDF and ASAP)"/>
              <xsd:enumeration value="05 SPACE"/>
              <xsd:enumeration value="06 CEF"/>
              <xsd:enumeration value="07 I3"/>
              <xsd:enumeration value="07a ERDF-TA"/>
              <xsd:enumeration value="08 IMREG"/>
              <xsd:enumeration value="09 LIFE"/>
              <xsd:enumeration value="10 INNOVFUND"/>
              <xsd:enumeration value="11 RENEWFM"/>
              <xsd:enumeration value="11a JTM"/>
              <xsd:enumeration value="12 EMFAF"/>
              <xsd:enumeration value="13 AGRIP"/>
              <xsd:enumeration value="14 IMCAP"/>
              <xsd:enumeration value="15 SINGLE MARKET (SMP)"/>
              <xsd:enumeration value="16 ERASMUS"/>
              <xsd:enumeration value="17 CREATIVE EUROPE"/>
              <xsd:enumeration value="18 EUROPEAN SOLIDARITY CORPS (ESC)"/>
              <xsd:enumeration value="19 CERV"/>
              <xsd:enumeration value="20 JUSTICE"/>
              <xsd:enumeration value="21 ESF and SOCPL"/>
              <xsd:enumeration value="22 EU4HEALTH"/>
              <xsd:enumeration value="23 AMIF, ISF and BMVI"/>
              <xsd:enumeration value="24 EU ANTI-FRAUD"/>
              <xsd:enumeration value="25 CUSTOMS and FISCALIS"/>
              <xsd:enumeration value="26 CCEI"/>
              <xsd:enumeration value="27 PERICLES"/>
              <xsd:enumeration value="28 TECHNICAL SUPPORT (TSI)"/>
              <xsd:enumeration value="29 UCPM"/>
              <xsd:enumeration value="30 HUMANITARIAN AID"/>
              <xsd:enumeration value="31 RELEX"/>
              <xsd:enumeration value="41 EUROPE DIRECT"/>
              <xsd:enumeration value="41 EUROPOL"/>
              <xsd:enumeration value="41 PPPA"/>
            </xsd:restriction>
          </xsd:simpleType>
        </xsd:union>
      </xsd:simpleType>
    </xsd:element>
    <xsd:element name="ProgrCategory" ma:index="2" nillable="true" ma:displayName="Programme Docs Category" ma:description="Needed for MGAs &amp; Programme Documents (MFF 2021-2027)" ma:format="Dropdown" ma:internalName="ProgrCategory">
      <xsd:simpleType>
        <xsd:union memberTypes="dms:Text">
          <xsd:simpleType>
            <xsd:restriction base="dms:Choice">
              <xsd:enumeration value="1. MGAs"/>
              <xsd:enumeration value="2. Programme guidance"/>
              <xsd:enumeration value="3. Customised reports &amp; forms"/>
              <xsd:enumeration value="5. Other"/>
              <xsd:enumeration value="6. xxx PUBLICATION FOLDERS"/>
              <xsd:enumeration value="7. xxxx DISCARDED DOCUMENTS"/>
              <xsd:enumeration value="7. xxxx DONE DOCUMENTS"/>
              <xsd:enumeration value="7. xxxx ORIGINAL DOCUMENTS"/>
              <xsd:enumeration value="1. PART C HEALTHCHECK"/>
              <xsd:enumeration value="2. MGA Annexes"/>
              <xsd:enumeration value="3. Customised reports &amp; forms (HE ERC)"/>
              <xsd:enumeration value="3. Customised reports &amp; forms (HE MSCA)"/>
              <xsd:enumeration value="3. Customised reports &amp; forms (HE EIC)"/>
              <xsd:enumeration value="3. Customised reports &amp; forms (HE EIT)"/>
              <xsd:enumeration value="3. Customised reports &amp; forms (ASAP)"/>
              <xsd:enumeration value="3. Customised reports &amp; forms (SMP COSME)"/>
              <xsd:enumeration value="3. Customised reports &amp; forms (SMP CONS)"/>
              <xsd:enumeration value="3. Customised reports &amp; forms (SMP COMP)"/>
              <xsd:enumeration value="3. Customised reports &amp; forms (SMP FOOD)"/>
              <xsd:enumeration value="3. Customised reports &amp; forms (SMP STAND)"/>
              <xsd:enumeration value="3. Customised reports &amp; forms (SMP ESS)"/>
              <xsd:enumeration value="3. Customised reports &amp; forms (SMP SURV)"/>
              <xsd:enumeration value="3. Customised reports &amp; forms (ECHE Certificate)"/>
              <xsd:enumeration value="3. Customised reports &amp; forms (ESC HUMAID Quality Label)"/>
              <xsd:enumeration value="3. Customised reports &amp; forms (ECHO Partnership Certificate)"/>
              <xsd:enumeration value="3. Customised reports &amp; forms (NDICI and IPA TWINNING)"/>
              <xsd:enumeration value="3. Customised reports &amp; forms (NDICI MOBAF)"/>
              <xsd:enumeration value="3. Customised reports &amp; forms (PPPA EACEA)"/>
            </xsd:restriction>
          </xsd:simpleType>
        </xsd:union>
      </xsd:simpleType>
    </xsd:element>
    <xsd:element name="Order1" ma:index="3" nillable="true" ma:displayName="Order" ma:internalName="Order1" ma:percentage="FALSE">
      <xsd:simpleType>
        <xsd:restriction base="dms:Number"/>
      </xsd:simpleType>
    </xsd:element>
    <xsd:element name="DocComments" ma:index="4" nillable="true" ma:displayName="Doc Comments" ma:description="Needed for all Pages" ma:internalName="DocComments">
      <xsd:simpleType>
        <xsd:restriction base="dms:Note"/>
      </xsd:simpleType>
    </xsd:element>
    <xsd:element name="DocOfficerComments" ma:index="5" nillable="true" ma:displayName="Doc Officer Comments" ma:description="Needed for MGAs &amp; Programme Documents and Business Documents Management View" ma:internalName="DocOfficerComments">
      <xsd:simpleType>
        <xsd:restriction base="dms:Note">
          <xsd:maxLength value="255"/>
        </xsd:restriction>
      </xsd:simpleType>
    </xsd:element>
    <xsd:element name="DocStatus" ma:index="6" nillable="true" ma:displayName="Doc Status" ma:description="Needed for all except GoFund Archive" ma:format="Dropdown" ma:internalName="DocStatus">
      <xsd:simpleType>
        <xsd:union memberTypes="dms:Text">
          <xsd:simpleType>
            <xsd:restriction base="dms:Choice">
              <xsd:enumeration value="͏New"/>
              <xsd:enumeration value="New version"/>
              <xsd:enumeration value="Under validation"/>
              <xsd:enumeration value="Ready"/>
              <xsd:enumeration value="Ready for publication"/>
              <xsd:enumeration value="Published"/>
              <xsd:enumeration value="Wait"/>
              <xsd:enumeration value="n/a (backoffice document)"/>
              <xsd:enumeration value="old document"/>
            </xsd:restriction>
          </xsd:simpleType>
        </xsd:union>
      </xsd:simpleType>
    </xsd:element>
    <xsd:element name="DocPublProtocol" ma:index="7" nillable="true" ma:displayName="Doc Publ. Protocol" ma:description="Needed for MGAs &amp; Programme Documents and Business Documents Management View" ma:format="Dropdown" ma:internalName="DocPublProtocol">
      <xsd:simpleType>
        <xsd:union memberTypes="dms:Text">
          <xsd:simpleType>
            <xsd:restriction base="dms:Choice">
              <xsd:enumeration value="MGA2-1 MGAs"/>
              <xsd:enumeration value="CONTR1-1 Expert contracts"/>
              <xsd:enumeration value="GUID1-1 Business - External guidance"/>
              <xsd:enumeration value="GUID1-2 Business - Internal guidance"/>
              <xsd:enumeration value="GUID2-1 Programme tpl - External guidance"/>
              <xsd:enumeration value="GUID2-2 Programme tpl - Internal guidance"/>
              <xsd:enumeration value="TPL1-1 Business - Decisions"/>
              <xsd:enumeration value="TPL1-2 Business - Reports"/>
              <xsd:enumeration value="TPL1-3 Business - Letters"/>
              <xsd:enumeration value="TPL1-4 Business - Special (Portal)"/>
              <xsd:enumeration value="TPL1-5 Business - Special (GoFund)"/>
              <xsd:enumeration value="TPL2-1 Programme tpl - Call documents"/>
              <xsd:enumeration value="TPL2-2 Programme tpl - Application forms, etc"/>
              <xsd:enumeration value="TPL2-3 Programme tpl - Evaluation forms, etc"/>
              <xsd:enumeration value="TPL2-4 Programme tpl - DoAs"/>
              <xsd:enumeration value="TPL2-5 Programme tpl - Reporting forms, etc"/>
              <xsd:enumeration value="TPL2-6 Programme tpl - Audit templates"/>
              <xsd:enumeration value="TPL2-7 Programme tpl - Other"/>
              <xsd:enumeration value="Portal1-1 Terms &amp; Conditions"/>
              <xsd:enumeration value="Portal1-2 Privacy Statement"/>
              <xsd:enumeration value="Portal1-3 Glossary"/>
              <xsd:enumeration value="Portal1-4 Lists of expert names"/>
            </xsd:restriction>
          </xsd:simpleType>
        </xsd:union>
      </xsd:simpleType>
    </xsd:element>
    <xsd:element name="DocInternalExternal" ma:index="8" nillable="true" ma:displayName="Doc Internal/External" ma:description="Needed for MGAs &amp; Programme Documents and Business Documentation Management View" ma:format="Dropdown" ma:internalName="DocInternalExternal">
      <xsd:simpleType>
        <xsd:union memberTypes="dms:Text">
          <xsd:simpleType>
            <xsd:restriction base="dms:Choice">
              <xsd:enumeration value="Internal"/>
              <xsd:enumeration value="External"/>
              <xsd:enumeration value="Internal &amp; external"/>
            </xsd:restriction>
          </xsd:simpleType>
        </xsd:union>
      </xsd:simpleType>
    </xsd:element>
    <xsd:element name="DocPublDestination" ma:index="9" nillable="true" ma:displayName="Doc Publ. Destination" ma:description="Needed for MGAs &amp; Programme Documents and Business Documents Management View" ma:internalName="DocPublDestination">
      <xsd:simpleType>
        <xsd:restriction base="dms:Note">
          <xsd:maxLength value="255"/>
        </xsd:restriction>
      </xsd:simpleType>
    </xsd:element>
    <xsd:element name="DocPublDate" ma:index="10" nillable="true" ma:displayName="Doc Publ. Date" ma:description="Needed for MGAs &amp; Programme Documents and Business Documents Management View" ma:format="DateOnly" ma:internalName="DocPublDate">
      <xsd:simpleType>
        <xsd:restriction base="dms:DateTime"/>
      </xsd:simpleType>
    </xsd:element>
    <xsd:element name="DocPublversion" ma:index="11" nillable="true" ma:displayName="Doc Publ. Version" ma:description="Needed for MGAs &amp; Programme Documents and Business Documents Management View" ma:internalName="DocPublversion" ma:percentage="FALSE">
      <xsd:simpleType>
        <xsd:restriction base="dms:Number"/>
      </xsd:simpleType>
    </xsd:element>
    <xsd:element name="ITcomments" ma:index="12" nillable="true" ma:displayName="IT Comments" ma:description="Needed for MGAs &amp; Programme Documents and Business Documents Normal View" ma:internalName="ITcomments">
      <xsd:simpleType>
        <xsd:restriction base="dms:Note">
          <xsd:maxLength value="255"/>
        </xsd:restriction>
      </xsd:simpleType>
    </xsd:element>
    <xsd:element name="ITstatus" ma:index="13" nillable="true" ma:displayName="IT Status" ma:description="Needed for MGAs &amp; Programme Documents and Business Documents Normal View" ma:format="Dropdown" ma:internalName="ITstatus">
      <xsd:simpleType>
        <xsd:union memberTypes="dms:Text">
          <xsd:simpleType>
            <xsd:restriction base="dms:Choice">
              <xsd:enumeration value="͏Wait"/>
              <xsd:enumeration value="Ready for IT"/>
              <xsd:enumeration value="IT implementation started"/>
              <xsd:enumeration value="IT implementation finished"/>
              <xsd:enumeration value="New version ready for IT"/>
              <xsd:enumeration value="n/a (no IT implementation)"/>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58f75e61-ed07-41d3-a804-02f248e1fac3" elementFormDefault="qualified">
    <xsd:import namespace="http://schemas.microsoft.com/office/2006/documentManagement/types"/>
    <xsd:import namespace="http://schemas.microsoft.com/office/infopath/2007/PartnerControls"/>
    <xsd:element name="s86b" ma:index="21" nillable="true" ma:displayName="Doc Internal/External" ma:internalName="s86b">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Status xmlns="084a5cd8-1559-4e94-ac72-b94fb9abc19e">Ready</DocStatus>
    <DocPublversion xmlns="084a5cd8-1559-4e94-ac72-b94fb9abc19e" xsi:nil="true"/>
    <DocPublDate xmlns="084a5cd8-1559-4e94-ac72-b94fb9abc19e" xsi:nil="true"/>
    <DocInternalExternal xmlns="084a5cd8-1559-4e94-ac72-b94fb9abc19e">Internal &amp; external</DocInternalExternal>
    <DocPublDestination xmlns="084a5cd8-1559-4e94-ac72-b94fb9abc19e" xsi:nil="true"/>
    <DocOfficerComments xmlns="084a5cd8-1559-4e94-ac72-b94fb9abc19e" xsi:nil="true"/>
    <ProgrGroup xmlns="084a5cd8-1559-4e94-ac72-b94fb9abc19e">16 ERASMUS</ProgrGroup>
    <DocPublProtocol xmlns="084a5cd8-1559-4e94-ac72-b94fb9abc19e">TPL2-2 Programme tpl - Application forms, etc</DocPublProtocol>
    <DocComments xmlns="084a5cd8-1559-4e94-ac72-b94fb9abc19e">Password "Detailed budget table". 
Application Form Annex to be available in SEP.</DocComments>
    <ITcomments xmlns="084a5cd8-1559-4e94-ac72-b94fb9abc19e" xsi:nil="true"/>
    <Order1 xmlns="084a5cd8-1559-4e94-ac72-b94fb9abc19e">5</Order1>
    <ITstatus xmlns="084a5cd8-1559-4e94-ac72-b94fb9abc19e" xsi:nil="true"/>
    <ProgrCategory xmlns="084a5cd8-1559-4e94-ac72-b94fb9abc19e">3. Customised reports &amp; forms</ProgrCategory>
    <s86b xmlns="58f75e61-ed07-41d3-a804-02f248e1fa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17CB0F-62BF-4688-958E-AB8EAAE49F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4a5cd8-1559-4e94-ac72-b94fb9abc19e"/>
    <ds:schemaRef ds:uri="58f75e61-ed07-41d3-a804-02f248e1fa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88742A-BBD4-4EC9-B2AC-582B9C67E37F}">
  <ds:schemaRefs>
    <ds:schemaRef ds:uri="http://schemas.microsoft.com/office/2006/metadata/properties"/>
    <ds:schemaRef ds:uri="http://schemas.microsoft.com/office/infopath/2007/PartnerControls"/>
    <ds:schemaRef ds:uri="084a5cd8-1559-4e94-ac72-b94fb9abc19e"/>
    <ds:schemaRef ds:uri="58f75e61-ed07-41d3-a804-02f248e1fac3"/>
  </ds:schemaRefs>
</ds:datastoreItem>
</file>

<file path=customXml/itemProps3.xml><?xml version="1.0" encoding="utf-8"?>
<ds:datastoreItem xmlns:ds="http://schemas.openxmlformats.org/officeDocument/2006/customXml" ds:itemID="{BE8C08C3-721E-4401-9D71-E1515BCD7B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61</vt:i4>
      </vt:variant>
    </vt:vector>
  </HeadingPairs>
  <TitlesOfParts>
    <vt:vector size="88" baseType="lpstr">
      <vt:lpstr>Instructions</vt:lpstr>
      <vt:lpstr>Beneficiaries List</vt:lpstr>
      <vt:lpstr>Work Packages List</vt:lpstr>
      <vt:lpstr>BE 001</vt:lpstr>
      <vt:lpstr>BE xxx</vt:lpstr>
      <vt:lpstr>BE 002</vt:lpstr>
      <vt:lpstr>BE 003</vt:lpstr>
      <vt:lpstr>BE 004</vt:lpstr>
      <vt:lpstr>BE 005</vt:lpstr>
      <vt:lpstr>BE 006</vt:lpstr>
      <vt:lpstr>BE 007</vt:lpstr>
      <vt:lpstr>BE 008</vt:lpstr>
      <vt:lpstr>BE 009</vt:lpstr>
      <vt:lpstr>BE 010</vt:lpstr>
      <vt:lpstr>BE 011</vt:lpstr>
      <vt:lpstr>BE 012</vt:lpstr>
      <vt:lpstr>Estim costs of the project</vt:lpstr>
      <vt:lpstr>Proposal Budget</vt:lpstr>
      <vt:lpstr>BE-WP Overview</vt:lpstr>
      <vt:lpstr>Country List</vt:lpstr>
      <vt:lpstr>BE-WP Person Months</vt:lpstr>
      <vt:lpstr>Operations</vt:lpstr>
      <vt:lpstr>EGR</vt:lpstr>
      <vt:lpstr>Depreciation Costs</vt:lpstr>
      <vt:lpstr>Any comments</vt:lpstr>
      <vt:lpstr>Referential</vt:lpstr>
      <vt:lpstr>UpdateParameters</vt:lpstr>
      <vt:lpstr>Acronym</vt:lpstr>
      <vt:lpstr>COFINPERCENT</vt:lpstr>
      <vt:lpstr>CofinRate</vt:lpstr>
      <vt:lpstr>ColumnForWPNumber</vt:lpstr>
      <vt:lpstr>CurrentFileName</vt:lpstr>
      <vt:lpstr>CurrentVersion</vt:lpstr>
      <vt:lpstr>EMP_OTHER</vt:lpstr>
      <vt:lpstr>EMP_TYPE1</vt:lpstr>
      <vt:lpstr>EMP_TYPE2</vt:lpstr>
      <vt:lpstr>EMP_TYPE3</vt:lpstr>
      <vt:lpstr>EMP_TYPE4</vt:lpstr>
      <vt:lpstr>equipment</vt:lpstr>
      <vt:lpstr>EURequestedAmount</vt:lpstr>
      <vt:lpstr>FILESTATUS</vt:lpstr>
      <vt:lpstr>LastIDBeneficiaire</vt:lpstr>
      <vt:lpstr>LastIDWorkPackages</vt:lpstr>
      <vt:lpstr>ListOfCountries</vt:lpstr>
      <vt:lpstr>MAXSUB</vt:lpstr>
      <vt:lpstr>MFF</vt:lpstr>
      <vt:lpstr>MyRequetedEUContribution</vt:lpstr>
      <vt:lpstr>NbrColForWP</vt:lpstr>
      <vt:lpstr>'BE 001'!Print_Area</vt:lpstr>
      <vt:lpstr>'BE 002'!Print_Area</vt:lpstr>
      <vt:lpstr>'BE 003'!Print_Area</vt:lpstr>
      <vt:lpstr>'BE 004'!Print_Area</vt:lpstr>
      <vt:lpstr>'BE 005'!Print_Area</vt:lpstr>
      <vt:lpstr>'BE 006'!Print_Area</vt:lpstr>
      <vt:lpstr>'BE 007'!Print_Area</vt:lpstr>
      <vt:lpstr>'BE 008'!Print_Area</vt:lpstr>
      <vt:lpstr>'BE 009'!Print_Area</vt:lpstr>
      <vt:lpstr>'BE 010'!Print_Area</vt:lpstr>
      <vt:lpstr>'BE 011'!Print_Area</vt:lpstr>
      <vt:lpstr>'BE 012'!Print_Area</vt:lpstr>
      <vt:lpstr>'BE xxx'!Print_Area</vt:lpstr>
      <vt:lpstr>'BE-WP Overview'!Print_Area</vt:lpstr>
      <vt:lpstr>'BE-WP Person Months'!Print_Area</vt:lpstr>
      <vt:lpstr>'Estim costs of the project'!Print_Area</vt:lpstr>
      <vt:lpstr>'Proposal Budget'!Print_Area</vt:lpstr>
      <vt:lpstr>'BE 001'!Print_Titles</vt:lpstr>
      <vt:lpstr>'BE 002'!Print_Titles</vt:lpstr>
      <vt:lpstr>'BE 003'!Print_Titles</vt:lpstr>
      <vt:lpstr>'BE 004'!Print_Titles</vt:lpstr>
      <vt:lpstr>'BE 005'!Print_Titles</vt:lpstr>
      <vt:lpstr>'BE 006'!Print_Titles</vt:lpstr>
      <vt:lpstr>'BE 007'!Print_Titles</vt:lpstr>
      <vt:lpstr>'BE 008'!Print_Titles</vt:lpstr>
      <vt:lpstr>'BE 009'!Print_Titles</vt:lpstr>
      <vt:lpstr>'BE 010'!Print_Titles</vt:lpstr>
      <vt:lpstr>'BE 011'!Print_Titles</vt:lpstr>
      <vt:lpstr>'BE 012'!Print_Titles</vt:lpstr>
      <vt:lpstr>'BE xxx'!Print_Titles</vt:lpstr>
      <vt:lpstr>'BE-WP Overview'!Print_Titles</vt:lpstr>
      <vt:lpstr>'BE-WP Person Months'!Print_Titles</vt:lpstr>
      <vt:lpstr>'Estim costs of the project'!Print_Titles</vt:lpstr>
      <vt:lpstr>'Proposal Budget'!Print_Titles</vt:lpstr>
      <vt:lpstr>PRORATA</vt:lpstr>
      <vt:lpstr>ProtectionMode</vt:lpstr>
      <vt:lpstr>SheetBEBenCell</vt:lpstr>
      <vt:lpstr>SheetBEBenNumCell</vt:lpstr>
      <vt:lpstr>StatusBudget</vt:lpstr>
      <vt:lpstr>TotalBudget</vt:lpstr>
    </vt:vector>
  </TitlesOfParts>
  <Manager/>
  <Company>European Commission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CARBONI Damiano (EACEA)</dc:creator>
  <cp:keywords/>
  <dc:description/>
  <cp:lastModifiedBy>USER</cp:lastModifiedBy>
  <cp:revision/>
  <dcterms:created xsi:type="dcterms:W3CDTF">2020-11-20T08:00:57Z</dcterms:created>
  <dcterms:modified xsi:type="dcterms:W3CDTF">2026-04-16T10:41:31Z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0x010100258AA79CEB83498886A3A086811232500015D68561EDF2314DA91E1210E4D82B5C</vt:lpwstr>
  </property>
  <property fmtid="{D5CDD505-2E9C-101B-9397-08002B2CF9AE}" pid="3" name="MSIP_Label_6bd9ddd1-4d20-43f6-abfa-fc3c07406f94_Enabled">
    <vt:lpwstr>true</vt:lpwstr>
  </property>
  <property fmtid="{D5CDD505-2E9C-101B-9397-08002B2CF9AE}" pid="4" name="MSIP_Label_6bd9ddd1-4d20-43f6-abfa-fc3c07406f94_SetDate">
    <vt:lpwstr>2022-10-17T13:49:36Z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1555cff7-f7f2-4c4c-b580-9ab8140ef1b9</vt:lpwstr>
  </property>
  <property fmtid="{D5CDD505-2E9C-101B-9397-08002B2CF9AE}" pid="9" name="MSIP_Label_6bd9ddd1-4d20-43f6-abfa-fc3c07406f94_ContentBits">
    <vt:lpwstr>0</vt:lpwstr>
  </property>
</Properties>
</file>